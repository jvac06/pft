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 codeName="{B08E4597-CF32-672E-EC9B-63DB714DCB7F}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fsdc1p02\Sales\Common\Fulfillment and Scheduling\GB - Mills\"/>
    </mc:Choice>
  </mc:AlternateContent>
  <xr:revisionPtr revIDLastSave="0" documentId="8_{81D5EE73-6639-47A4-B871-C694D189EC60}" xr6:coauthVersionLast="45" xr6:coauthVersionMax="45" xr10:uidLastSave="{00000000-0000-0000-0000-000000000000}"/>
  <bookViews>
    <workbookView xWindow="-19320" yWindow="-120" windowWidth="19440" windowHeight="15600" firstSheet="3" activeTab="6" xr2:uid="{00000000-000D-0000-FFFF-FFFF00000000}"/>
  </bookViews>
  <sheets>
    <sheet name="Routes" sheetId="18" r:id="rId1"/>
    <sheet name="Dates" sheetId="20" r:id="rId2"/>
    <sheet name="Forecast Upload" sheetId="19" r:id="rId3"/>
    <sheet name="FORECAST" sheetId="15" r:id="rId4"/>
    <sheet name="Sheet1" sheetId="21" r:id="rId5"/>
    <sheet name="FC SS UPLOAD" sheetId="16" r:id="rId6"/>
    <sheet name="ROLLING SCHED" sheetId="13" r:id="rId7"/>
    <sheet name="Details" sheetId="17" r:id="rId8"/>
    <sheet name="MRP" sheetId="11" r:id="rId9"/>
    <sheet name="MARD" sheetId="22" r:id="rId10"/>
  </sheets>
  <definedNames>
    <definedName name="_xlnm._FilterDatabase" localSheetId="7" hidden="1">Details!$C$1:$K$22</definedName>
    <definedName name="_xlnm._FilterDatabase" localSheetId="5" hidden="1">'FC SS UPLOAD'!$A$1:$FZ$19</definedName>
    <definedName name="_xlnm._FilterDatabase" localSheetId="8" hidden="1">MRP!$A$1:$DW$55</definedName>
    <definedName name="_xlnm._FilterDatabase" localSheetId="6" hidden="1">'ROLLING SCHED'!$A$1:$M$35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" i="11" l="1"/>
  <c r="K1" i="11" s="1"/>
  <c r="L1" i="11" s="1"/>
  <c r="M1" i="11" s="1"/>
  <c r="N1" i="11" s="1"/>
  <c r="O1" i="11" s="1"/>
  <c r="P1" i="11" s="1"/>
  <c r="Q1" i="11" s="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AC1" i="11" s="1"/>
  <c r="AD1" i="11" s="1"/>
  <c r="AE1" i="11" s="1"/>
  <c r="AF1" i="11" s="1"/>
  <c r="AG1" i="11" s="1"/>
  <c r="AH1" i="11" s="1"/>
  <c r="AI1" i="11" s="1"/>
  <c r="AJ1" i="11" s="1"/>
  <c r="AK1" i="11" s="1"/>
  <c r="AL1" i="11" s="1"/>
  <c r="AM1" i="11" s="1"/>
  <c r="AN1" i="11" s="1"/>
  <c r="AO1" i="11" s="1"/>
  <c r="AP1" i="11" s="1"/>
  <c r="AQ1" i="11" s="1"/>
  <c r="AR1" i="11" s="1"/>
  <c r="AS1" i="11" s="1"/>
  <c r="AT1" i="11" s="1"/>
  <c r="AU1" i="11" s="1"/>
  <c r="AV1" i="11" s="1"/>
  <c r="AW1" i="11" s="1"/>
  <c r="AX1" i="11" s="1"/>
  <c r="AY1" i="11" s="1"/>
  <c r="AZ1" i="11" s="1"/>
  <c r="BA1" i="11" s="1"/>
  <c r="BB1" i="11" s="1"/>
  <c r="BC1" i="11" s="1"/>
  <c r="BD1" i="11" s="1"/>
  <c r="BE1" i="11" s="1"/>
  <c r="BF1" i="11" s="1"/>
  <c r="BG1" i="11" s="1"/>
  <c r="BH1" i="11" s="1"/>
  <c r="BI1" i="11" s="1"/>
  <c r="BJ1" i="11" s="1"/>
  <c r="BK1" i="11" s="1"/>
  <c r="BL1" i="11" s="1"/>
  <c r="BM1" i="11" s="1"/>
  <c r="BN1" i="11" s="1"/>
  <c r="BO1" i="11" s="1"/>
  <c r="BP1" i="11" s="1"/>
  <c r="BQ1" i="11" s="1"/>
  <c r="BR1" i="11" s="1"/>
  <c r="BS1" i="11" s="1"/>
  <c r="X3" i="15" l="1"/>
  <c r="AA8" i="15" l="1"/>
  <c r="X4" i="15"/>
  <c r="X5" i="15"/>
  <c r="X7" i="15"/>
  <c r="X8" i="15"/>
  <c r="X9" i="15"/>
  <c r="X10" i="15"/>
  <c r="X11" i="15"/>
  <c r="AC4" i="15" l="1"/>
  <c r="AC5" i="15"/>
  <c r="AC6" i="15"/>
  <c r="AC7" i="15"/>
  <c r="AC8" i="15"/>
  <c r="AC9" i="15"/>
  <c r="AC10" i="15"/>
  <c r="AC11" i="15"/>
  <c r="AC3" i="15"/>
  <c r="H12" i="15" l="1"/>
  <c r="M12" i="17" l="1"/>
  <c r="J12" i="15" l="1"/>
  <c r="K12" i="15"/>
  <c r="L12" i="15"/>
  <c r="M12" i="15"/>
  <c r="N12" i="15"/>
  <c r="O12" i="15"/>
  <c r="I12" i="15"/>
  <c r="Q12" i="15"/>
  <c r="AC12" i="15" s="1"/>
  <c r="Y6" i="15" l="1"/>
  <c r="G18" i="15" l="1"/>
  <c r="G17" i="15"/>
  <c r="G16" i="15"/>
  <c r="G15" i="15"/>
  <c r="E48" i="15"/>
  <c r="E49" i="15"/>
  <c r="E50" i="15"/>
  <c r="E51" i="15"/>
  <c r="E52" i="15"/>
  <c r="E53" i="15"/>
  <c r="E54" i="15"/>
  <c r="E46" i="15"/>
  <c r="Z6" i="15" l="1"/>
  <c r="E47" i="15" l="1"/>
  <c r="Y4" i="15" l="1"/>
  <c r="Z4" i="15" s="1"/>
  <c r="Y9" i="15"/>
  <c r="Z9" i="15" s="1"/>
  <c r="Y3" i="15"/>
  <c r="Z3" i="15" s="1"/>
  <c r="Y5" i="15"/>
  <c r="Z5" i="15" s="1"/>
  <c r="Y7" i="15"/>
  <c r="Z7" i="15" s="1"/>
  <c r="Y8" i="15"/>
  <c r="Z8" i="15" s="1"/>
  <c r="Y10" i="15"/>
  <c r="Z10" i="15" s="1"/>
  <c r="Y11" i="15"/>
  <c r="Z11" i="15" s="1"/>
  <c r="D48" i="19" l="1"/>
  <c r="D49" i="19"/>
  <c r="D50" i="19"/>
  <c r="D51" i="19"/>
  <c r="D52" i="19"/>
  <c r="D53" i="19"/>
  <c r="D54" i="19"/>
  <c r="D55" i="19"/>
  <c r="D47" i="19"/>
  <c r="D39" i="19"/>
  <c r="D40" i="19"/>
  <c r="D41" i="19"/>
  <c r="D42" i="19"/>
  <c r="D43" i="19"/>
  <c r="D44" i="19"/>
  <c r="D45" i="19"/>
  <c r="D46" i="19"/>
  <c r="D38" i="19"/>
  <c r="D30" i="19"/>
  <c r="D31" i="19"/>
  <c r="D32" i="19"/>
  <c r="D33" i="19"/>
  <c r="D34" i="19"/>
  <c r="D35" i="19"/>
  <c r="D36" i="19"/>
  <c r="D37" i="19"/>
  <c r="D29" i="19"/>
  <c r="D21" i="19"/>
  <c r="D22" i="19"/>
  <c r="D23" i="19"/>
  <c r="D24" i="19"/>
  <c r="D25" i="19"/>
  <c r="D26" i="19"/>
  <c r="D27" i="19"/>
  <c r="D28" i="19"/>
  <c r="D20" i="19"/>
  <c r="D11" i="19"/>
  <c r="D12" i="19"/>
  <c r="D13" i="19"/>
  <c r="D14" i="19"/>
  <c r="D15" i="19"/>
  <c r="D16" i="19"/>
  <c r="D17" i="19"/>
  <c r="D18" i="19"/>
  <c r="D19" i="19"/>
  <c r="D3" i="19"/>
  <c r="D4" i="19"/>
  <c r="D5" i="19"/>
  <c r="D6" i="19"/>
  <c r="D7" i="19"/>
  <c r="D8" i="19"/>
  <c r="D9" i="19"/>
  <c r="D10" i="19"/>
  <c r="D2" i="19"/>
  <c r="F2" i="20"/>
  <c r="G2" i="20" s="1"/>
  <c r="C2" i="20"/>
  <c r="B2" i="20"/>
  <c r="A3" i="20"/>
  <c r="A4" i="20" s="1"/>
  <c r="E2" i="20" l="1"/>
  <c r="D2" i="20"/>
  <c r="A5" i="20"/>
  <c r="C4" i="20"/>
  <c r="F4" i="20"/>
  <c r="G4" i="20" s="1"/>
  <c r="B4" i="20"/>
  <c r="E4" i="20" s="1"/>
  <c r="B3" i="20"/>
  <c r="C3" i="20"/>
  <c r="D3" i="20" s="1"/>
  <c r="F3" i="20"/>
  <c r="G3" i="20" s="1"/>
  <c r="E3" i="20" l="1"/>
  <c r="D4" i="20"/>
  <c r="A6" i="20"/>
  <c r="B5" i="20"/>
  <c r="C5" i="20"/>
  <c r="D5" i="20" s="1"/>
  <c r="F5" i="20"/>
  <c r="G5" i="20" s="1"/>
  <c r="I46" i="15"/>
  <c r="G47" i="15"/>
  <c r="L46" i="15"/>
  <c r="F47" i="15"/>
  <c r="F48" i="15" s="1"/>
  <c r="F49" i="15" s="1"/>
  <c r="F50" i="15" s="1"/>
  <c r="F51" i="15" s="1"/>
  <c r="F52" i="15" s="1"/>
  <c r="F53" i="15" s="1"/>
  <c r="F54" i="15" s="1"/>
  <c r="I47" i="15" l="1"/>
  <c r="G48" i="15"/>
  <c r="E5" i="20"/>
  <c r="A7" i="20"/>
  <c r="F6" i="20"/>
  <c r="G6" i="20" s="1"/>
  <c r="B6" i="20"/>
  <c r="C6" i="20"/>
  <c r="M4" i="17"/>
  <c r="M5" i="17"/>
  <c r="M6" i="17"/>
  <c r="M7" i="17"/>
  <c r="M8" i="17"/>
  <c r="M9" i="17"/>
  <c r="M10" i="17"/>
  <c r="M11" i="17"/>
  <c r="M2" i="17"/>
  <c r="E6" i="20" l="1"/>
  <c r="G49" i="15"/>
  <c r="I48" i="15"/>
  <c r="D6" i="20"/>
  <c r="A8" i="20"/>
  <c r="B7" i="20"/>
  <c r="C7" i="20"/>
  <c r="F7" i="20"/>
  <c r="G7" i="20" s="1"/>
  <c r="H74" i="11"/>
  <c r="E7" i="20" l="1"/>
  <c r="G50" i="15"/>
  <c r="I49" i="15"/>
  <c r="D7" i="20"/>
  <c r="A9" i="20"/>
  <c r="F8" i="20"/>
  <c r="G8" i="20" s="1"/>
  <c r="B8" i="20"/>
  <c r="C8" i="20"/>
  <c r="D8" i="20" s="1"/>
  <c r="W4" i="15"/>
  <c r="W5" i="15"/>
  <c r="W6" i="15"/>
  <c r="W7" i="15"/>
  <c r="W8" i="15"/>
  <c r="W9" i="15"/>
  <c r="W10" i="15"/>
  <c r="W11" i="15"/>
  <c r="W3" i="15"/>
  <c r="E8" i="20" l="1"/>
  <c r="G51" i="15"/>
  <c r="I50" i="15"/>
  <c r="A10" i="20"/>
  <c r="B9" i="20"/>
  <c r="C9" i="20"/>
  <c r="F9" i="20"/>
  <c r="G9" i="20" s="1"/>
  <c r="C19" i="16"/>
  <c r="D19" i="16" s="1"/>
  <c r="E19" i="16" s="1"/>
  <c r="F19" i="16" s="1"/>
  <c r="G19" i="16" s="1"/>
  <c r="H19" i="16" s="1"/>
  <c r="I19" i="16" s="1"/>
  <c r="J19" i="16" s="1"/>
  <c r="K19" i="16" s="1"/>
  <c r="L19" i="16" s="1"/>
  <c r="M19" i="16" s="1"/>
  <c r="N19" i="16" s="1"/>
  <c r="O19" i="16" s="1"/>
  <c r="P19" i="16" s="1"/>
  <c r="Q19" i="16" s="1"/>
  <c r="R19" i="16" s="1"/>
  <c r="S19" i="16" s="1"/>
  <c r="T19" i="16" s="1"/>
  <c r="U19" i="16" s="1"/>
  <c r="V19" i="16" s="1"/>
  <c r="W19" i="16" s="1"/>
  <c r="X19" i="16" s="1"/>
  <c r="Y19" i="16" s="1"/>
  <c r="Z19" i="16" s="1"/>
  <c r="AA19" i="16" s="1"/>
  <c r="AB19" i="16" s="1"/>
  <c r="AC19" i="16" s="1"/>
  <c r="AD19" i="16" s="1"/>
  <c r="AE19" i="16" s="1"/>
  <c r="AF19" i="16" s="1"/>
  <c r="AG19" i="16" s="1"/>
  <c r="AH19" i="16" s="1"/>
  <c r="AI19" i="16" s="1"/>
  <c r="AJ19" i="16" s="1"/>
  <c r="AK19" i="16" s="1"/>
  <c r="AL19" i="16" s="1"/>
  <c r="AM19" i="16" s="1"/>
  <c r="AN19" i="16" s="1"/>
  <c r="AO19" i="16" s="1"/>
  <c r="AP19" i="16" s="1"/>
  <c r="AQ19" i="16" s="1"/>
  <c r="AR19" i="16" s="1"/>
  <c r="AS19" i="16" s="1"/>
  <c r="AT19" i="16" s="1"/>
  <c r="AU19" i="16" s="1"/>
  <c r="AV19" i="16" s="1"/>
  <c r="AW19" i="16" s="1"/>
  <c r="AX19" i="16" s="1"/>
  <c r="AY19" i="16" s="1"/>
  <c r="AZ19" i="16" s="1"/>
  <c r="BA19" i="16" s="1"/>
  <c r="BB19" i="16" s="1"/>
  <c r="BC19" i="16" s="1"/>
  <c r="BD19" i="16" s="1"/>
  <c r="BE19" i="16" s="1"/>
  <c r="BF19" i="16" s="1"/>
  <c r="BG19" i="16" s="1"/>
  <c r="BH19" i="16" s="1"/>
  <c r="BI19" i="16" s="1"/>
  <c r="BJ19" i="16" s="1"/>
  <c r="BK19" i="16" s="1"/>
  <c r="BL19" i="16" s="1"/>
  <c r="BM19" i="16" s="1"/>
  <c r="BN19" i="16" s="1"/>
  <c r="BO19" i="16" s="1"/>
  <c r="BP19" i="16" s="1"/>
  <c r="BQ19" i="16" s="1"/>
  <c r="BR19" i="16" s="1"/>
  <c r="BS19" i="16" s="1"/>
  <c r="BT19" i="16" s="1"/>
  <c r="BU19" i="16" s="1"/>
  <c r="BV19" i="16" s="1"/>
  <c r="BW19" i="16" s="1"/>
  <c r="BX19" i="16" s="1"/>
  <c r="BY19" i="16" s="1"/>
  <c r="BZ19" i="16" s="1"/>
  <c r="CA19" i="16" s="1"/>
  <c r="CB19" i="16" s="1"/>
  <c r="CC19" i="16" s="1"/>
  <c r="CD19" i="16" s="1"/>
  <c r="CE19" i="16" s="1"/>
  <c r="CF19" i="16" s="1"/>
  <c r="CG19" i="16" s="1"/>
  <c r="CH19" i="16" s="1"/>
  <c r="CI19" i="16" s="1"/>
  <c r="CJ19" i="16" s="1"/>
  <c r="CK19" i="16" s="1"/>
  <c r="CL19" i="16" s="1"/>
  <c r="CM19" i="16" s="1"/>
  <c r="CN19" i="16" s="1"/>
  <c r="CO19" i="16" s="1"/>
  <c r="CP19" i="16" s="1"/>
  <c r="CQ19" i="16" s="1"/>
  <c r="CR19" i="16" s="1"/>
  <c r="CS19" i="16" s="1"/>
  <c r="CT19" i="16" s="1"/>
  <c r="CU19" i="16" s="1"/>
  <c r="CV19" i="16" s="1"/>
  <c r="CW19" i="16" s="1"/>
  <c r="CX19" i="16" s="1"/>
  <c r="CY19" i="16" s="1"/>
  <c r="CZ19" i="16" s="1"/>
  <c r="DA19" i="16" s="1"/>
  <c r="DB19" i="16" s="1"/>
  <c r="DC19" i="16" s="1"/>
  <c r="DD19" i="16" s="1"/>
  <c r="DE19" i="16" s="1"/>
  <c r="DF19" i="16" s="1"/>
  <c r="DG19" i="16" s="1"/>
  <c r="DH19" i="16" s="1"/>
  <c r="DI19" i="16" s="1"/>
  <c r="DJ19" i="16" s="1"/>
  <c r="DK19" i="16" s="1"/>
  <c r="DL19" i="16" s="1"/>
  <c r="DM19" i="16" s="1"/>
  <c r="DN19" i="16" s="1"/>
  <c r="DO19" i="16" s="1"/>
  <c r="DP19" i="16" s="1"/>
  <c r="DQ19" i="16" s="1"/>
  <c r="DR19" i="16" s="1"/>
  <c r="DS19" i="16" s="1"/>
  <c r="DT19" i="16" s="1"/>
  <c r="DU19" i="16" s="1"/>
  <c r="DV19" i="16" s="1"/>
  <c r="DW19" i="16" s="1"/>
  <c r="DX19" i="16" s="1"/>
  <c r="DY19" i="16" s="1"/>
  <c r="DZ19" i="16" s="1"/>
  <c r="EA19" i="16" s="1"/>
  <c r="EB19" i="16" s="1"/>
  <c r="EC19" i="16" s="1"/>
  <c r="ED19" i="16" s="1"/>
  <c r="EE19" i="16" s="1"/>
  <c r="EF19" i="16" s="1"/>
  <c r="EG19" i="16" s="1"/>
  <c r="EH19" i="16" s="1"/>
  <c r="EI19" i="16" s="1"/>
  <c r="EJ19" i="16" s="1"/>
  <c r="EK19" i="16" s="1"/>
  <c r="EL19" i="16" s="1"/>
  <c r="EM19" i="16" s="1"/>
  <c r="EN19" i="16" s="1"/>
  <c r="EO19" i="16" s="1"/>
  <c r="EP19" i="16" s="1"/>
  <c r="EQ19" i="16" s="1"/>
  <c r="ER19" i="16" s="1"/>
  <c r="ES19" i="16" s="1"/>
  <c r="ET19" i="16" s="1"/>
  <c r="EU19" i="16" s="1"/>
  <c r="EV19" i="16" s="1"/>
  <c r="EW19" i="16" s="1"/>
  <c r="EX19" i="16" s="1"/>
  <c r="EY19" i="16" s="1"/>
  <c r="EZ19" i="16" s="1"/>
  <c r="FA19" i="16" s="1"/>
  <c r="FB19" i="16" s="1"/>
  <c r="FC19" i="16" s="1"/>
  <c r="FD19" i="16" s="1"/>
  <c r="FE19" i="16" s="1"/>
  <c r="FF19" i="16" s="1"/>
  <c r="FG19" i="16" s="1"/>
  <c r="FH19" i="16" s="1"/>
  <c r="FI19" i="16" s="1"/>
  <c r="FJ19" i="16" s="1"/>
  <c r="FK19" i="16" s="1"/>
  <c r="FL19" i="16" s="1"/>
  <c r="C18" i="16"/>
  <c r="D18" i="16" s="1"/>
  <c r="E18" i="16" s="1"/>
  <c r="F18" i="16" s="1"/>
  <c r="G18" i="16" s="1"/>
  <c r="H18" i="16" s="1"/>
  <c r="I18" i="16" s="1"/>
  <c r="J18" i="16" s="1"/>
  <c r="K18" i="16" s="1"/>
  <c r="L18" i="16" s="1"/>
  <c r="M18" i="16" s="1"/>
  <c r="N18" i="16" s="1"/>
  <c r="O18" i="16" s="1"/>
  <c r="P18" i="16" s="1"/>
  <c r="Q18" i="16" s="1"/>
  <c r="R18" i="16" s="1"/>
  <c r="S18" i="16" s="1"/>
  <c r="T18" i="16" s="1"/>
  <c r="U18" i="16" s="1"/>
  <c r="V18" i="16" s="1"/>
  <c r="W18" i="16" s="1"/>
  <c r="X18" i="16" s="1"/>
  <c r="Y18" i="16" s="1"/>
  <c r="Z18" i="16" s="1"/>
  <c r="AA18" i="16" s="1"/>
  <c r="AB18" i="16" s="1"/>
  <c r="AC18" i="16" s="1"/>
  <c r="AD18" i="16" s="1"/>
  <c r="AE18" i="16" s="1"/>
  <c r="AF18" i="16" s="1"/>
  <c r="AG18" i="16" s="1"/>
  <c r="AH18" i="16" s="1"/>
  <c r="AI18" i="16" s="1"/>
  <c r="AJ18" i="16" s="1"/>
  <c r="AK18" i="16" s="1"/>
  <c r="AL18" i="16" s="1"/>
  <c r="AM18" i="16" s="1"/>
  <c r="AN18" i="16" s="1"/>
  <c r="AO18" i="16" s="1"/>
  <c r="AP18" i="16" s="1"/>
  <c r="AQ18" i="16" s="1"/>
  <c r="AR18" i="16" s="1"/>
  <c r="AS18" i="16" s="1"/>
  <c r="AT18" i="16" s="1"/>
  <c r="AU18" i="16" s="1"/>
  <c r="AV18" i="16" s="1"/>
  <c r="AW18" i="16" s="1"/>
  <c r="AX18" i="16" s="1"/>
  <c r="AY18" i="16" s="1"/>
  <c r="AZ18" i="16" s="1"/>
  <c r="BA18" i="16" s="1"/>
  <c r="BB18" i="16" s="1"/>
  <c r="BC18" i="16" s="1"/>
  <c r="BD18" i="16" s="1"/>
  <c r="BE18" i="16" s="1"/>
  <c r="BF18" i="16" s="1"/>
  <c r="BG18" i="16" s="1"/>
  <c r="BH18" i="16" s="1"/>
  <c r="BI18" i="16" s="1"/>
  <c r="BJ18" i="16" s="1"/>
  <c r="BK18" i="16" s="1"/>
  <c r="BL18" i="16" s="1"/>
  <c r="BM18" i="16" s="1"/>
  <c r="BN18" i="16" s="1"/>
  <c r="BO18" i="16" s="1"/>
  <c r="BP18" i="16" s="1"/>
  <c r="BQ18" i="16" s="1"/>
  <c r="BR18" i="16" s="1"/>
  <c r="BS18" i="16" s="1"/>
  <c r="BT18" i="16" s="1"/>
  <c r="BU18" i="16" s="1"/>
  <c r="BV18" i="16" s="1"/>
  <c r="BW18" i="16" s="1"/>
  <c r="BX18" i="16" s="1"/>
  <c r="BY18" i="16" s="1"/>
  <c r="BZ18" i="16" s="1"/>
  <c r="CA18" i="16" s="1"/>
  <c r="CB18" i="16" s="1"/>
  <c r="CC18" i="16" s="1"/>
  <c r="CD18" i="16" s="1"/>
  <c r="CE18" i="16" s="1"/>
  <c r="CF18" i="16" s="1"/>
  <c r="CG18" i="16" s="1"/>
  <c r="CH18" i="16" s="1"/>
  <c r="CI18" i="16" s="1"/>
  <c r="CJ18" i="16" s="1"/>
  <c r="CK18" i="16" s="1"/>
  <c r="CL18" i="16" s="1"/>
  <c r="CM18" i="16" s="1"/>
  <c r="CN18" i="16" s="1"/>
  <c r="CO18" i="16" s="1"/>
  <c r="CP18" i="16" s="1"/>
  <c r="CQ18" i="16" s="1"/>
  <c r="CR18" i="16" s="1"/>
  <c r="CS18" i="16" s="1"/>
  <c r="CT18" i="16" s="1"/>
  <c r="CU18" i="16" s="1"/>
  <c r="CV18" i="16" s="1"/>
  <c r="CW18" i="16" s="1"/>
  <c r="CX18" i="16" s="1"/>
  <c r="CY18" i="16" s="1"/>
  <c r="CZ18" i="16" s="1"/>
  <c r="DA18" i="16" s="1"/>
  <c r="DB18" i="16" s="1"/>
  <c r="DC18" i="16" s="1"/>
  <c r="DD18" i="16" s="1"/>
  <c r="DE18" i="16" s="1"/>
  <c r="DF18" i="16" s="1"/>
  <c r="DG18" i="16" s="1"/>
  <c r="DH18" i="16" s="1"/>
  <c r="DI18" i="16" s="1"/>
  <c r="DJ18" i="16" s="1"/>
  <c r="DK18" i="16" s="1"/>
  <c r="DL18" i="16" s="1"/>
  <c r="DM18" i="16" s="1"/>
  <c r="DN18" i="16" s="1"/>
  <c r="DO18" i="16" s="1"/>
  <c r="DP18" i="16" s="1"/>
  <c r="DQ18" i="16" s="1"/>
  <c r="DR18" i="16" s="1"/>
  <c r="DS18" i="16" s="1"/>
  <c r="DT18" i="16" s="1"/>
  <c r="DU18" i="16" s="1"/>
  <c r="DV18" i="16" s="1"/>
  <c r="DW18" i="16" s="1"/>
  <c r="DX18" i="16" s="1"/>
  <c r="DY18" i="16" s="1"/>
  <c r="DZ18" i="16" s="1"/>
  <c r="EA18" i="16" s="1"/>
  <c r="EB18" i="16" s="1"/>
  <c r="EC18" i="16" s="1"/>
  <c r="ED18" i="16" s="1"/>
  <c r="EE18" i="16" s="1"/>
  <c r="EF18" i="16" s="1"/>
  <c r="EG18" i="16" s="1"/>
  <c r="EH18" i="16" s="1"/>
  <c r="EI18" i="16" s="1"/>
  <c r="EJ18" i="16" s="1"/>
  <c r="EK18" i="16" s="1"/>
  <c r="EL18" i="16" s="1"/>
  <c r="EM18" i="16" s="1"/>
  <c r="EN18" i="16" s="1"/>
  <c r="EO18" i="16" s="1"/>
  <c r="EP18" i="16" s="1"/>
  <c r="EQ18" i="16" s="1"/>
  <c r="ER18" i="16" s="1"/>
  <c r="ES18" i="16" s="1"/>
  <c r="ET18" i="16" s="1"/>
  <c r="EU18" i="16" s="1"/>
  <c r="EV18" i="16" s="1"/>
  <c r="EW18" i="16" s="1"/>
  <c r="EX18" i="16" s="1"/>
  <c r="EY18" i="16" s="1"/>
  <c r="EZ18" i="16" s="1"/>
  <c r="FA18" i="16" s="1"/>
  <c r="FB18" i="16" s="1"/>
  <c r="FC18" i="16" s="1"/>
  <c r="FD18" i="16" s="1"/>
  <c r="FE18" i="16" s="1"/>
  <c r="FF18" i="16" s="1"/>
  <c r="FG18" i="16" s="1"/>
  <c r="FH18" i="16" s="1"/>
  <c r="FI18" i="16" s="1"/>
  <c r="FJ18" i="16" s="1"/>
  <c r="FK18" i="16" s="1"/>
  <c r="FL18" i="16" s="1"/>
  <c r="C13" i="16"/>
  <c r="D13" i="16" s="1"/>
  <c r="E13" i="16" s="1"/>
  <c r="F13" i="16" s="1"/>
  <c r="G13" i="16" s="1"/>
  <c r="H13" i="16" s="1"/>
  <c r="I13" i="16" s="1"/>
  <c r="J13" i="16" s="1"/>
  <c r="K13" i="16" s="1"/>
  <c r="L13" i="16" s="1"/>
  <c r="M13" i="16" s="1"/>
  <c r="N13" i="16" s="1"/>
  <c r="O13" i="16" s="1"/>
  <c r="P13" i="16" s="1"/>
  <c r="Q13" i="16" s="1"/>
  <c r="R13" i="16" s="1"/>
  <c r="S13" i="16" s="1"/>
  <c r="T13" i="16" s="1"/>
  <c r="U13" i="16" s="1"/>
  <c r="V13" i="16" s="1"/>
  <c r="W13" i="16" s="1"/>
  <c r="X13" i="16" s="1"/>
  <c r="Y13" i="16" s="1"/>
  <c r="Z13" i="16" s="1"/>
  <c r="AA13" i="16" s="1"/>
  <c r="AB13" i="16" s="1"/>
  <c r="AC13" i="16" s="1"/>
  <c r="AD13" i="16" s="1"/>
  <c r="AE13" i="16" s="1"/>
  <c r="AF13" i="16" s="1"/>
  <c r="AG13" i="16" s="1"/>
  <c r="AH13" i="16" s="1"/>
  <c r="AI13" i="16" s="1"/>
  <c r="AJ13" i="16" s="1"/>
  <c r="AK13" i="16" s="1"/>
  <c r="AL13" i="16" s="1"/>
  <c r="AM13" i="16" s="1"/>
  <c r="AN13" i="16" s="1"/>
  <c r="AO13" i="16" s="1"/>
  <c r="AP13" i="16" s="1"/>
  <c r="AQ13" i="16" s="1"/>
  <c r="AR13" i="16" s="1"/>
  <c r="AS13" i="16" s="1"/>
  <c r="AT13" i="16" s="1"/>
  <c r="AU13" i="16" s="1"/>
  <c r="AV13" i="16" s="1"/>
  <c r="AW13" i="16" s="1"/>
  <c r="AX13" i="16" s="1"/>
  <c r="AY13" i="16" s="1"/>
  <c r="AZ13" i="16" s="1"/>
  <c r="BA13" i="16" s="1"/>
  <c r="BB13" i="16" s="1"/>
  <c r="BC13" i="16" s="1"/>
  <c r="BD13" i="16" s="1"/>
  <c r="BE13" i="16" s="1"/>
  <c r="BF13" i="16" s="1"/>
  <c r="BG13" i="16" s="1"/>
  <c r="BH13" i="16" s="1"/>
  <c r="BI13" i="16" s="1"/>
  <c r="BJ13" i="16" s="1"/>
  <c r="BK13" i="16" s="1"/>
  <c r="BL13" i="16" s="1"/>
  <c r="BM13" i="16" s="1"/>
  <c r="BN13" i="16" s="1"/>
  <c r="BO13" i="16" s="1"/>
  <c r="BP13" i="16" s="1"/>
  <c r="BQ13" i="16" s="1"/>
  <c r="BR13" i="16" s="1"/>
  <c r="BS13" i="16" s="1"/>
  <c r="BT13" i="16" s="1"/>
  <c r="BU13" i="16" s="1"/>
  <c r="BV13" i="16" s="1"/>
  <c r="BW13" i="16" s="1"/>
  <c r="BX13" i="16" s="1"/>
  <c r="BY13" i="16" s="1"/>
  <c r="BZ13" i="16" s="1"/>
  <c r="CA13" i="16" s="1"/>
  <c r="CB13" i="16" s="1"/>
  <c r="CC13" i="16" s="1"/>
  <c r="CD13" i="16" s="1"/>
  <c r="CE13" i="16" s="1"/>
  <c r="CF13" i="16" s="1"/>
  <c r="CG13" i="16" s="1"/>
  <c r="CH13" i="16" s="1"/>
  <c r="CI13" i="16" s="1"/>
  <c r="CJ13" i="16" s="1"/>
  <c r="CK13" i="16" s="1"/>
  <c r="CL13" i="16" s="1"/>
  <c r="CM13" i="16" s="1"/>
  <c r="CN13" i="16" s="1"/>
  <c r="CO13" i="16" s="1"/>
  <c r="CP13" i="16" s="1"/>
  <c r="CQ13" i="16" s="1"/>
  <c r="CR13" i="16" s="1"/>
  <c r="CS13" i="16" s="1"/>
  <c r="CT13" i="16" s="1"/>
  <c r="CU13" i="16" s="1"/>
  <c r="CV13" i="16" s="1"/>
  <c r="CW13" i="16" s="1"/>
  <c r="CX13" i="16" s="1"/>
  <c r="CY13" i="16" s="1"/>
  <c r="CZ13" i="16" s="1"/>
  <c r="DA13" i="16" s="1"/>
  <c r="DB13" i="16" s="1"/>
  <c r="DC13" i="16" s="1"/>
  <c r="DD13" i="16" s="1"/>
  <c r="DE13" i="16" s="1"/>
  <c r="DF13" i="16" s="1"/>
  <c r="DG13" i="16" s="1"/>
  <c r="DH13" i="16" s="1"/>
  <c r="DI13" i="16" s="1"/>
  <c r="DJ13" i="16" s="1"/>
  <c r="DK13" i="16" s="1"/>
  <c r="DL13" i="16" s="1"/>
  <c r="DM13" i="16" s="1"/>
  <c r="DN13" i="16" s="1"/>
  <c r="DO13" i="16" s="1"/>
  <c r="DP13" i="16" s="1"/>
  <c r="DQ13" i="16" s="1"/>
  <c r="DR13" i="16" s="1"/>
  <c r="DS13" i="16" s="1"/>
  <c r="DT13" i="16" s="1"/>
  <c r="DU13" i="16" s="1"/>
  <c r="DV13" i="16" s="1"/>
  <c r="DW13" i="16" s="1"/>
  <c r="DX13" i="16" s="1"/>
  <c r="DY13" i="16" s="1"/>
  <c r="DZ13" i="16" s="1"/>
  <c r="EA13" i="16" s="1"/>
  <c r="EB13" i="16" s="1"/>
  <c r="EC13" i="16" s="1"/>
  <c r="ED13" i="16" s="1"/>
  <c r="EE13" i="16" s="1"/>
  <c r="EF13" i="16" s="1"/>
  <c r="EG13" i="16" s="1"/>
  <c r="EH13" i="16" s="1"/>
  <c r="EI13" i="16" s="1"/>
  <c r="EJ13" i="16" s="1"/>
  <c r="EK13" i="16" s="1"/>
  <c r="EL13" i="16" s="1"/>
  <c r="EM13" i="16" s="1"/>
  <c r="EN13" i="16" s="1"/>
  <c r="EO13" i="16" s="1"/>
  <c r="EP13" i="16" s="1"/>
  <c r="EQ13" i="16" s="1"/>
  <c r="ER13" i="16" s="1"/>
  <c r="ES13" i="16" s="1"/>
  <c r="ET13" i="16" s="1"/>
  <c r="EU13" i="16" s="1"/>
  <c r="EV13" i="16" s="1"/>
  <c r="EW13" i="16" s="1"/>
  <c r="EX13" i="16" s="1"/>
  <c r="EY13" i="16" s="1"/>
  <c r="EZ13" i="16" s="1"/>
  <c r="FA13" i="16" s="1"/>
  <c r="FB13" i="16" s="1"/>
  <c r="FC13" i="16" s="1"/>
  <c r="FD13" i="16" s="1"/>
  <c r="FE13" i="16" s="1"/>
  <c r="FF13" i="16" s="1"/>
  <c r="FG13" i="16" s="1"/>
  <c r="FH13" i="16" s="1"/>
  <c r="FI13" i="16" s="1"/>
  <c r="FJ13" i="16" s="1"/>
  <c r="FK13" i="16" s="1"/>
  <c r="FL13" i="16" s="1"/>
  <c r="C16" i="16"/>
  <c r="D16" i="16" s="1"/>
  <c r="E16" i="16" s="1"/>
  <c r="F16" i="16" s="1"/>
  <c r="G16" i="16" s="1"/>
  <c r="H16" i="16" s="1"/>
  <c r="I16" i="16" s="1"/>
  <c r="J16" i="16" s="1"/>
  <c r="K16" i="16" s="1"/>
  <c r="L16" i="16" s="1"/>
  <c r="M16" i="16" s="1"/>
  <c r="N16" i="16" s="1"/>
  <c r="O16" i="16" s="1"/>
  <c r="P16" i="16" s="1"/>
  <c r="Q16" i="16" s="1"/>
  <c r="R16" i="16" s="1"/>
  <c r="S16" i="16" s="1"/>
  <c r="T16" i="16" s="1"/>
  <c r="U16" i="16" s="1"/>
  <c r="V16" i="16" s="1"/>
  <c r="W16" i="16" s="1"/>
  <c r="X16" i="16" s="1"/>
  <c r="Y16" i="16" s="1"/>
  <c r="Z16" i="16" s="1"/>
  <c r="AA16" i="16" s="1"/>
  <c r="AB16" i="16" s="1"/>
  <c r="AC16" i="16" s="1"/>
  <c r="AD16" i="16" s="1"/>
  <c r="AE16" i="16" s="1"/>
  <c r="AF16" i="16" s="1"/>
  <c r="AG16" i="16" s="1"/>
  <c r="AH16" i="16" s="1"/>
  <c r="AI16" i="16" s="1"/>
  <c r="AJ16" i="16" s="1"/>
  <c r="AK16" i="16" s="1"/>
  <c r="AL16" i="16" s="1"/>
  <c r="AM16" i="16" s="1"/>
  <c r="AN16" i="16" s="1"/>
  <c r="AO16" i="16" s="1"/>
  <c r="AP16" i="16" s="1"/>
  <c r="AQ16" i="16" s="1"/>
  <c r="AR16" i="16" s="1"/>
  <c r="AS16" i="16" s="1"/>
  <c r="AT16" i="16" s="1"/>
  <c r="AU16" i="16" s="1"/>
  <c r="AV16" i="16" s="1"/>
  <c r="AW16" i="16" s="1"/>
  <c r="AX16" i="16" s="1"/>
  <c r="AY16" i="16" s="1"/>
  <c r="AZ16" i="16" s="1"/>
  <c r="BA16" i="16" s="1"/>
  <c r="BB16" i="16" s="1"/>
  <c r="BC16" i="16" s="1"/>
  <c r="BD16" i="16" s="1"/>
  <c r="BE16" i="16" s="1"/>
  <c r="BF16" i="16" s="1"/>
  <c r="BG16" i="16" s="1"/>
  <c r="BH16" i="16" s="1"/>
  <c r="BI16" i="16" s="1"/>
  <c r="BJ16" i="16" s="1"/>
  <c r="BK16" i="16" s="1"/>
  <c r="BL16" i="16" s="1"/>
  <c r="BM16" i="16" s="1"/>
  <c r="BN16" i="16" s="1"/>
  <c r="BO16" i="16" s="1"/>
  <c r="BP16" i="16" s="1"/>
  <c r="BQ16" i="16" s="1"/>
  <c r="BR16" i="16" s="1"/>
  <c r="BS16" i="16" s="1"/>
  <c r="BT16" i="16" s="1"/>
  <c r="BU16" i="16" s="1"/>
  <c r="BV16" i="16" s="1"/>
  <c r="BW16" i="16" s="1"/>
  <c r="BX16" i="16" s="1"/>
  <c r="BY16" i="16" s="1"/>
  <c r="BZ16" i="16" s="1"/>
  <c r="CA16" i="16" s="1"/>
  <c r="CB16" i="16" s="1"/>
  <c r="CC16" i="16" s="1"/>
  <c r="CD16" i="16" s="1"/>
  <c r="CE16" i="16" s="1"/>
  <c r="CF16" i="16" s="1"/>
  <c r="CG16" i="16" s="1"/>
  <c r="CH16" i="16" s="1"/>
  <c r="CI16" i="16" s="1"/>
  <c r="CJ16" i="16" s="1"/>
  <c r="CK16" i="16" s="1"/>
  <c r="CL16" i="16" s="1"/>
  <c r="CM16" i="16" s="1"/>
  <c r="CN16" i="16" s="1"/>
  <c r="CO16" i="16" s="1"/>
  <c r="CP16" i="16" s="1"/>
  <c r="CQ16" i="16" s="1"/>
  <c r="CR16" i="16" s="1"/>
  <c r="CS16" i="16" s="1"/>
  <c r="CT16" i="16" s="1"/>
  <c r="CU16" i="16" s="1"/>
  <c r="CV16" i="16" s="1"/>
  <c r="CW16" i="16" s="1"/>
  <c r="CX16" i="16" s="1"/>
  <c r="CY16" i="16" s="1"/>
  <c r="CZ16" i="16" s="1"/>
  <c r="DA16" i="16" s="1"/>
  <c r="DB16" i="16" s="1"/>
  <c r="DC16" i="16" s="1"/>
  <c r="DD16" i="16" s="1"/>
  <c r="DE16" i="16" s="1"/>
  <c r="DF16" i="16" s="1"/>
  <c r="DG16" i="16" s="1"/>
  <c r="DH16" i="16" s="1"/>
  <c r="DI16" i="16" s="1"/>
  <c r="DJ16" i="16" s="1"/>
  <c r="DK16" i="16" s="1"/>
  <c r="DL16" i="16" s="1"/>
  <c r="DM16" i="16" s="1"/>
  <c r="DN16" i="16" s="1"/>
  <c r="DO16" i="16" s="1"/>
  <c r="DP16" i="16" s="1"/>
  <c r="DQ16" i="16" s="1"/>
  <c r="DR16" i="16" s="1"/>
  <c r="DS16" i="16" s="1"/>
  <c r="DT16" i="16" s="1"/>
  <c r="DU16" i="16" s="1"/>
  <c r="DV16" i="16" s="1"/>
  <c r="DW16" i="16" s="1"/>
  <c r="DX16" i="16" s="1"/>
  <c r="DY16" i="16" s="1"/>
  <c r="DZ16" i="16" s="1"/>
  <c r="EA16" i="16" s="1"/>
  <c r="EB16" i="16" s="1"/>
  <c r="EC16" i="16" s="1"/>
  <c r="ED16" i="16" s="1"/>
  <c r="EE16" i="16" s="1"/>
  <c r="EF16" i="16" s="1"/>
  <c r="EG16" i="16" s="1"/>
  <c r="EH16" i="16" s="1"/>
  <c r="EI16" i="16" s="1"/>
  <c r="EJ16" i="16" s="1"/>
  <c r="EK16" i="16" s="1"/>
  <c r="EL16" i="16" s="1"/>
  <c r="EM16" i="16" s="1"/>
  <c r="EN16" i="16" s="1"/>
  <c r="EO16" i="16" s="1"/>
  <c r="EP16" i="16" s="1"/>
  <c r="EQ16" i="16" s="1"/>
  <c r="ER16" i="16" s="1"/>
  <c r="ES16" i="16" s="1"/>
  <c r="ET16" i="16" s="1"/>
  <c r="EU16" i="16" s="1"/>
  <c r="EV16" i="16" s="1"/>
  <c r="EW16" i="16" s="1"/>
  <c r="EX16" i="16" s="1"/>
  <c r="EY16" i="16" s="1"/>
  <c r="EZ16" i="16" s="1"/>
  <c r="FA16" i="16" s="1"/>
  <c r="FB16" i="16" s="1"/>
  <c r="FC16" i="16" s="1"/>
  <c r="FD16" i="16" s="1"/>
  <c r="FE16" i="16" s="1"/>
  <c r="FF16" i="16" s="1"/>
  <c r="FG16" i="16" s="1"/>
  <c r="FH16" i="16" s="1"/>
  <c r="FI16" i="16" s="1"/>
  <c r="FJ16" i="16" s="1"/>
  <c r="FK16" i="16" s="1"/>
  <c r="FL16" i="16" s="1"/>
  <c r="C15" i="16"/>
  <c r="D15" i="16" s="1"/>
  <c r="E15" i="16" s="1"/>
  <c r="F15" i="16" s="1"/>
  <c r="G15" i="16" s="1"/>
  <c r="H15" i="16" s="1"/>
  <c r="I15" i="16" s="1"/>
  <c r="J15" i="16" s="1"/>
  <c r="K15" i="16" s="1"/>
  <c r="L15" i="16" s="1"/>
  <c r="M15" i="16" s="1"/>
  <c r="N15" i="16" s="1"/>
  <c r="O15" i="16" s="1"/>
  <c r="P15" i="16" s="1"/>
  <c r="Q15" i="16" s="1"/>
  <c r="R15" i="16" s="1"/>
  <c r="S15" i="16" s="1"/>
  <c r="T15" i="16" s="1"/>
  <c r="U15" i="16" s="1"/>
  <c r="V15" i="16" s="1"/>
  <c r="W15" i="16" s="1"/>
  <c r="X15" i="16" s="1"/>
  <c r="Y15" i="16" s="1"/>
  <c r="Z15" i="16" s="1"/>
  <c r="AA15" i="16" s="1"/>
  <c r="AB15" i="16" s="1"/>
  <c r="AC15" i="16" s="1"/>
  <c r="AD15" i="16" s="1"/>
  <c r="AE15" i="16" s="1"/>
  <c r="AF15" i="16" s="1"/>
  <c r="AG15" i="16" s="1"/>
  <c r="AH15" i="16" s="1"/>
  <c r="AI15" i="16" s="1"/>
  <c r="AJ15" i="16" s="1"/>
  <c r="AK15" i="16" s="1"/>
  <c r="AL15" i="16" s="1"/>
  <c r="AM15" i="16" s="1"/>
  <c r="AN15" i="16" s="1"/>
  <c r="AO15" i="16" s="1"/>
  <c r="AP15" i="16" s="1"/>
  <c r="AQ15" i="16" s="1"/>
  <c r="AR15" i="16" s="1"/>
  <c r="AS15" i="16" s="1"/>
  <c r="AT15" i="16" s="1"/>
  <c r="AU15" i="16" s="1"/>
  <c r="AV15" i="16" s="1"/>
  <c r="AW15" i="16" s="1"/>
  <c r="AX15" i="16" s="1"/>
  <c r="AY15" i="16" s="1"/>
  <c r="AZ15" i="16" s="1"/>
  <c r="BA15" i="16" s="1"/>
  <c r="BB15" i="16" s="1"/>
  <c r="BC15" i="16" s="1"/>
  <c r="BD15" i="16" s="1"/>
  <c r="BE15" i="16" s="1"/>
  <c r="BF15" i="16" s="1"/>
  <c r="BG15" i="16" s="1"/>
  <c r="BH15" i="16" s="1"/>
  <c r="BI15" i="16" s="1"/>
  <c r="BJ15" i="16" s="1"/>
  <c r="BK15" i="16" s="1"/>
  <c r="BL15" i="16" s="1"/>
  <c r="BM15" i="16" s="1"/>
  <c r="BN15" i="16" s="1"/>
  <c r="BO15" i="16" s="1"/>
  <c r="BP15" i="16" s="1"/>
  <c r="BQ15" i="16" s="1"/>
  <c r="BR15" i="16" s="1"/>
  <c r="BS15" i="16" s="1"/>
  <c r="BT15" i="16" s="1"/>
  <c r="BU15" i="16" s="1"/>
  <c r="BV15" i="16" s="1"/>
  <c r="BW15" i="16" s="1"/>
  <c r="BX15" i="16" s="1"/>
  <c r="BY15" i="16" s="1"/>
  <c r="BZ15" i="16" s="1"/>
  <c r="CA15" i="16" s="1"/>
  <c r="CB15" i="16" s="1"/>
  <c r="CC15" i="16" s="1"/>
  <c r="CD15" i="16" s="1"/>
  <c r="CE15" i="16" s="1"/>
  <c r="CF15" i="16" s="1"/>
  <c r="CG15" i="16" s="1"/>
  <c r="CH15" i="16" s="1"/>
  <c r="CI15" i="16" s="1"/>
  <c r="CJ15" i="16" s="1"/>
  <c r="CK15" i="16" s="1"/>
  <c r="CL15" i="16" s="1"/>
  <c r="CM15" i="16" s="1"/>
  <c r="CN15" i="16" s="1"/>
  <c r="CO15" i="16" s="1"/>
  <c r="CP15" i="16" s="1"/>
  <c r="CQ15" i="16" s="1"/>
  <c r="CR15" i="16" s="1"/>
  <c r="CS15" i="16" s="1"/>
  <c r="CT15" i="16" s="1"/>
  <c r="CU15" i="16" s="1"/>
  <c r="CV15" i="16" s="1"/>
  <c r="CW15" i="16" s="1"/>
  <c r="CX15" i="16" s="1"/>
  <c r="CY15" i="16" s="1"/>
  <c r="CZ15" i="16" s="1"/>
  <c r="DA15" i="16" s="1"/>
  <c r="DB15" i="16" s="1"/>
  <c r="DC15" i="16" s="1"/>
  <c r="DD15" i="16" s="1"/>
  <c r="DE15" i="16" s="1"/>
  <c r="DF15" i="16" s="1"/>
  <c r="DG15" i="16" s="1"/>
  <c r="DH15" i="16" s="1"/>
  <c r="DI15" i="16" s="1"/>
  <c r="DJ15" i="16" s="1"/>
  <c r="DK15" i="16" s="1"/>
  <c r="DL15" i="16" s="1"/>
  <c r="DM15" i="16" s="1"/>
  <c r="DN15" i="16" s="1"/>
  <c r="DO15" i="16" s="1"/>
  <c r="DP15" i="16" s="1"/>
  <c r="DQ15" i="16" s="1"/>
  <c r="DR15" i="16" s="1"/>
  <c r="DS15" i="16" s="1"/>
  <c r="DT15" i="16" s="1"/>
  <c r="DU15" i="16" s="1"/>
  <c r="DV15" i="16" s="1"/>
  <c r="DW15" i="16" s="1"/>
  <c r="DX15" i="16" s="1"/>
  <c r="DY15" i="16" s="1"/>
  <c r="DZ15" i="16" s="1"/>
  <c r="EA15" i="16" s="1"/>
  <c r="EB15" i="16" s="1"/>
  <c r="EC15" i="16" s="1"/>
  <c r="ED15" i="16" s="1"/>
  <c r="EE15" i="16" s="1"/>
  <c r="EF15" i="16" s="1"/>
  <c r="EG15" i="16" s="1"/>
  <c r="EH15" i="16" s="1"/>
  <c r="EI15" i="16" s="1"/>
  <c r="EJ15" i="16" s="1"/>
  <c r="EK15" i="16" s="1"/>
  <c r="EL15" i="16" s="1"/>
  <c r="EM15" i="16" s="1"/>
  <c r="EN15" i="16" s="1"/>
  <c r="EO15" i="16" s="1"/>
  <c r="EP15" i="16" s="1"/>
  <c r="EQ15" i="16" s="1"/>
  <c r="ER15" i="16" s="1"/>
  <c r="ES15" i="16" s="1"/>
  <c r="ET15" i="16" s="1"/>
  <c r="EU15" i="16" s="1"/>
  <c r="EV15" i="16" s="1"/>
  <c r="EW15" i="16" s="1"/>
  <c r="EX15" i="16" s="1"/>
  <c r="EY15" i="16" s="1"/>
  <c r="EZ15" i="16" s="1"/>
  <c r="FA15" i="16" s="1"/>
  <c r="FB15" i="16" s="1"/>
  <c r="FC15" i="16" s="1"/>
  <c r="FD15" i="16" s="1"/>
  <c r="FE15" i="16" s="1"/>
  <c r="FF15" i="16" s="1"/>
  <c r="FG15" i="16" s="1"/>
  <c r="FH15" i="16" s="1"/>
  <c r="FI15" i="16" s="1"/>
  <c r="FJ15" i="16" s="1"/>
  <c r="FK15" i="16" s="1"/>
  <c r="FL15" i="16" s="1"/>
  <c r="C14" i="16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G14" i="16" s="1"/>
  <c r="AH14" i="16" s="1"/>
  <c r="AI14" i="16" s="1"/>
  <c r="AJ14" i="16" s="1"/>
  <c r="AK14" i="16" s="1"/>
  <c r="AL14" i="16" s="1"/>
  <c r="AM14" i="16" s="1"/>
  <c r="AN14" i="16" s="1"/>
  <c r="AO14" i="16" s="1"/>
  <c r="AP14" i="16" s="1"/>
  <c r="AQ14" i="16" s="1"/>
  <c r="AR14" i="16" s="1"/>
  <c r="AS14" i="16" s="1"/>
  <c r="AT14" i="16" s="1"/>
  <c r="AU14" i="16" s="1"/>
  <c r="AV14" i="16" s="1"/>
  <c r="AW14" i="16" s="1"/>
  <c r="AX14" i="16" s="1"/>
  <c r="AY14" i="16" s="1"/>
  <c r="AZ14" i="16" s="1"/>
  <c r="BA14" i="16" s="1"/>
  <c r="BB14" i="16" s="1"/>
  <c r="BC14" i="16" s="1"/>
  <c r="BD14" i="16" s="1"/>
  <c r="BE14" i="16" s="1"/>
  <c r="BF14" i="16" s="1"/>
  <c r="BG14" i="16" s="1"/>
  <c r="BH14" i="16" s="1"/>
  <c r="BI14" i="16" s="1"/>
  <c r="BJ14" i="16" s="1"/>
  <c r="BK14" i="16" s="1"/>
  <c r="BL14" i="16" s="1"/>
  <c r="BM14" i="16" s="1"/>
  <c r="BN14" i="16" s="1"/>
  <c r="BO14" i="16" s="1"/>
  <c r="BP14" i="16" s="1"/>
  <c r="BQ14" i="16" s="1"/>
  <c r="BR14" i="16" s="1"/>
  <c r="BS14" i="16" s="1"/>
  <c r="BT14" i="16" s="1"/>
  <c r="BU14" i="16" s="1"/>
  <c r="BV14" i="16" s="1"/>
  <c r="BW14" i="16" s="1"/>
  <c r="BX14" i="16" s="1"/>
  <c r="BY14" i="16" s="1"/>
  <c r="BZ14" i="16" s="1"/>
  <c r="CA14" i="16" s="1"/>
  <c r="CB14" i="16" s="1"/>
  <c r="CC14" i="16" s="1"/>
  <c r="CD14" i="16" s="1"/>
  <c r="CE14" i="16" s="1"/>
  <c r="CF14" i="16" s="1"/>
  <c r="CG14" i="16" s="1"/>
  <c r="CH14" i="16" s="1"/>
  <c r="CI14" i="16" s="1"/>
  <c r="CJ14" i="16" s="1"/>
  <c r="CK14" i="16" s="1"/>
  <c r="CL14" i="16" s="1"/>
  <c r="CM14" i="16" s="1"/>
  <c r="CN14" i="16" s="1"/>
  <c r="CO14" i="16" s="1"/>
  <c r="CP14" i="16" s="1"/>
  <c r="CQ14" i="16" s="1"/>
  <c r="CR14" i="16" s="1"/>
  <c r="CS14" i="16" s="1"/>
  <c r="CT14" i="16" s="1"/>
  <c r="CU14" i="16" s="1"/>
  <c r="CV14" i="16" s="1"/>
  <c r="CW14" i="16" s="1"/>
  <c r="CX14" i="16" s="1"/>
  <c r="CY14" i="16" s="1"/>
  <c r="CZ14" i="16" s="1"/>
  <c r="DA14" i="16" s="1"/>
  <c r="DB14" i="16" s="1"/>
  <c r="DC14" i="16" s="1"/>
  <c r="DD14" i="16" s="1"/>
  <c r="DE14" i="16" s="1"/>
  <c r="DF14" i="16" s="1"/>
  <c r="DG14" i="16" s="1"/>
  <c r="DH14" i="16" s="1"/>
  <c r="DI14" i="16" s="1"/>
  <c r="DJ14" i="16" s="1"/>
  <c r="DK14" i="16" s="1"/>
  <c r="DL14" i="16" s="1"/>
  <c r="DM14" i="16" s="1"/>
  <c r="DN14" i="16" s="1"/>
  <c r="DO14" i="16" s="1"/>
  <c r="DP14" i="16" s="1"/>
  <c r="DQ14" i="16" s="1"/>
  <c r="DR14" i="16" s="1"/>
  <c r="DS14" i="16" s="1"/>
  <c r="DT14" i="16" s="1"/>
  <c r="DU14" i="16" s="1"/>
  <c r="DV14" i="16" s="1"/>
  <c r="DW14" i="16" s="1"/>
  <c r="DX14" i="16" s="1"/>
  <c r="DY14" i="16" s="1"/>
  <c r="DZ14" i="16" s="1"/>
  <c r="EA14" i="16" s="1"/>
  <c r="EB14" i="16" s="1"/>
  <c r="EC14" i="16" s="1"/>
  <c r="ED14" i="16" s="1"/>
  <c r="EE14" i="16" s="1"/>
  <c r="EF14" i="16" s="1"/>
  <c r="EG14" i="16" s="1"/>
  <c r="EH14" i="16" s="1"/>
  <c r="EI14" i="16" s="1"/>
  <c r="EJ14" i="16" s="1"/>
  <c r="EK14" i="16" s="1"/>
  <c r="EL14" i="16" s="1"/>
  <c r="EM14" i="16" s="1"/>
  <c r="EN14" i="16" s="1"/>
  <c r="EO14" i="16" s="1"/>
  <c r="EP14" i="16" s="1"/>
  <c r="EQ14" i="16" s="1"/>
  <c r="ER14" i="16" s="1"/>
  <c r="ES14" i="16" s="1"/>
  <c r="ET14" i="16" s="1"/>
  <c r="EU14" i="16" s="1"/>
  <c r="EV14" i="16" s="1"/>
  <c r="EW14" i="16" s="1"/>
  <c r="EX14" i="16" s="1"/>
  <c r="EY14" i="16" s="1"/>
  <c r="EZ14" i="16" s="1"/>
  <c r="FA14" i="16" s="1"/>
  <c r="FB14" i="16" s="1"/>
  <c r="FC14" i="16" s="1"/>
  <c r="FD14" i="16" s="1"/>
  <c r="FE14" i="16" s="1"/>
  <c r="FF14" i="16" s="1"/>
  <c r="FG14" i="16" s="1"/>
  <c r="FH14" i="16" s="1"/>
  <c r="FI14" i="16" s="1"/>
  <c r="FJ14" i="16" s="1"/>
  <c r="FK14" i="16" s="1"/>
  <c r="FL14" i="16" s="1"/>
  <c r="C12" i="16"/>
  <c r="D12" i="16" s="1"/>
  <c r="E12" i="16" s="1"/>
  <c r="F12" i="16" s="1"/>
  <c r="G12" i="16" s="1"/>
  <c r="H12" i="16" s="1"/>
  <c r="I12" i="16" s="1"/>
  <c r="J12" i="16" s="1"/>
  <c r="K12" i="16" s="1"/>
  <c r="L12" i="16" s="1"/>
  <c r="M12" i="16" s="1"/>
  <c r="N12" i="16" s="1"/>
  <c r="O12" i="16" s="1"/>
  <c r="P12" i="16" s="1"/>
  <c r="Q12" i="16" s="1"/>
  <c r="R12" i="16" s="1"/>
  <c r="S12" i="16" s="1"/>
  <c r="T12" i="16" s="1"/>
  <c r="U12" i="16" s="1"/>
  <c r="V12" i="16" s="1"/>
  <c r="W12" i="16" s="1"/>
  <c r="X12" i="16" s="1"/>
  <c r="Y12" i="16" s="1"/>
  <c r="Z12" i="16" s="1"/>
  <c r="AA12" i="16" s="1"/>
  <c r="AB12" i="16" s="1"/>
  <c r="AC12" i="16" s="1"/>
  <c r="AD12" i="16" s="1"/>
  <c r="AE12" i="16" s="1"/>
  <c r="AF12" i="16" s="1"/>
  <c r="AG12" i="16" s="1"/>
  <c r="AH12" i="16" s="1"/>
  <c r="AI12" i="16" s="1"/>
  <c r="AJ12" i="16" s="1"/>
  <c r="AK12" i="16" s="1"/>
  <c r="AL12" i="16" s="1"/>
  <c r="AM12" i="16" s="1"/>
  <c r="AN12" i="16" s="1"/>
  <c r="AO12" i="16" s="1"/>
  <c r="AP12" i="16" s="1"/>
  <c r="AQ12" i="16" s="1"/>
  <c r="AR12" i="16" s="1"/>
  <c r="AS12" i="16" s="1"/>
  <c r="AT12" i="16" s="1"/>
  <c r="AU12" i="16" s="1"/>
  <c r="AV12" i="16" s="1"/>
  <c r="AW12" i="16" s="1"/>
  <c r="AX12" i="16" s="1"/>
  <c r="AY12" i="16" s="1"/>
  <c r="AZ12" i="16" s="1"/>
  <c r="BA12" i="16" s="1"/>
  <c r="BB12" i="16" s="1"/>
  <c r="BC12" i="16" s="1"/>
  <c r="BD12" i="16" s="1"/>
  <c r="BE12" i="16" s="1"/>
  <c r="BF12" i="16" s="1"/>
  <c r="BG12" i="16" s="1"/>
  <c r="BH12" i="16" s="1"/>
  <c r="BI12" i="16" s="1"/>
  <c r="BJ12" i="16" s="1"/>
  <c r="BK12" i="16" s="1"/>
  <c r="BL12" i="16" s="1"/>
  <c r="BM12" i="16" s="1"/>
  <c r="BN12" i="16" s="1"/>
  <c r="BO12" i="16" s="1"/>
  <c r="BP12" i="16" s="1"/>
  <c r="BQ12" i="16" s="1"/>
  <c r="BR12" i="16" s="1"/>
  <c r="BS12" i="16" s="1"/>
  <c r="BT12" i="16" s="1"/>
  <c r="BU12" i="16" s="1"/>
  <c r="BV12" i="16" s="1"/>
  <c r="BW12" i="16" s="1"/>
  <c r="BX12" i="16" s="1"/>
  <c r="BY12" i="16" s="1"/>
  <c r="BZ12" i="16" s="1"/>
  <c r="CA12" i="16" s="1"/>
  <c r="CB12" i="16" s="1"/>
  <c r="CC12" i="16" s="1"/>
  <c r="CD12" i="16" s="1"/>
  <c r="CE12" i="16" s="1"/>
  <c r="CF12" i="16" s="1"/>
  <c r="CG12" i="16" s="1"/>
  <c r="CH12" i="16" s="1"/>
  <c r="CI12" i="16" s="1"/>
  <c r="CJ12" i="16" s="1"/>
  <c r="CK12" i="16" s="1"/>
  <c r="CL12" i="16" s="1"/>
  <c r="CM12" i="16" s="1"/>
  <c r="CN12" i="16" s="1"/>
  <c r="CO12" i="16" s="1"/>
  <c r="CP12" i="16" s="1"/>
  <c r="CQ12" i="16" s="1"/>
  <c r="CR12" i="16" s="1"/>
  <c r="CS12" i="16" s="1"/>
  <c r="CT12" i="16" s="1"/>
  <c r="CU12" i="16" s="1"/>
  <c r="CV12" i="16" s="1"/>
  <c r="CW12" i="16" s="1"/>
  <c r="CX12" i="16" s="1"/>
  <c r="CY12" i="16" s="1"/>
  <c r="CZ12" i="16" s="1"/>
  <c r="DA12" i="16" s="1"/>
  <c r="DB12" i="16" s="1"/>
  <c r="DC12" i="16" s="1"/>
  <c r="DD12" i="16" s="1"/>
  <c r="DE12" i="16" s="1"/>
  <c r="DF12" i="16" s="1"/>
  <c r="DG12" i="16" s="1"/>
  <c r="DH12" i="16" s="1"/>
  <c r="DI12" i="16" s="1"/>
  <c r="DJ12" i="16" s="1"/>
  <c r="DK12" i="16" s="1"/>
  <c r="DL12" i="16" s="1"/>
  <c r="DM12" i="16" s="1"/>
  <c r="DN12" i="16" s="1"/>
  <c r="DO12" i="16" s="1"/>
  <c r="DP12" i="16" s="1"/>
  <c r="DQ12" i="16" s="1"/>
  <c r="DR12" i="16" s="1"/>
  <c r="DS12" i="16" s="1"/>
  <c r="DT12" i="16" s="1"/>
  <c r="DU12" i="16" s="1"/>
  <c r="DV12" i="16" s="1"/>
  <c r="DW12" i="16" s="1"/>
  <c r="DX12" i="16" s="1"/>
  <c r="DY12" i="16" s="1"/>
  <c r="DZ12" i="16" s="1"/>
  <c r="EA12" i="16" s="1"/>
  <c r="EB12" i="16" s="1"/>
  <c r="EC12" i="16" s="1"/>
  <c r="ED12" i="16" s="1"/>
  <c r="EE12" i="16" s="1"/>
  <c r="EF12" i="16" s="1"/>
  <c r="EG12" i="16" s="1"/>
  <c r="EH12" i="16" s="1"/>
  <c r="EI12" i="16" s="1"/>
  <c r="EJ12" i="16" s="1"/>
  <c r="EK12" i="16" s="1"/>
  <c r="EL12" i="16" s="1"/>
  <c r="EM12" i="16" s="1"/>
  <c r="EN12" i="16" s="1"/>
  <c r="EO12" i="16" s="1"/>
  <c r="EP12" i="16" s="1"/>
  <c r="EQ12" i="16" s="1"/>
  <c r="ER12" i="16" s="1"/>
  <c r="ES12" i="16" s="1"/>
  <c r="ET12" i="16" s="1"/>
  <c r="EU12" i="16" s="1"/>
  <c r="EV12" i="16" s="1"/>
  <c r="EW12" i="16" s="1"/>
  <c r="EX12" i="16" s="1"/>
  <c r="EY12" i="16" s="1"/>
  <c r="EZ12" i="16" s="1"/>
  <c r="FA12" i="16" s="1"/>
  <c r="FB12" i="16" s="1"/>
  <c r="FC12" i="16" s="1"/>
  <c r="FD12" i="16" s="1"/>
  <c r="FE12" i="16" s="1"/>
  <c r="FF12" i="16" s="1"/>
  <c r="FG12" i="16" s="1"/>
  <c r="FH12" i="16" s="1"/>
  <c r="FI12" i="16" s="1"/>
  <c r="FJ12" i="16" s="1"/>
  <c r="FK12" i="16" s="1"/>
  <c r="FL12" i="16" s="1"/>
  <c r="C17" i="16"/>
  <c r="D17" i="16" s="1"/>
  <c r="E17" i="16" s="1"/>
  <c r="F17" i="16" s="1"/>
  <c r="G17" i="16" s="1"/>
  <c r="H17" i="16" s="1"/>
  <c r="I17" i="16" s="1"/>
  <c r="J17" i="16" s="1"/>
  <c r="K17" i="16" s="1"/>
  <c r="L17" i="16" s="1"/>
  <c r="M17" i="16" s="1"/>
  <c r="N17" i="16" s="1"/>
  <c r="O17" i="16" s="1"/>
  <c r="P17" i="16" s="1"/>
  <c r="Q17" i="16" s="1"/>
  <c r="R17" i="16" s="1"/>
  <c r="S17" i="16" s="1"/>
  <c r="T17" i="16" s="1"/>
  <c r="U17" i="16" s="1"/>
  <c r="V17" i="16" s="1"/>
  <c r="W17" i="16" s="1"/>
  <c r="X17" i="16" s="1"/>
  <c r="Y17" i="16" s="1"/>
  <c r="Z17" i="16" s="1"/>
  <c r="AA17" i="16" s="1"/>
  <c r="AB17" i="16" s="1"/>
  <c r="AC17" i="16" s="1"/>
  <c r="AD17" i="16" s="1"/>
  <c r="AE17" i="16" s="1"/>
  <c r="AF17" i="16" s="1"/>
  <c r="AG17" i="16" s="1"/>
  <c r="AH17" i="16" s="1"/>
  <c r="AI17" i="16" s="1"/>
  <c r="AJ17" i="16" s="1"/>
  <c r="AK17" i="16" s="1"/>
  <c r="AL17" i="16" s="1"/>
  <c r="AM17" i="16" s="1"/>
  <c r="AN17" i="16" s="1"/>
  <c r="AO17" i="16" s="1"/>
  <c r="AP17" i="16" s="1"/>
  <c r="AQ17" i="16" s="1"/>
  <c r="AR17" i="16" s="1"/>
  <c r="AS17" i="16" s="1"/>
  <c r="AT17" i="16" s="1"/>
  <c r="AU17" i="16" s="1"/>
  <c r="AV17" i="16" s="1"/>
  <c r="AW17" i="16" s="1"/>
  <c r="AX17" i="16" s="1"/>
  <c r="AY17" i="16" s="1"/>
  <c r="AZ17" i="16" s="1"/>
  <c r="BA17" i="16" s="1"/>
  <c r="BB17" i="16" s="1"/>
  <c r="BC17" i="16" s="1"/>
  <c r="BD17" i="16" s="1"/>
  <c r="BE17" i="16" s="1"/>
  <c r="BF17" i="16" s="1"/>
  <c r="BG17" i="16" s="1"/>
  <c r="BH17" i="16" s="1"/>
  <c r="BI17" i="16" s="1"/>
  <c r="BJ17" i="16" s="1"/>
  <c r="BK17" i="16" s="1"/>
  <c r="BL17" i="16" s="1"/>
  <c r="BM17" i="16" s="1"/>
  <c r="BN17" i="16" s="1"/>
  <c r="BO17" i="16" s="1"/>
  <c r="BP17" i="16" s="1"/>
  <c r="BQ17" i="16" s="1"/>
  <c r="BR17" i="16" s="1"/>
  <c r="BS17" i="16" s="1"/>
  <c r="BT17" i="16" s="1"/>
  <c r="BU17" i="16" s="1"/>
  <c r="BV17" i="16" s="1"/>
  <c r="BW17" i="16" s="1"/>
  <c r="BX17" i="16" s="1"/>
  <c r="BY17" i="16" s="1"/>
  <c r="BZ17" i="16" s="1"/>
  <c r="CA17" i="16" s="1"/>
  <c r="CB17" i="16" s="1"/>
  <c r="CC17" i="16" s="1"/>
  <c r="CD17" i="16" s="1"/>
  <c r="CE17" i="16" s="1"/>
  <c r="CF17" i="16" s="1"/>
  <c r="CG17" i="16" s="1"/>
  <c r="CH17" i="16" s="1"/>
  <c r="CI17" i="16" s="1"/>
  <c r="CJ17" i="16" s="1"/>
  <c r="CK17" i="16" s="1"/>
  <c r="CL17" i="16" s="1"/>
  <c r="CM17" i="16" s="1"/>
  <c r="CN17" i="16" s="1"/>
  <c r="CO17" i="16" s="1"/>
  <c r="CP17" i="16" s="1"/>
  <c r="CQ17" i="16" s="1"/>
  <c r="CR17" i="16" s="1"/>
  <c r="CS17" i="16" s="1"/>
  <c r="CT17" i="16" s="1"/>
  <c r="CU17" i="16" s="1"/>
  <c r="CV17" i="16" s="1"/>
  <c r="CW17" i="16" s="1"/>
  <c r="CX17" i="16" s="1"/>
  <c r="CY17" i="16" s="1"/>
  <c r="CZ17" i="16" s="1"/>
  <c r="DA17" i="16" s="1"/>
  <c r="DB17" i="16" s="1"/>
  <c r="DC17" i="16" s="1"/>
  <c r="DD17" i="16" s="1"/>
  <c r="DE17" i="16" s="1"/>
  <c r="DF17" i="16" s="1"/>
  <c r="DG17" i="16" s="1"/>
  <c r="DH17" i="16" s="1"/>
  <c r="DI17" i="16" s="1"/>
  <c r="DJ17" i="16" s="1"/>
  <c r="DK17" i="16" s="1"/>
  <c r="DL17" i="16" s="1"/>
  <c r="DM17" i="16" s="1"/>
  <c r="DN17" i="16" s="1"/>
  <c r="DO17" i="16" s="1"/>
  <c r="DP17" i="16" s="1"/>
  <c r="DQ17" i="16" s="1"/>
  <c r="DR17" i="16" s="1"/>
  <c r="DS17" i="16" s="1"/>
  <c r="DT17" i="16" s="1"/>
  <c r="DU17" i="16" s="1"/>
  <c r="DV17" i="16" s="1"/>
  <c r="DW17" i="16" s="1"/>
  <c r="DX17" i="16" s="1"/>
  <c r="DY17" i="16" s="1"/>
  <c r="DZ17" i="16" s="1"/>
  <c r="EA17" i="16" s="1"/>
  <c r="EB17" i="16" s="1"/>
  <c r="EC17" i="16" s="1"/>
  <c r="ED17" i="16" s="1"/>
  <c r="EE17" i="16" s="1"/>
  <c r="EF17" i="16" s="1"/>
  <c r="EG17" i="16" s="1"/>
  <c r="EH17" i="16" s="1"/>
  <c r="EI17" i="16" s="1"/>
  <c r="EJ17" i="16" s="1"/>
  <c r="EK17" i="16" s="1"/>
  <c r="EL17" i="16" s="1"/>
  <c r="EM17" i="16" s="1"/>
  <c r="EN17" i="16" s="1"/>
  <c r="EO17" i="16" s="1"/>
  <c r="EP17" i="16" s="1"/>
  <c r="EQ17" i="16" s="1"/>
  <c r="ER17" i="16" s="1"/>
  <c r="ES17" i="16" s="1"/>
  <c r="ET17" i="16" s="1"/>
  <c r="EU17" i="16" s="1"/>
  <c r="EV17" i="16" s="1"/>
  <c r="EW17" i="16" s="1"/>
  <c r="EX17" i="16" s="1"/>
  <c r="EY17" i="16" s="1"/>
  <c r="EZ17" i="16" s="1"/>
  <c r="FA17" i="16" s="1"/>
  <c r="FB17" i="16" s="1"/>
  <c r="FC17" i="16" s="1"/>
  <c r="FD17" i="16" s="1"/>
  <c r="FE17" i="16" s="1"/>
  <c r="FF17" i="16" s="1"/>
  <c r="FG17" i="16" s="1"/>
  <c r="FH17" i="16" s="1"/>
  <c r="FI17" i="16" s="1"/>
  <c r="FJ17" i="16" s="1"/>
  <c r="FK17" i="16" s="1"/>
  <c r="FL17" i="16" s="1"/>
  <c r="C11" i="16"/>
  <c r="D11" i="16" s="1"/>
  <c r="E11" i="16" s="1"/>
  <c r="F11" i="16" s="1"/>
  <c r="G11" i="16" s="1"/>
  <c r="H11" i="16" s="1"/>
  <c r="I11" i="16" s="1"/>
  <c r="J11" i="16" s="1"/>
  <c r="K11" i="16" s="1"/>
  <c r="L11" i="16" s="1"/>
  <c r="M11" i="16" s="1"/>
  <c r="N11" i="16" s="1"/>
  <c r="O11" i="16" s="1"/>
  <c r="P11" i="16" s="1"/>
  <c r="Q11" i="16" s="1"/>
  <c r="R11" i="16" s="1"/>
  <c r="S11" i="16" s="1"/>
  <c r="T11" i="16" s="1"/>
  <c r="U11" i="16" s="1"/>
  <c r="V11" i="16" s="1"/>
  <c r="W11" i="16" s="1"/>
  <c r="X11" i="16" s="1"/>
  <c r="Y11" i="16" s="1"/>
  <c r="Z11" i="16" s="1"/>
  <c r="AA11" i="16" s="1"/>
  <c r="AB11" i="16" s="1"/>
  <c r="AC11" i="16" s="1"/>
  <c r="AD11" i="16" s="1"/>
  <c r="AE11" i="16" s="1"/>
  <c r="AF11" i="16" s="1"/>
  <c r="AG11" i="16" s="1"/>
  <c r="AH11" i="16" s="1"/>
  <c r="AI11" i="16" s="1"/>
  <c r="AJ11" i="16" s="1"/>
  <c r="AK11" i="16" s="1"/>
  <c r="AL11" i="16" s="1"/>
  <c r="AM11" i="16" s="1"/>
  <c r="AN11" i="16" s="1"/>
  <c r="AO11" i="16" s="1"/>
  <c r="AP11" i="16" s="1"/>
  <c r="AQ11" i="16" s="1"/>
  <c r="AR11" i="16" s="1"/>
  <c r="AS11" i="16" s="1"/>
  <c r="AT11" i="16" s="1"/>
  <c r="AU11" i="16" s="1"/>
  <c r="AV11" i="16" s="1"/>
  <c r="AW11" i="16" s="1"/>
  <c r="AX11" i="16" s="1"/>
  <c r="AY11" i="16" s="1"/>
  <c r="AZ11" i="16" s="1"/>
  <c r="BA11" i="16" s="1"/>
  <c r="BB11" i="16" s="1"/>
  <c r="BC11" i="16" s="1"/>
  <c r="BD11" i="16" s="1"/>
  <c r="BE11" i="16" s="1"/>
  <c r="BF11" i="16" s="1"/>
  <c r="BG11" i="16" s="1"/>
  <c r="BH11" i="16" s="1"/>
  <c r="BI11" i="16" s="1"/>
  <c r="BJ11" i="16" s="1"/>
  <c r="BK11" i="16" s="1"/>
  <c r="BL11" i="16" s="1"/>
  <c r="BM11" i="16" s="1"/>
  <c r="BN11" i="16" s="1"/>
  <c r="BO11" i="16" s="1"/>
  <c r="BP11" i="16" s="1"/>
  <c r="BQ11" i="16" s="1"/>
  <c r="BR11" i="16" s="1"/>
  <c r="BS11" i="16" s="1"/>
  <c r="BT11" i="16" s="1"/>
  <c r="BU11" i="16" s="1"/>
  <c r="BV11" i="16" s="1"/>
  <c r="BW11" i="16" s="1"/>
  <c r="BX11" i="16" s="1"/>
  <c r="BY11" i="16" s="1"/>
  <c r="BZ11" i="16" s="1"/>
  <c r="CA11" i="16" s="1"/>
  <c r="CB11" i="16" s="1"/>
  <c r="CC11" i="16" s="1"/>
  <c r="CD11" i="16" s="1"/>
  <c r="CE11" i="16" s="1"/>
  <c r="CF11" i="16" s="1"/>
  <c r="CG11" i="16" s="1"/>
  <c r="CH11" i="16" s="1"/>
  <c r="CI11" i="16" s="1"/>
  <c r="CJ11" i="16" s="1"/>
  <c r="CK11" i="16" s="1"/>
  <c r="CL11" i="16" s="1"/>
  <c r="CM11" i="16" s="1"/>
  <c r="CN11" i="16" s="1"/>
  <c r="CO11" i="16" s="1"/>
  <c r="CP11" i="16" s="1"/>
  <c r="CQ11" i="16" s="1"/>
  <c r="CR11" i="16" s="1"/>
  <c r="CS11" i="16" s="1"/>
  <c r="CT11" i="16" s="1"/>
  <c r="CU11" i="16" s="1"/>
  <c r="CV11" i="16" s="1"/>
  <c r="CW11" i="16" s="1"/>
  <c r="CX11" i="16" s="1"/>
  <c r="CY11" i="16" s="1"/>
  <c r="CZ11" i="16" s="1"/>
  <c r="DA11" i="16" s="1"/>
  <c r="DB11" i="16" s="1"/>
  <c r="DC11" i="16" s="1"/>
  <c r="DD11" i="16" s="1"/>
  <c r="DE11" i="16" s="1"/>
  <c r="DF11" i="16" s="1"/>
  <c r="DG11" i="16" s="1"/>
  <c r="DH11" i="16" s="1"/>
  <c r="DI11" i="16" s="1"/>
  <c r="DJ11" i="16" s="1"/>
  <c r="DK11" i="16" s="1"/>
  <c r="DL11" i="16" s="1"/>
  <c r="DM11" i="16" s="1"/>
  <c r="DN11" i="16" s="1"/>
  <c r="DO11" i="16" s="1"/>
  <c r="DP11" i="16" s="1"/>
  <c r="DQ11" i="16" s="1"/>
  <c r="DR11" i="16" s="1"/>
  <c r="DS11" i="16" s="1"/>
  <c r="DT11" i="16" s="1"/>
  <c r="DU11" i="16" s="1"/>
  <c r="DV11" i="16" s="1"/>
  <c r="DW11" i="16" s="1"/>
  <c r="DX11" i="16" s="1"/>
  <c r="DY11" i="16" s="1"/>
  <c r="DZ11" i="16" s="1"/>
  <c r="EA11" i="16" s="1"/>
  <c r="EB11" i="16" s="1"/>
  <c r="EC11" i="16" s="1"/>
  <c r="ED11" i="16" s="1"/>
  <c r="EE11" i="16" s="1"/>
  <c r="EF11" i="16" s="1"/>
  <c r="EG11" i="16" s="1"/>
  <c r="EH11" i="16" s="1"/>
  <c r="EI11" i="16" s="1"/>
  <c r="EJ11" i="16" s="1"/>
  <c r="EK11" i="16" s="1"/>
  <c r="EL11" i="16" s="1"/>
  <c r="EM11" i="16" s="1"/>
  <c r="EN11" i="16" s="1"/>
  <c r="EO11" i="16" s="1"/>
  <c r="EP11" i="16" s="1"/>
  <c r="EQ11" i="16" s="1"/>
  <c r="ER11" i="16" s="1"/>
  <c r="ES11" i="16" s="1"/>
  <c r="ET11" i="16" s="1"/>
  <c r="EU11" i="16" s="1"/>
  <c r="EV11" i="16" s="1"/>
  <c r="EW11" i="16" s="1"/>
  <c r="EX11" i="16" s="1"/>
  <c r="EY11" i="16" s="1"/>
  <c r="EZ11" i="16" s="1"/>
  <c r="FA11" i="16" s="1"/>
  <c r="FB11" i="16" s="1"/>
  <c r="FC11" i="16" s="1"/>
  <c r="FD11" i="16" s="1"/>
  <c r="FE11" i="16" s="1"/>
  <c r="FF11" i="16" s="1"/>
  <c r="FG11" i="16" s="1"/>
  <c r="FH11" i="16" s="1"/>
  <c r="FI11" i="16" s="1"/>
  <c r="FJ11" i="16" s="1"/>
  <c r="FK11" i="16" s="1"/>
  <c r="FL11" i="16" s="1"/>
  <c r="C1" i="16"/>
  <c r="D1" i="16" s="1"/>
  <c r="E1" i="16" s="1"/>
  <c r="F1" i="16" s="1"/>
  <c r="G1" i="16" s="1"/>
  <c r="H1" i="16" s="1"/>
  <c r="I1" i="16" s="1"/>
  <c r="J1" i="16" s="1"/>
  <c r="K1" i="16" s="1"/>
  <c r="L1" i="16" s="1"/>
  <c r="M1" i="16" s="1"/>
  <c r="N1" i="16" s="1"/>
  <c r="O1" i="16" s="1"/>
  <c r="P1" i="16" s="1"/>
  <c r="Q1" i="16" s="1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AC1" i="16" s="1"/>
  <c r="AD1" i="16" s="1"/>
  <c r="AE1" i="16" s="1"/>
  <c r="AF1" i="16" s="1"/>
  <c r="AG1" i="16" s="1"/>
  <c r="AH1" i="16" s="1"/>
  <c r="AI1" i="16" s="1"/>
  <c r="AJ1" i="16" s="1"/>
  <c r="AK1" i="16" s="1"/>
  <c r="AL1" i="16" s="1"/>
  <c r="AM1" i="16" s="1"/>
  <c r="AN1" i="16" s="1"/>
  <c r="AO1" i="16" s="1"/>
  <c r="AP1" i="16" s="1"/>
  <c r="AQ1" i="16" s="1"/>
  <c r="AR1" i="16" s="1"/>
  <c r="AS1" i="16" s="1"/>
  <c r="AT1" i="16" s="1"/>
  <c r="AU1" i="16" s="1"/>
  <c r="AV1" i="16" s="1"/>
  <c r="AW1" i="16" s="1"/>
  <c r="AX1" i="16" s="1"/>
  <c r="AY1" i="16" s="1"/>
  <c r="AZ1" i="16" s="1"/>
  <c r="BA1" i="16" s="1"/>
  <c r="BB1" i="16" s="1"/>
  <c r="BC1" i="16" s="1"/>
  <c r="BD1" i="16" s="1"/>
  <c r="BE1" i="16" s="1"/>
  <c r="BF1" i="16" s="1"/>
  <c r="BG1" i="16" s="1"/>
  <c r="BH1" i="16" s="1"/>
  <c r="BI1" i="16" s="1"/>
  <c r="BJ1" i="16" s="1"/>
  <c r="BK1" i="16" s="1"/>
  <c r="BL1" i="16" s="1"/>
  <c r="BM1" i="16" s="1"/>
  <c r="BN1" i="16" s="1"/>
  <c r="BO1" i="16" s="1"/>
  <c r="BP1" i="16" s="1"/>
  <c r="BQ1" i="16" s="1"/>
  <c r="BR1" i="16" s="1"/>
  <c r="BS1" i="16" s="1"/>
  <c r="BT1" i="16" s="1"/>
  <c r="BU1" i="16" s="1"/>
  <c r="BV1" i="16" s="1"/>
  <c r="BW1" i="16" s="1"/>
  <c r="BX1" i="16" s="1"/>
  <c r="BY1" i="16" s="1"/>
  <c r="BZ1" i="16" s="1"/>
  <c r="CA1" i="16" s="1"/>
  <c r="CB1" i="16" s="1"/>
  <c r="CC1" i="16" s="1"/>
  <c r="CD1" i="16" s="1"/>
  <c r="CE1" i="16" s="1"/>
  <c r="CF1" i="16" s="1"/>
  <c r="CG1" i="16" s="1"/>
  <c r="CH1" i="16" s="1"/>
  <c r="CI1" i="16" s="1"/>
  <c r="CJ1" i="16" s="1"/>
  <c r="CK1" i="16" s="1"/>
  <c r="CL1" i="16" s="1"/>
  <c r="CM1" i="16" s="1"/>
  <c r="CN1" i="16" s="1"/>
  <c r="CO1" i="16" s="1"/>
  <c r="CP1" i="16" s="1"/>
  <c r="CQ1" i="16" s="1"/>
  <c r="CR1" i="16" s="1"/>
  <c r="CS1" i="16" s="1"/>
  <c r="CT1" i="16" s="1"/>
  <c r="CU1" i="16" s="1"/>
  <c r="CV1" i="16" s="1"/>
  <c r="CW1" i="16" s="1"/>
  <c r="CX1" i="16" s="1"/>
  <c r="CY1" i="16" s="1"/>
  <c r="CZ1" i="16" s="1"/>
  <c r="DA1" i="16" s="1"/>
  <c r="DB1" i="16" s="1"/>
  <c r="DC1" i="16" s="1"/>
  <c r="DD1" i="16" s="1"/>
  <c r="DE1" i="16" s="1"/>
  <c r="DF1" i="16" s="1"/>
  <c r="DG1" i="16" s="1"/>
  <c r="DH1" i="16" s="1"/>
  <c r="DI1" i="16" s="1"/>
  <c r="DJ1" i="16" s="1"/>
  <c r="DK1" i="16" s="1"/>
  <c r="DL1" i="16" s="1"/>
  <c r="DM1" i="16" s="1"/>
  <c r="DN1" i="16" s="1"/>
  <c r="DO1" i="16" s="1"/>
  <c r="DP1" i="16" s="1"/>
  <c r="DQ1" i="16" s="1"/>
  <c r="DR1" i="16" s="1"/>
  <c r="DS1" i="16" s="1"/>
  <c r="DT1" i="16" s="1"/>
  <c r="DU1" i="16" s="1"/>
  <c r="DV1" i="16" s="1"/>
  <c r="DW1" i="16" s="1"/>
  <c r="DX1" i="16" s="1"/>
  <c r="DY1" i="16" s="1"/>
  <c r="DZ1" i="16" s="1"/>
  <c r="EA1" i="16" s="1"/>
  <c r="EB1" i="16" s="1"/>
  <c r="EC1" i="16" s="1"/>
  <c r="ED1" i="16" s="1"/>
  <c r="EE1" i="16" s="1"/>
  <c r="EF1" i="16" s="1"/>
  <c r="EG1" i="16" s="1"/>
  <c r="EH1" i="16" s="1"/>
  <c r="EI1" i="16" s="1"/>
  <c r="EJ1" i="16" s="1"/>
  <c r="EK1" i="16" s="1"/>
  <c r="EL1" i="16" s="1"/>
  <c r="EM1" i="16" s="1"/>
  <c r="EN1" i="16" s="1"/>
  <c r="EO1" i="16" s="1"/>
  <c r="EP1" i="16" s="1"/>
  <c r="EQ1" i="16" s="1"/>
  <c r="ER1" i="16" s="1"/>
  <c r="ES1" i="16" s="1"/>
  <c r="ET1" i="16" s="1"/>
  <c r="EU1" i="16" s="1"/>
  <c r="EV1" i="16" s="1"/>
  <c r="EW1" i="16" s="1"/>
  <c r="EX1" i="16" s="1"/>
  <c r="EY1" i="16" s="1"/>
  <c r="EZ1" i="16" s="1"/>
  <c r="FA1" i="16" s="1"/>
  <c r="FB1" i="16" s="1"/>
  <c r="FC1" i="16" s="1"/>
  <c r="FD1" i="16" s="1"/>
  <c r="FE1" i="16" s="1"/>
  <c r="FF1" i="16" s="1"/>
  <c r="FG1" i="16" s="1"/>
  <c r="FH1" i="16" s="1"/>
  <c r="FI1" i="16" s="1"/>
  <c r="FJ1" i="16" s="1"/>
  <c r="FK1" i="16" s="1"/>
  <c r="FL1" i="16" s="1"/>
  <c r="D9" i="20" l="1"/>
  <c r="E9" i="20"/>
  <c r="G52" i="15"/>
  <c r="I51" i="15"/>
  <c r="A11" i="20"/>
  <c r="F10" i="20"/>
  <c r="G10" i="20" s="1"/>
  <c r="B10" i="20"/>
  <c r="C10" i="20"/>
  <c r="D10" i="20" s="1"/>
  <c r="C5" i="16"/>
  <c r="D5" i="16" s="1"/>
  <c r="E5" i="16" s="1"/>
  <c r="F5" i="16" s="1"/>
  <c r="G5" i="16" s="1"/>
  <c r="H5" i="16" s="1"/>
  <c r="I5" i="16" s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V5" i="16" s="1"/>
  <c r="W5" i="16" s="1"/>
  <c r="X5" i="16" s="1"/>
  <c r="Y5" i="16" s="1"/>
  <c r="Z5" i="16" s="1"/>
  <c r="AA5" i="16" s="1"/>
  <c r="AB5" i="16" s="1"/>
  <c r="AC5" i="16" s="1"/>
  <c r="AD5" i="16" s="1"/>
  <c r="AE5" i="16" s="1"/>
  <c r="AF5" i="16" s="1"/>
  <c r="AG5" i="16" s="1"/>
  <c r="AH5" i="16" s="1"/>
  <c r="AI5" i="16" s="1"/>
  <c r="AJ5" i="16" s="1"/>
  <c r="AK5" i="16" s="1"/>
  <c r="AL5" i="16" s="1"/>
  <c r="AM5" i="16" s="1"/>
  <c r="AN5" i="16" s="1"/>
  <c r="AO5" i="16" s="1"/>
  <c r="AP5" i="16" s="1"/>
  <c r="AQ5" i="16" s="1"/>
  <c r="AR5" i="16" s="1"/>
  <c r="AS5" i="16" s="1"/>
  <c r="AT5" i="16" s="1"/>
  <c r="AU5" i="16" s="1"/>
  <c r="AV5" i="16" s="1"/>
  <c r="AW5" i="16" s="1"/>
  <c r="AX5" i="16" s="1"/>
  <c r="AY5" i="16" s="1"/>
  <c r="AZ5" i="16" s="1"/>
  <c r="BA5" i="16" s="1"/>
  <c r="BB5" i="16" s="1"/>
  <c r="BC5" i="16" s="1"/>
  <c r="BD5" i="16" s="1"/>
  <c r="BE5" i="16" s="1"/>
  <c r="BF5" i="16" s="1"/>
  <c r="BG5" i="16" s="1"/>
  <c r="BH5" i="16" s="1"/>
  <c r="BI5" i="16" s="1"/>
  <c r="BJ5" i="16" s="1"/>
  <c r="BK5" i="16" s="1"/>
  <c r="BL5" i="16" s="1"/>
  <c r="BM5" i="16" s="1"/>
  <c r="BN5" i="16" s="1"/>
  <c r="BO5" i="16" s="1"/>
  <c r="BP5" i="16" s="1"/>
  <c r="BQ5" i="16" s="1"/>
  <c r="BR5" i="16" s="1"/>
  <c r="BS5" i="16" s="1"/>
  <c r="BT5" i="16" s="1"/>
  <c r="BU5" i="16" s="1"/>
  <c r="BV5" i="16" s="1"/>
  <c r="BW5" i="16" s="1"/>
  <c r="BX5" i="16" s="1"/>
  <c r="BY5" i="16" s="1"/>
  <c r="BZ5" i="16" s="1"/>
  <c r="CA5" i="16" s="1"/>
  <c r="CB5" i="16" s="1"/>
  <c r="CC5" i="16" s="1"/>
  <c r="CD5" i="16" s="1"/>
  <c r="CE5" i="16" s="1"/>
  <c r="CF5" i="16" s="1"/>
  <c r="CG5" i="16" s="1"/>
  <c r="CH5" i="16" s="1"/>
  <c r="CI5" i="16" s="1"/>
  <c r="CJ5" i="16" s="1"/>
  <c r="CK5" i="16" s="1"/>
  <c r="CL5" i="16" s="1"/>
  <c r="CM5" i="16" s="1"/>
  <c r="CN5" i="16" s="1"/>
  <c r="CO5" i="16" s="1"/>
  <c r="CP5" i="16" s="1"/>
  <c r="CQ5" i="16" s="1"/>
  <c r="CR5" i="16" s="1"/>
  <c r="CS5" i="16" s="1"/>
  <c r="CT5" i="16" s="1"/>
  <c r="CU5" i="16" s="1"/>
  <c r="CV5" i="16" s="1"/>
  <c r="CW5" i="16" s="1"/>
  <c r="CX5" i="16" s="1"/>
  <c r="CY5" i="16" s="1"/>
  <c r="CZ5" i="16" s="1"/>
  <c r="DA5" i="16" s="1"/>
  <c r="DB5" i="16" s="1"/>
  <c r="DC5" i="16" s="1"/>
  <c r="DD5" i="16" s="1"/>
  <c r="DE5" i="16" s="1"/>
  <c r="DF5" i="16" s="1"/>
  <c r="DG5" i="16" s="1"/>
  <c r="DH5" i="16" s="1"/>
  <c r="DI5" i="16" s="1"/>
  <c r="DJ5" i="16" s="1"/>
  <c r="DK5" i="16" s="1"/>
  <c r="DL5" i="16" s="1"/>
  <c r="DM5" i="16" s="1"/>
  <c r="DN5" i="16" s="1"/>
  <c r="DO5" i="16" s="1"/>
  <c r="DP5" i="16" s="1"/>
  <c r="DQ5" i="16" s="1"/>
  <c r="DR5" i="16" s="1"/>
  <c r="DS5" i="16" s="1"/>
  <c r="DT5" i="16" s="1"/>
  <c r="DU5" i="16" s="1"/>
  <c r="DV5" i="16" s="1"/>
  <c r="DW5" i="16" s="1"/>
  <c r="DX5" i="16" s="1"/>
  <c r="DY5" i="16" s="1"/>
  <c r="DZ5" i="16" s="1"/>
  <c r="EA5" i="16" s="1"/>
  <c r="EB5" i="16" s="1"/>
  <c r="EC5" i="16" s="1"/>
  <c r="ED5" i="16" s="1"/>
  <c r="EE5" i="16" s="1"/>
  <c r="EF5" i="16" s="1"/>
  <c r="EG5" i="16" s="1"/>
  <c r="EH5" i="16" s="1"/>
  <c r="EI5" i="16" s="1"/>
  <c r="EJ5" i="16" s="1"/>
  <c r="EK5" i="16" s="1"/>
  <c r="EL5" i="16" s="1"/>
  <c r="EM5" i="16" s="1"/>
  <c r="EN5" i="16" s="1"/>
  <c r="EO5" i="16" s="1"/>
  <c r="EP5" i="16" s="1"/>
  <c r="EQ5" i="16" s="1"/>
  <c r="ER5" i="16" s="1"/>
  <c r="ES5" i="16" s="1"/>
  <c r="ET5" i="16" s="1"/>
  <c r="EU5" i="16" s="1"/>
  <c r="EV5" i="16" s="1"/>
  <c r="EW5" i="16" s="1"/>
  <c r="EX5" i="16" s="1"/>
  <c r="EY5" i="16" s="1"/>
  <c r="EZ5" i="16" s="1"/>
  <c r="FA5" i="16" s="1"/>
  <c r="FB5" i="16" s="1"/>
  <c r="FC5" i="16" s="1"/>
  <c r="FD5" i="16" s="1"/>
  <c r="FE5" i="16" s="1"/>
  <c r="FF5" i="16" s="1"/>
  <c r="FG5" i="16" s="1"/>
  <c r="FH5" i="16" s="1"/>
  <c r="FI5" i="16" s="1"/>
  <c r="FJ5" i="16" s="1"/>
  <c r="FK5" i="16" s="1"/>
  <c r="FL5" i="16" s="1"/>
  <c r="C9" i="16"/>
  <c r="D9" i="16" s="1"/>
  <c r="E9" i="16" s="1"/>
  <c r="F9" i="16" s="1"/>
  <c r="G9" i="16" s="1"/>
  <c r="H9" i="16" s="1"/>
  <c r="I9" i="16" s="1"/>
  <c r="J9" i="16" s="1"/>
  <c r="K9" i="16" s="1"/>
  <c r="L9" i="16" s="1"/>
  <c r="M9" i="16" s="1"/>
  <c r="N9" i="16" s="1"/>
  <c r="O9" i="16" s="1"/>
  <c r="P9" i="16" s="1"/>
  <c r="Q9" i="16" s="1"/>
  <c r="R9" i="16" s="1"/>
  <c r="S9" i="16" s="1"/>
  <c r="T9" i="16" s="1"/>
  <c r="U9" i="16" s="1"/>
  <c r="V9" i="16" s="1"/>
  <c r="W9" i="16" s="1"/>
  <c r="X9" i="16" s="1"/>
  <c r="Y9" i="16" s="1"/>
  <c r="Z9" i="16" s="1"/>
  <c r="AA9" i="16" s="1"/>
  <c r="AB9" i="16" s="1"/>
  <c r="AC9" i="16" s="1"/>
  <c r="AD9" i="16" s="1"/>
  <c r="AE9" i="16" s="1"/>
  <c r="AF9" i="16" s="1"/>
  <c r="AG9" i="16" s="1"/>
  <c r="AH9" i="16" s="1"/>
  <c r="AI9" i="16" s="1"/>
  <c r="AJ9" i="16" s="1"/>
  <c r="AK9" i="16" s="1"/>
  <c r="AL9" i="16" s="1"/>
  <c r="AM9" i="16" s="1"/>
  <c r="AN9" i="16" s="1"/>
  <c r="AO9" i="16" s="1"/>
  <c r="AP9" i="16" s="1"/>
  <c r="AQ9" i="16" s="1"/>
  <c r="AR9" i="16" s="1"/>
  <c r="AS9" i="16" s="1"/>
  <c r="AT9" i="16" s="1"/>
  <c r="AU9" i="16" s="1"/>
  <c r="AV9" i="16" s="1"/>
  <c r="AW9" i="16" s="1"/>
  <c r="AX9" i="16" s="1"/>
  <c r="AY9" i="16" s="1"/>
  <c r="AZ9" i="16" s="1"/>
  <c r="BA9" i="16" s="1"/>
  <c r="BB9" i="16" s="1"/>
  <c r="BC9" i="16" s="1"/>
  <c r="BD9" i="16" s="1"/>
  <c r="BE9" i="16" s="1"/>
  <c r="BF9" i="16" s="1"/>
  <c r="BG9" i="16" s="1"/>
  <c r="BH9" i="16" s="1"/>
  <c r="BI9" i="16" s="1"/>
  <c r="BJ9" i="16" s="1"/>
  <c r="BK9" i="16" s="1"/>
  <c r="BL9" i="16" s="1"/>
  <c r="BM9" i="16" s="1"/>
  <c r="BN9" i="16" s="1"/>
  <c r="BO9" i="16" s="1"/>
  <c r="BP9" i="16" s="1"/>
  <c r="BQ9" i="16" s="1"/>
  <c r="BR9" i="16" s="1"/>
  <c r="BS9" i="16" s="1"/>
  <c r="BT9" i="16" s="1"/>
  <c r="BU9" i="16" s="1"/>
  <c r="BV9" i="16" s="1"/>
  <c r="BW9" i="16" s="1"/>
  <c r="BX9" i="16" s="1"/>
  <c r="BY9" i="16" s="1"/>
  <c r="BZ9" i="16" s="1"/>
  <c r="CA9" i="16" s="1"/>
  <c r="CB9" i="16" s="1"/>
  <c r="CC9" i="16" s="1"/>
  <c r="CD9" i="16" s="1"/>
  <c r="CE9" i="16" s="1"/>
  <c r="CF9" i="16" s="1"/>
  <c r="CG9" i="16" s="1"/>
  <c r="CH9" i="16" s="1"/>
  <c r="CI9" i="16" s="1"/>
  <c r="CJ9" i="16" s="1"/>
  <c r="CK9" i="16" s="1"/>
  <c r="CL9" i="16" s="1"/>
  <c r="CM9" i="16" s="1"/>
  <c r="CN9" i="16" s="1"/>
  <c r="CO9" i="16" s="1"/>
  <c r="CP9" i="16" s="1"/>
  <c r="CQ9" i="16" s="1"/>
  <c r="CR9" i="16" s="1"/>
  <c r="CS9" i="16" s="1"/>
  <c r="CT9" i="16" s="1"/>
  <c r="CU9" i="16" s="1"/>
  <c r="CV9" i="16" s="1"/>
  <c r="CW9" i="16" s="1"/>
  <c r="CX9" i="16" s="1"/>
  <c r="CY9" i="16" s="1"/>
  <c r="CZ9" i="16" s="1"/>
  <c r="DA9" i="16" s="1"/>
  <c r="DB9" i="16" s="1"/>
  <c r="DC9" i="16" s="1"/>
  <c r="DD9" i="16" s="1"/>
  <c r="DE9" i="16" s="1"/>
  <c r="DF9" i="16" s="1"/>
  <c r="DG9" i="16" s="1"/>
  <c r="DH9" i="16" s="1"/>
  <c r="DI9" i="16" s="1"/>
  <c r="DJ9" i="16" s="1"/>
  <c r="DK9" i="16" s="1"/>
  <c r="DL9" i="16" s="1"/>
  <c r="DM9" i="16" s="1"/>
  <c r="DN9" i="16" s="1"/>
  <c r="DO9" i="16" s="1"/>
  <c r="DP9" i="16" s="1"/>
  <c r="DQ9" i="16" s="1"/>
  <c r="DR9" i="16" s="1"/>
  <c r="DS9" i="16" s="1"/>
  <c r="DT9" i="16" s="1"/>
  <c r="DU9" i="16" s="1"/>
  <c r="DV9" i="16" s="1"/>
  <c r="DW9" i="16" s="1"/>
  <c r="DX9" i="16" s="1"/>
  <c r="DY9" i="16" s="1"/>
  <c r="DZ9" i="16" s="1"/>
  <c r="EA9" i="16" s="1"/>
  <c r="EB9" i="16" s="1"/>
  <c r="EC9" i="16" s="1"/>
  <c r="ED9" i="16" s="1"/>
  <c r="EE9" i="16" s="1"/>
  <c r="EF9" i="16" s="1"/>
  <c r="EG9" i="16" s="1"/>
  <c r="EH9" i="16" s="1"/>
  <c r="EI9" i="16" s="1"/>
  <c r="EJ9" i="16" s="1"/>
  <c r="EK9" i="16" s="1"/>
  <c r="EL9" i="16" s="1"/>
  <c r="EM9" i="16" s="1"/>
  <c r="EN9" i="16" s="1"/>
  <c r="EO9" i="16" s="1"/>
  <c r="EP9" i="16" s="1"/>
  <c r="EQ9" i="16" s="1"/>
  <c r="ER9" i="16" s="1"/>
  <c r="ES9" i="16" s="1"/>
  <c r="ET9" i="16" s="1"/>
  <c r="EU9" i="16" s="1"/>
  <c r="EV9" i="16" s="1"/>
  <c r="EW9" i="16" s="1"/>
  <c r="EX9" i="16" s="1"/>
  <c r="EY9" i="16" s="1"/>
  <c r="EZ9" i="16" s="1"/>
  <c r="FA9" i="16" s="1"/>
  <c r="FB9" i="16" s="1"/>
  <c r="FC9" i="16" s="1"/>
  <c r="FD9" i="16" s="1"/>
  <c r="FE9" i="16" s="1"/>
  <c r="FF9" i="16" s="1"/>
  <c r="FG9" i="16" s="1"/>
  <c r="FH9" i="16" s="1"/>
  <c r="FI9" i="16" s="1"/>
  <c r="FJ9" i="16" s="1"/>
  <c r="FK9" i="16" s="1"/>
  <c r="FL9" i="16" s="1"/>
  <c r="E47" i="11"/>
  <c r="D47" i="11"/>
  <c r="E38" i="11"/>
  <c r="D38" i="11"/>
  <c r="E29" i="11"/>
  <c r="D29" i="11"/>
  <c r="E20" i="11"/>
  <c r="D20" i="11"/>
  <c r="E11" i="11"/>
  <c r="D11" i="11"/>
  <c r="E2" i="11"/>
  <c r="D2" i="11"/>
  <c r="H58" i="11"/>
  <c r="E10" i="20" l="1"/>
  <c r="G53" i="15"/>
  <c r="I52" i="15"/>
  <c r="A12" i="20"/>
  <c r="B11" i="20"/>
  <c r="C11" i="20"/>
  <c r="F11" i="20"/>
  <c r="G11" i="20" s="1"/>
  <c r="C3" i="16"/>
  <c r="D3" i="16" s="1"/>
  <c r="E3" i="16" s="1"/>
  <c r="F3" i="16" s="1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AG3" i="16" s="1"/>
  <c r="AH3" i="16" s="1"/>
  <c r="AI3" i="16" s="1"/>
  <c r="AJ3" i="16" s="1"/>
  <c r="AK3" i="16" s="1"/>
  <c r="AL3" i="16" s="1"/>
  <c r="AM3" i="16" s="1"/>
  <c r="AN3" i="16" s="1"/>
  <c r="AO3" i="16" s="1"/>
  <c r="AP3" i="16" s="1"/>
  <c r="AQ3" i="16" s="1"/>
  <c r="AR3" i="16" s="1"/>
  <c r="AS3" i="16" s="1"/>
  <c r="AT3" i="16" s="1"/>
  <c r="AU3" i="16" s="1"/>
  <c r="AV3" i="16" s="1"/>
  <c r="AW3" i="16" s="1"/>
  <c r="AX3" i="16" s="1"/>
  <c r="AY3" i="16" s="1"/>
  <c r="AZ3" i="16" s="1"/>
  <c r="BA3" i="16" s="1"/>
  <c r="BB3" i="16" s="1"/>
  <c r="BC3" i="16" s="1"/>
  <c r="BD3" i="16" s="1"/>
  <c r="BE3" i="16" s="1"/>
  <c r="BF3" i="16" s="1"/>
  <c r="BG3" i="16" s="1"/>
  <c r="BH3" i="16" s="1"/>
  <c r="BI3" i="16" s="1"/>
  <c r="BJ3" i="16" s="1"/>
  <c r="BK3" i="16" s="1"/>
  <c r="BL3" i="16" s="1"/>
  <c r="BM3" i="16" s="1"/>
  <c r="BN3" i="16" s="1"/>
  <c r="BO3" i="16" s="1"/>
  <c r="BP3" i="16" s="1"/>
  <c r="BQ3" i="16" s="1"/>
  <c r="BR3" i="16" s="1"/>
  <c r="BS3" i="16" s="1"/>
  <c r="BT3" i="16" s="1"/>
  <c r="BU3" i="16" s="1"/>
  <c r="BV3" i="16" s="1"/>
  <c r="BW3" i="16" s="1"/>
  <c r="BX3" i="16" s="1"/>
  <c r="BY3" i="16" s="1"/>
  <c r="BZ3" i="16" s="1"/>
  <c r="CA3" i="16" s="1"/>
  <c r="CB3" i="16" s="1"/>
  <c r="CC3" i="16" s="1"/>
  <c r="CD3" i="16" s="1"/>
  <c r="CE3" i="16" s="1"/>
  <c r="CF3" i="16" s="1"/>
  <c r="CG3" i="16" s="1"/>
  <c r="CH3" i="16" s="1"/>
  <c r="CI3" i="16" s="1"/>
  <c r="CJ3" i="16" s="1"/>
  <c r="CK3" i="16" s="1"/>
  <c r="CL3" i="16" s="1"/>
  <c r="CM3" i="16" s="1"/>
  <c r="CN3" i="16" s="1"/>
  <c r="CO3" i="16" s="1"/>
  <c r="CP3" i="16" s="1"/>
  <c r="CQ3" i="16" s="1"/>
  <c r="CR3" i="16" s="1"/>
  <c r="CS3" i="16" s="1"/>
  <c r="CT3" i="16" s="1"/>
  <c r="CU3" i="16" s="1"/>
  <c r="CV3" i="16" s="1"/>
  <c r="CW3" i="16" s="1"/>
  <c r="CX3" i="16" s="1"/>
  <c r="CY3" i="16" s="1"/>
  <c r="CZ3" i="16" s="1"/>
  <c r="DA3" i="16" s="1"/>
  <c r="DB3" i="16" s="1"/>
  <c r="DC3" i="16" s="1"/>
  <c r="DD3" i="16" s="1"/>
  <c r="DE3" i="16" s="1"/>
  <c r="DF3" i="16" s="1"/>
  <c r="DG3" i="16" s="1"/>
  <c r="DH3" i="16" s="1"/>
  <c r="DI3" i="16" s="1"/>
  <c r="DJ3" i="16" s="1"/>
  <c r="DK3" i="16" s="1"/>
  <c r="DL3" i="16" s="1"/>
  <c r="DM3" i="16" s="1"/>
  <c r="DN3" i="16" s="1"/>
  <c r="DO3" i="16" s="1"/>
  <c r="DP3" i="16" s="1"/>
  <c r="DQ3" i="16" s="1"/>
  <c r="DR3" i="16" s="1"/>
  <c r="DS3" i="16" s="1"/>
  <c r="DT3" i="16" s="1"/>
  <c r="DU3" i="16" s="1"/>
  <c r="DV3" i="16" s="1"/>
  <c r="DW3" i="16" s="1"/>
  <c r="DX3" i="16" s="1"/>
  <c r="DY3" i="16" s="1"/>
  <c r="DZ3" i="16" s="1"/>
  <c r="EA3" i="16" s="1"/>
  <c r="EB3" i="16" s="1"/>
  <c r="EC3" i="16" s="1"/>
  <c r="ED3" i="16" s="1"/>
  <c r="EE3" i="16" s="1"/>
  <c r="EF3" i="16" s="1"/>
  <c r="EG3" i="16" s="1"/>
  <c r="EH3" i="16" s="1"/>
  <c r="EI3" i="16" s="1"/>
  <c r="EJ3" i="16" s="1"/>
  <c r="EK3" i="16" s="1"/>
  <c r="EL3" i="16" s="1"/>
  <c r="EM3" i="16" s="1"/>
  <c r="EN3" i="16" s="1"/>
  <c r="EO3" i="16" s="1"/>
  <c r="EP3" i="16" s="1"/>
  <c r="EQ3" i="16" s="1"/>
  <c r="ER3" i="16" s="1"/>
  <c r="ES3" i="16" s="1"/>
  <c r="ET3" i="16" s="1"/>
  <c r="EU3" i="16" s="1"/>
  <c r="EV3" i="16" s="1"/>
  <c r="EW3" i="16" s="1"/>
  <c r="EX3" i="16" s="1"/>
  <c r="EY3" i="16" s="1"/>
  <c r="EZ3" i="16" s="1"/>
  <c r="FA3" i="16" s="1"/>
  <c r="FB3" i="16" s="1"/>
  <c r="FC3" i="16" s="1"/>
  <c r="FD3" i="16" s="1"/>
  <c r="FE3" i="16" s="1"/>
  <c r="FF3" i="16" s="1"/>
  <c r="FG3" i="16" s="1"/>
  <c r="FH3" i="16" s="1"/>
  <c r="FI3" i="16" s="1"/>
  <c r="FJ3" i="16" s="1"/>
  <c r="FK3" i="16" s="1"/>
  <c r="FL3" i="16" s="1"/>
  <c r="C10" i="16"/>
  <c r="D10" i="16" s="1"/>
  <c r="E10" i="16" s="1"/>
  <c r="F10" i="16" s="1"/>
  <c r="G10" i="16" s="1"/>
  <c r="H10" i="16" s="1"/>
  <c r="I10" i="16" s="1"/>
  <c r="J10" i="16" s="1"/>
  <c r="K10" i="16" s="1"/>
  <c r="L10" i="16" s="1"/>
  <c r="M10" i="16" s="1"/>
  <c r="N10" i="16" s="1"/>
  <c r="O10" i="16" s="1"/>
  <c r="P10" i="16" s="1"/>
  <c r="Q10" i="16" s="1"/>
  <c r="R10" i="16" s="1"/>
  <c r="S10" i="16" s="1"/>
  <c r="T10" i="16" s="1"/>
  <c r="U10" i="16" s="1"/>
  <c r="V10" i="16" s="1"/>
  <c r="W10" i="16" s="1"/>
  <c r="X10" i="16" s="1"/>
  <c r="Y10" i="16" s="1"/>
  <c r="Z10" i="16" s="1"/>
  <c r="AA10" i="16" s="1"/>
  <c r="AB10" i="16" s="1"/>
  <c r="AC10" i="16" s="1"/>
  <c r="AD10" i="16" s="1"/>
  <c r="AE10" i="16" s="1"/>
  <c r="AF10" i="16" s="1"/>
  <c r="AG10" i="16" s="1"/>
  <c r="AH10" i="16" s="1"/>
  <c r="AI10" i="16" s="1"/>
  <c r="AJ10" i="16" s="1"/>
  <c r="AK10" i="16" s="1"/>
  <c r="AL10" i="16" s="1"/>
  <c r="AM10" i="16" s="1"/>
  <c r="AN10" i="16" s="1"/>
  <c r="AO10" i="16" s="1"/>
  <c r="AP10" i="16" s="1"/>
  <c r="AQ10" i="16" s="1"/>
  <c r="AR10" i="16" s="1"/>
  <c r="AS10" i="16" s="1"/>
  <c r="AT10" i="16" s="1"/>
  <c r="AU10" i="16" s="1"/>
  <c r="AV10" i="16" s="1"/>
  <c r="AW10" i="16" s="1"/>
  <c r="AX10" i="16" s="1"/>
  <c r="AY10" i="16" s="1"/>
  <c r="AZ10" i="16" s="1"/>
  <c r="BA10" i="16" s="1"/>
  <c r="BB10" i="16" s="1"/>
  <c r="BC10" i="16" s="1"/>
  <c r="BD10" i="16" s="1"/>
  <c r="BE10" i="16" s="1"/>
  <c r="BF10" i="16" s="1"/>
  <c r="BG10" i="16" s="1"/>
  <c r="BH10" i="16" s="1"/>
  <c r="BI10" i="16" s="1"/>
  <c r="BJ10" i="16" s="1"/>
  <c r="BK10" i="16" s="1"/>
  <c r="BL10" i="16" s="1"/>
  <c r="BM10" i="16" s="1"/>
  <c r="BN10" i="16" s="1"/>
  <c r="BO10" i="16" s="1"/>
  <c r="BP10" i="16" s="1"/>
  <c r="BQ10" i="16" s="1"/>
  <c r="BR10" i="16" s="1"/>
  <c r="BS10" i="16" s="1"/>
  <c r="BT10" i="16" s="1"/>
  <c r="BU10" i="16" s="1"/>
  <c r="BV10" i="16" s="1"/>
  <c r="BW10" i="16" s="1"/>
  <c r="BX10" i="16" s="1"/>
  <c r="BY10" i="16" s="1"/>
  <c r="BZ10" i="16" s="1"/>
  <c r="CA10" i="16" s="1"/>
  <c r="CB10" i="16" s="1"/>
  <c r="CC10" i="16" s="1"/>
  <c r="CD10" i="16" s="1"/>
  <c r="CE10" i="16" s="1"/>
  <c r="CF10" i="16" s="1"/>
  <c r="CG10" i="16" s="1"/>
  <c r="CH10" i="16" s="1"/>
  <c r="CI10" i="16" s="1"/>
  <c r="CJ10" i="16" s="1"/>
  <c r="CK10" i="16" s="1"/>
  <c r="CL10" i="16" s="1"/>
  <c r="CM10" i="16" s="1"/>
  <c r="CN10" i="16" s="1"/>
  <c r="CO10" i="16" s="1"/>
  <c r="CP10" i="16" s="1"/>
  <c r="CQ10" i="16" s="1"/>
  <c r="CR10" i="16" s="1"/>
  <c r="CS10" i="16" s="1"/>
  <c r="CT10" i="16" s="1"/>
  <c r="CU10" i="16" s="1"/>
  <c r="CV10" i="16" s="1"/>
  <c r="CW10" i="16" s="1"/>
  <c r="CX10" i="16" s="1"/>
  <c r="CY10" i="16" s="1"/>
  <c r="CZ10" i="16" s="1"/>
  <c r="DA10" i="16" s="1"/>
  <c r="DB10" i="16" s="1"/>
  <c r="DC10" i="16" s="1"/>
  <c r="DD10" i="16" s="1"/>
  <c r="DE10" i="16" s="1"/>
  <c r="DF10" i="16" s="1"/>
  <c r="DG10" i="16" s="1"/>
  <c r="DH10" i="16" s="1"/>
  <c r="DI10" i="16" s="1"/>
  <c r="DJ10" i="16" s="1"/>
  <c r="DK10" i="16" s="1"/>
  <c r="DL10" i="16" s="1"/>
  <c r="DM10" i="16" s="1"/>
  <c r="DN10" i="16" s="1"/>
  <c r="DO10" i="16" s="1"/>
  <c r="DP10" i="16" s="1"/>
  <c r="DQ10" i="16" s="1"/>
  <c r="DR10" i="16" s="1"/>
  <c r="DS10" i="16" s="1"/>
  <c r="DT10" i="16" s="1"/>
  <c r="DU10" i="16" s="1"/>
  <c r="DV10" i="16" s="1"/>
  <c r="DW10" i="16" s="1"/>
  <c r="DX10" i="16" s="1"/>
  <c r="DY10" i="16" s="1"/>
  <c r="DZ10" i="16" s="1"/>
  <c r="EA10" i="16" s="1"/>
  <c r="EB10" i="16" s="1"/>
  <c r="EC10" i="16" s="1"/>
  <c r="ED10" i="16" s="1"/>
  <c r="EE10" i="16" s="1"/>
  <c r="EF10" i="16" s="1"/>
  <c r="EG10" i="16" s="1"/>
  <c r="EH10" i="16" s="1"/>
  <c r="EI10" i="16" s="1"/>
  <c r="EJ10" i="16" s="1"/>
  <c r="EK10" i="16" s="1"/>
  <c r="EL10" i="16" s="1"/>
  <c r="EM10" i="16" s="1"/>
  <c r="EN10" i="16" s="1"/>
  <c r="EO10" i="16" s="1"/>
  <c r="EP10" i="16" s="1"/>
  <c r="EQ10" i="16" s="1"/>
  <c r="ER10" i="16" s="1"/>
  <c r="ES10" i="16" s="1"/>
  <c r="ET10" i="16" s="1"/>
  <c r="EU10" i="16" s="1"/>
  <c r="EV10" i="16" s="1"/>
  <c r="EW10" i="16" s="1"/>
  <c r="EX10" i="16" s="1"/>
  <c r="EY10" i="16" s="1"/>
  <c r="EZ10" i="16" s="1"/>
  <c r="FA10" i="16" s="1"/>
  <c r="FB10" i="16" s="1"/>
  <c r="FC10" i="16" s="1"/>
  <c r="FD10" i="16" s="1"/>
  <c r="FE10" i="16" s="1"/>
  <c r="FF10" i="16" s="1"/>
  <c r="FG10" i="16" s="1"/>
  <c r="FH10" i="16" s="1"/>
  <c r="FI10" i="16" s="1"/>
  <c r="FJ10" i="16" s="1"/>
  <c r="FK10" i="16" s="1"/>
  <c r="FL10" i="16" s="1"/>
  <c r="C6" i="16"/>
  <c r="D6" i="16" s="1"/>
  <c r="E6" i="16" s="1"/>
  <c r="F6" i="16" s="1"/>
  <c r="G6" i="16" s="1"/>
  <c r="H6" i="16" s="1"/>
  <c r="I6" i="16" s="1"/>
  <c r="J6" i="16" s="1"/>
  <c r="K6" i="16" s="1"/>
  <c r="L6" i="16" s="1"/>
  <c r="M6" i="16" s="1"/>
  <c r="N6" i="16" s="1"/>
  <c r="O6" i="16" s="1"/>
  <c r="P6" i="16" s="1"/>
  <c r="Q6" i="16" s="1"/>
  <c r="R6" i="16" s="1"/>
  <c r="S6" i="16" s="1"/>
  <c r="T6" i="16" s="1"/>
  <c r="U6" i="16" s="1"/>
  <c r="V6" i="16" s="1"/>
  <c r="W6" i="16" s="1"/>
  <c r="X6" i="16" s="1"/>
  <c r="Y6" i="16" s="1"/>
  <c r="Z6" i="16" s="1"/>
  <c r="AA6" i="16" s="1"/>
  <c r="AB6" i="16" s="1"/>
  <c r="AC6" i="16" s="1"/>
  <c r="AD6" i="16" s="1"/>
  <c r="AE6" i="16" s="1"/>
  <c r="AF6" i="16" s="1"/>
  <c r="AG6" i="16" s="1"/>
  <c r="AH6" i="16" s="1"/>
  <c r="AI6" i="16" s="1"/>
  <c r="AJ6" i="16" s="1"/>
  <c r="AK6" i="16" s="1"/>
  <c r="AL6" i="16" s="1"/>
  <c r="AM6" i="16" s="1"/>
  <c r="AN6" i="16" s="1"/>
  <c r="AO6" i="16" s="1"/>
  <c r="AP6" i="16" s="1"/>
  <c r="AQ6" i="16" s="1"/>
  <c r="AR6" i="16" s="1"/>
  <c r="AS6" i="16" s="1"/>
  <c r="AT6" i="16" s="1"/>
  <c r="AU6" i="16" s="1"/>
  <c r="AV6" i="16" s="1"/>
  <c r="AW6" i="16" s="1"/>
  <c r="AX6" i="16" s="1"/>
  <c r="AY6" i="16" s="1"/>
  <c r="AZ6" i="16" s="1"/>
  <c r="BA6" i="16" s="1"/>
  <c r="BB6" i="16" s="1"/>
  <c r="BC6" i="16" s="1"/>
  <c r="BD6" i="16" s="1"/>
  <c r="BE6" i="16" s="1"/>
  <c r="BF6" i="16" s="1"/>
  <c r="BG6" i="16" s="1"/>
  <c r="BH6" i="16" s="1"/>
  <c r="BI6" i="16" s="1"/>
  <c r="BJ6" i="16" s="1"/>
  <c r="BK6" i="16" s="1"/>
  <c r="BL6" i="16" s="1"/>
  <c r="BM6" i="16" s="1"/>
  <c r="BN6" i="16" s="1"/>
  <c r="BO6" i="16" s="1"/>
  <c r="BP6" i="16" s="1"/>
  <c r="BQ6" i="16" s="1"/>
  <c r="BR6" i="16" s="1"/>
  <c r="BS6" i="16" s="1"/>
  <c r="BT6" i="16" s="1"/>
  <c r="BU6" i="16" s="1"/>
  <c r="BV6" i="16" s="1"/>
  <c r="BW6" i="16" s="1"/>
  <c r="BX6" i="16" s="1"/>
  <c r="BY6" i="16" s="1"/>
  <c r="BZ6" i="16" s="1"/>
  <c r="CA6" i="16" s="1"/>
  <c r="CB6" i="16" s="1"/>
  <c r="CC6" i="16" s="1"/>
  <c r="CD6" i="16" s="1"/>
  <c r="CE6" i="16" s="1"/>
  <c r="CF6" i="16" s="1"/>
  <c r="CG6" i="16" s="1"/>
  <c r="CH6" i="16" s="1"/>
  <c r="CI6" i="16" s="1"/>
  <c r="CJ6" i="16" s="1"/>
  <c r="CK6" i="16" s="1"/>
  <c r="CL6" i="16" s="1"/>
  <c r="CM6" i="16" s="1"/>
  <c r="CN6" i="16" s="1"/>
  <c r="CO6" i="16" s="1"/>
  <c r="CP6" i="16" s="1"/>
  <c r="CQ6" i="16" s="1"/>
  <c r="CR6" i="16" s="1"/>
  <c r="CS6" i="16" s="1"/>
  <c r="CT6" i="16" s="1"/>
  <c r="CU6" i="16" s="1"/>
  <c r="CV6" i="16" s="1"/>
  <c r="CW6" i="16" s="1"/>
  <c r="CX6" i="16" s="1"/>
  <c r="CY6" i="16" s="1"/>
  <c r="CZ6" i="16" s="1"/>
  <c r="DA6" i="16" s="1"/>
  <c r="DB6" i="16" s="1"/>
  <c r="DC6" i="16" s="1"/>
  <c r="DD6" i="16" s="1"/>
  <c r="DE6" i="16" s="1"/>
  <c r="DF6" i="16" s="1"/>
  <c r="DG6" i="16" s="1"/>
  <c r="DH6" i="16" s="1"/>
  <c r="DI6" i="16" s="1"/>
  <c r="DJ6" i="16" s="1"/>
  <c r="DK6" i="16" s="1"/>
  <c r="DL6" i="16" s="1"/>
  <c r="DM6" i="16" s="1"/>
  <c r="DN6" i="16" s="1"/>
  <c r="DO6" i="16" s="1"/>
  <c r="DP6" i="16" s="1"/>
  <c r="DQ6" i="16" s="1"/>
  <c r="DR6" i="16" s="1"/>
  <c r="DS6" i="16" s="1"/>
  <c r="DT6" i="16" s="1"/>
  <c r="DU6" i="16" s="1"/>
  <c r="DV6" i="16" s="1"/>
  <c r="DW6" i="16" s="1"/>
  <c r="DX6" i="16" s="1"/>
  <c r="DY6" i="16" s="1"/>
  <c r="DZ6" i="16" s="1"/>
  <c r="EA6" i="16" s="1"/>
  <c r="EB6" i="16" s="1"/>
  <c r="EC6" i="16" s="1"/>
  <c r="ED6" i="16" s="1"/>
  <c r="EE6" i="16" s="1"/>
  <c r="EF6" i="16" s="1"/>
  <c r="EG6" i="16" s="1"/>
  <c r="EH6" i="16" s="1"/>
  <c r="EI6" i="16" s="1"/>
  <c r="EJ6" i="16" s="1"/>
  <c r="EK6" i="16" s="1"/>
  <c r="EL6" i="16" s="1"/>
  <c r="EM6" i="16" s="1"/>
  <c r="EN6" i="16" s="1"/>
  <c r="EO6" i="16" s="1"/>
  <c r="EP6" i="16" s="1"/>
  <c r="EQ6" i="16" s="1"/>
  <c r="ER6" i="16" s="1"/>
  <c r="ES6" i="16" s="1"/>
  <c r="ET6" i="16" s="1"/>
  <c r="EU6" i="16" s="1"/>
  <c r="EV6" i="16" s="1"/>
  <c r="EW6" i="16" s="1"/>
  <c r="EX6" i="16" s="1"/>
  <c r="EY6" i="16" s="1"/>
  <c r="EZ6" i="16" s="1"/>
  <c r="FA6" i="16" s="1"/>
  <c r="FB6" i="16" s="1"/>
  <c r="FC6" i="16" s="1"/>
  <c r="FD6" i="16" s="1"/>
  <c r="FE6" i="16" s="1"/>
  <c r="FF6" i="16" s="1"/>
  <c r="FG6" i="16" s="1"/>
  <c r="FH6" i="16" s="1"/>
  <c r="FI6" i="16" s="1"/>
  <c r="FJ6" i="16" s="1"/>
  <c r="FK6" i="16" s="1"/>
  <c r="FL6" i="16" s="1"/>
  <c r="C2" i="16"/>
  <c r="D2" i="16" s="1"/>
  <c r="E2" i="16" s="1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AH2" i="16" s="1"/>
  <c r="AI2" i="16" s="1"/>
  <c r="AJ2" i="16" s="1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BA2" i="16" s="1"/>
  <c r="BB2" i="16" s="1"/>
  <c r="BC2" i="16" s="1"/>
  <c r="BD2" i="16" s="1"/>
  <c r="BE2" i="16" s="1"/>
  <c r="BF2" i="16" s="1"/>
  <c r="BG2" i="16" s="1"/>
  <c r="BH2" i="16" s="1"/>
  <c r="BI2" i="16" s="1"/>
  <c r="BJ2" i="16" s="1"/>
  <c r="BK2" i="16" s="1"/>
  <c r="BL2" i="16" s="1"/>
  <c r="BM2" i="16" s="1"/>
  <c r="BN2" i="16" s="1"/>
  <c r="BO2" i="16" s="1"/>
  <c r="BP2" i="16" s="1"/>
  <c r="BQ2" i="16" s="1"/>
  <c r="BR2" i="16" s="1"/>
  <c r="BS2" i="16" s="1"/>
  <c r="BT2" i="16" s="1"/>
  <c r="BU2" i="16" s="1"/>
  <c r="BV2" i="16" s="1"/>
  <c r="BW2" i="16" s="1"/>
  <c r="BX2" i="16" s="1"/>
  <c r="BY2" i="16" s="1"/>
  <c r="BZ2" i="16" s="1"/>
  <c r="CA2" i="16" s="1"/>
  <c r="CB2" i="16" s="1"/>
  <c r="CC2" i="16" s="1"/>
  <c r="CD2" i="16" s="1"/>
  <c r="CE2" i="16" s="1"/>
  <c r="CF2" i="16" s="1"/>
  <c r="CG2" i="16" s="1"/>
  <c r="CH2" i="16" s="1"/>
  <c r="CI2" i="16" s="1"/>
  <c r="CJ2" i="16" s="1"/>
  <c r="CK2" i="16" s="1"/>
  <c r="CL2" i="16" s="1"/>
  <c r="CM2" i="16" s="1"/>
  <c r="CN2" i="16" s="1"/>
  <c r="CO2" i="16" s="1"/>
  <c r="CP2" i="16" s="1"/>
  <c r="CQ2" i="16" s="1"/>
  <c r="CR2" i="16" s="1"/>
  <c r="CS2" i="16" s="1"/>
  <c r="CT2" i="16" s="1"/>
  <c r="CU2" i="16" s="1"/>
  <c r="CV2" i="16" s="1"/>
  <c r="CW2" i="16" s="1"/>
  <c r="CX2" i="16" s="1"/>
  <c r="CY2" i="16" s="1"/>
  <c r="CZ2" i="16" s="1"/>
  <c r="DA2" i="16" s="1"/>
  <c r="DB2" i="16" s="1"/>
  <c r="DC2" i="16" s="1"/>
  <c r="DD2" i="16" s="1"/>
  <c r="DE2" i="16" s="1"/>
  <c r="DF2" i="16" s="1"/>
  <c r="DG2" i="16" s="1"/>
  <c r="DH2" i="16" s="1"/>
  <c r="DI2" i="16" s="1"/>
  <c r="DJ2" i="16" s="1"/>
  <c r="DK2" i="16" s="1"/>
  <c r="DL2" i="16" s="1"/>
  <c r="DM2" i="16" s="1"/>
  <c r="DN2" i="16" s="1"/>
  <c r="DO2" i="16" s="1"/>
  <c r="DP2" i="16" s="1"/>
  <c r="DQ2" i="16" s="1"/>
  <c r="DR2" i="16" s="1"/>
  <c r="DS2" i="16" s="1"/>
  <c r="DT2" i="16" s="1"/>
  <c r="DU2" i="16" s="1"/>
  <c r="DV2" i="16" s="1"/>
  <c r="DW2" i="16" s="1"/>
  <c r="DX2" i="16" s="1"/>
  <c r="DY2" i="16" s="1"/>
  <c r="DZ2" i="16" s="1"/>
  <c r="EA2" i="16" s="1"/>
  <c r="EB2" i="16" s="1"/>
  <c r="EC2" i="16" s="1"/>
  <c r="ED2" i="16" s="1"/>
  <c r="EE2" i="16" s="1"/>
  <c r="EF2" i="16" s="1"/>
  <c r="EG2" i="16" s="1"/>
  <c r="EH2" i="16" s="1"/>
  <c r="EI2" i="16" s="1"/>
  <c r="EJ2" i="16" s="1"/>
  <c r="EK2" i="16" s="1"/>
  <c r="EL2" i="16" s="1"/>
  <c r="EM2" i="16" s="1"/>
  <c r="EN2" i="16" s="1"/>
  <c r="EO2" i="16" s="1"/>
  <c r="EP2" i="16" s="1"/>
  <c r="EQ2" i="16" s="1"/>
  <c r="ER2" i="16" s="1"/>
  <c r="ES2" i="16" s="1"/>
  <c r="ET2" i="16" s="1"/>
  <c r="EU2" i="16" s="1"/>
  <c r="EV2" i="16" s="1"/>
  <c r="EW2" i="16" s="1"/>
  <c r="EX2" i="16" s="1"/>
  <c r="EY2" i="16" s="1"/>
  <c r="EZ2" i="16" s="1"/>
  <c r="FA2" i="16" s="1"/>
  <c r="FB2" i="16" s="1"/>
  <c r="FC2" i="16" s="1"/>
  <c r="FD2" i="16" s="1"/>
  <c r="FE2" i="16" s="1"/>
  <c r="FF2" i="16" s="1"/>
  <c r="FG2" i="16" s="1"/>
  <c r="FH2" i="16" s="1"/>
  <c r="FI2" i="16" s="1"/>
  <c r="FJ2" i="16" s="1"/>
  <c r="FK2" i="16" s="1"/>
  <c r="FL2" i="16" s="1"/>
  <c r="C4" i="16"/>
  <c r="D4" i="16" s="1"/>
  <c r="E4" i="16" s="1"/>
  <c r="F4" i="16" s="1"/>
  <c r="G4" i="16" s="1"/>
  <c r="H4" i="16" s="1"/>
  <c r="I4" i="16" s="1"/>
  <c r="J4" i="16" s="1"/>
  <c r="K4" i="16" s="1"/>
  <c r="L4" i="16" s="1"/>
  <c r="M4" i="16" s="1"/>
  <c r="N4" i="16" s="1"/>
  <c r="O4" i="16" s="1"/>
  <c r="P4" i="16" s="1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AF4" i="16" s="1"/>
  <c r="AG4" i="16" s="1"/>
  <c r="AH4" i="16" s="1"/>
  <c r="AI4" i="16" s="1"/>
  <c r="AJ4" i="16" s="1"/>
  <c r="AK4" i="16" s="1"/>
  <c r="AL4" i="16" s="1"/>
  <c r="AM4" i="16" s="1"/>
  <c r="AN4" i="16" s="1"/>
  <c r="AO4" i="16" s="1"/>
  <c r="AP4" i="16" s="1"/>
  <c r="AQ4" i="16" s="1"/>
  <c r="AR4" i="16" s="1"/>
  <c r="AS4" i="16" s="1"/>
  <c r="AT4" i="16" s="1"/>
  <c r="AU4" i="16" s="1"/>
  <c r="AV4" i="16" s="1"/>
  <c r="AW4" i="16" s="1"/>
  <c r="AX4" i="16" s="1"/>
  <c r="AY4" i="16" s="1"/>
  <c r="AZ4" i="16" s="1"/>
  <c r="BA4" i="16" s="1"/>
  <c r="BB4" i="16" s="1"/>
  <c r="BC4" i="16" s="1"/>
  <c r="BD4" i="16" s="1"/>
  <c r="BE4" i="16" s="1"/>
  <c r="BF4" i="16" s="1"/>
  <c r="BG4" i="16" s="1"/>
  <c r="BH4" i="16" s="1"/>
  <c r="BI4" i="16" s="1"/>
  <c r="BJ4" i="16" s="1"/>
  <c r="BK4" i="16" s="1"/>
  <c r="BL4" i="16" s="1"/>
  <c r="BM4" i="16" s="1"/>
  <c r="BN4" i="16" s="1"/>
  <c r="BO4" i="16" s="1"/>
  <c r="BP4" i="16" s="1"/>
  <c r="BQ4" i="16" s="1"/>
  <c r="BR4" i="16" s="1"/>
  <c r="BS4" i="16" s="1"/>
  <c r="BT4" i="16" s="1"/>
  <c r="BU4" i="16" s="1"/>
  <c r="BV4" i="16" s="1"/>
  <c r="BW4" i="16" s="1"/>
  <c r="BX4" i="16" s="1"/>
  <c r="BY4" i="16" s="1"/>
  <c r="BZ4" i="16" s="1"/>
  <c r="CA4" i="16" s="1"/>
  <c r="CB4" i="16" s="1"/>
  <c r="CC4" i="16" s="1"/>
  <c r="CD4" i="16" s="1"/>
  <c r="CE4" i="16" s="1"/>
  <c r="CF4" i="16" s="1"/>
  <c r="CG4" i="16" s="1"/>
  <c r="CH4" i="16" s="1"/>
  <c r="CI4" i="16" s="1"/>
  <c r="CJ4" i="16" s="1"/>
  <c r="CK4" i="16" s="1"/>
  <c r="CL4" i="16" s="1"/>
  <c r="CM4" i="16" s="1"/>
  <c r="CN4" i="16" s="1"/>
  <c r="CO4" i="16" s="1"/>
  <c r="CP4" i="16" s="1"/>
  <c r="CQ4" i="16" s="1"/>
  <c r="CR4" i="16" s="1"/>
  <c r="CS4" i="16" s="1"/>
  <c r="CT4" i="16" s="1"/>
  <c r="CU4" i="16" s="1"/>
  <c r="CV4" i="16" s="1"/>
  <c r="CW4" i="16" s="1"/>
  <c r="CX4" i="16" s="1"/>
  <c r="CY4" i="16" s="1"/>
  <c r="CZ4" i="16" s="1"/>
  <c r="DA4" i="16" s="1"/>
  <c r="DB4" i="16" s="1"/>
  <c r="DC4" i="16" s="1"/>
  <c r="DD4" i="16" s="1"/>
  <c r="DE4" i="16" s="1"/>
  <c r="DF4" i="16" s="1"/>
  <c r="DG4" i="16" s="1"/>
  <c r="DH4" i="16" s="1"/>
  <c r="DI4" i="16" s="1"/>
  <c r="DJ4" i="16" s="1"/>
  <c r="DK4" i="16" s="1"/>
  <c r="DL4" i="16" s="1"/>
  <c r="DM4" i="16" s="1"/>
  <c r="DN4" i="16" s="1"/>
  <c r="DO4" i="16" s="1"/>
  <c r="DP4" i="16" s="1"/>
  <c r="DQ4" i="16" s="1"/>
  <c r="DR4" i="16" s="1"/>
  <c r="DS4" i="16" s="1"/>
  <c r="DT4" i="16" s="1"/>
  <c r="DU4" i="16" s="1"/>
  <c r="DV4" i="16" s="1"/>
  <c r="DW4" i="16" s="1"/>
  <c r="DX4" i="16" s="1"/>
  <c r="DY4" i="16" s="1"/>
  <c r="DZ4" i="16" s="1"/>
  <c r="EA4" i="16" s="1"/>
  <c r="EB4" i="16" s="1"/>
  <c r="EC4" i="16" s="1"/>
  <c r="ED4" i="16" s="1"/>
  <c r="EE4" i="16" s="1"/>
  <c r="EF4" i="16" s="1"/>
  <c r="EG4" i="16" s="1"/>
  <c r="EH4" i="16" s="1"/>
  <c r="EI4" i="16" s="1"/>
  <c r="EJ4" i="16" s="1"/>
  <c r="EK4" i="16" s="1"/>
  <c r="EL4" i="16" s="1"/>
  <c r="EM4" i="16" s="1"/>
  <c r="EN4" i="16" s="1"/>
  <c r="EO4" i="16" s="1"/>
  <c r="EP4" i="16" s="1"/>
  <c r="EQ4" i="16" s="1"/>
  <c r="ER4" i="16" s="1"/>
  <c r="ES4" i="16" s="1"/>
  <c r="ET4" i="16" s="1"/>
  <c r="EU4" i="16" s="1"/>
  <c r="EV4" i="16" s="1"/>
  <c r="EW4" i="16" s="1"/>
  <c r="EX4" i="16" s="1"/>
  <c r="EY4" i="16" s="1"/>
  <c r="EZ4" i="16" s="1"/>
  <c r="FA4" i="16" s="1"/>
  <c r="FB4" i="16" s="1"/>
  <c r="FC4" i="16" s="1"/>
  <c r="FD4" i="16" s="1"/>
  <c r="FE4" i="16" s="1"/>
  <c r="FF4" i="16" s="1"/>
  <c r="FG4" i="16" s="1"/>
  <c r="FH4" i="16" s="1"/>
  <c r="FI4" i="16" s="1"/>
  <c r="FJ4" i="16" s="1"/>
  <c r="FK4" i="16" s="1"/>
  <c r="FL4" i="16" s="1"/>
  <c r="C7" i="16"/>
  <c r="D7" i="16" s="1"/>
  <c r="E7" i="16" s="1"/>
  <c r="F7" i="16" s="1"/>
  <c r="G7" i="16" s="1"/>
  <c r="H7" i="16" s="1"/>
  <c r="I7" i="16" s="1"/>
  <c r="J7" i="16" s="1"/>
  <c r="K7" i="16" s="1"/>
  <c r="L7" i="16" s="1"/>
  <c r="M7" i="16" s="1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AA7" i="16" s="1"/>
  <c r="AB7" i="16" s="1"/>
  <c r="AC7" i="16" s="1"/>
  <c r="AD7" i="16" s="1"/>
  <c r="AE7" i="16" s="1"/>
  <c r="AF7" i="16" s="1"/>
  <c r="AG7" i="16" s="1"/>
  <c r="AH7" i="16" s="1"/>
  <c r="AI7" i="16" s="1"/>
  <c r="AJ7" i="16" s="1"/>
  <c r="AK7" i="16" s="1"/>
  <c r="AL7" i="16" s="1"/>
  <c r="AM7" i="16" s="1"/>
  <c r="AN7" i="16" s="1"/>
  <c r="AO7" i="16" s="1"/>
  <c r="AP7" i="16" s="1"/>
  <c r="AQ7" i="16" s="1"/>
  <c r="AR7" i="16" s="1"/>
  <c r="AS7" i="16" s="1"/>
  <c r="AT7" i="16" s="1"/>
  <c r="AU7" i="16" s="1"/>
  <c r="AV7" i="16" s="1"/>
  <c r="AW7" i="16" s="1"/>
  <c r="AX7" i="16" s="1"/>
  <c r="AY7" i="16" s="1"/>
  <c r="AZ7" i="16" s="1"/>
  <c r="BA7" i="16" s="1"/>
  <c r="BB7" i="16" s="1"/>
  <c r="BC7" i="16" s="1"/>
  <c r="BD7" i="16" s="1"/>
  <c r="BE7" i="16" s="1"/>
  <c r="BF7" i="16" s="1"/>
  <c r="BG7" i="16" s="1"/>
  <c r="BH7" i="16" s="1"/>
  <c r="BI7" i="16" s="1"/>
  <c r="BJ7" i="16" s="1"/>
  <c r="BK7" i="16" s="1"/>
  <c r="BL7" i="16" s="1"/>
  <c r="BM7" i="16" s="1"/>
  <c r="BN7" i="16" s="1"/>
  <c r="BO7" i="16" s="1"/>
  <c r="BP7" i="16" s="1"/>
  <c r="BQ7" i="16" s="1"/>
  <c r="BR7" i="16" s="1"/>
  <c r="BS7" i="16" s="1"/>
  <c r="BT7" i="16" s="1"/>
  <c r="BU7" i="16" s="1"/>
  <c r="BV7" i="16" s="1"/>
  <c r="BW7" i="16" s="1"/>
  <c r="BX7" i="16" s="1"/>
  <c r="BY7" i="16" s="1"/>
  <c r="BZ7" i="16" s="1"/>
  <c r="CA7" i="16" s="1"/>
  <c r="CB7" i="16" s="1"/>
  <c r="CC7" i="16" s="1"/>
  <c r="CD7" i="16" s="1"/>
  <c r="CE7" i="16" s="1"/>
  <c r="CF7" i="16" s="1"/>
  <c r="CG7" i="16" s="1"/>
  <c r="CH7" i="16" s="1"/>
  <c r="CI7" i="16" s="1"/>
  <c r="CJ7" i="16" s="1"/>
  <c r="CK7" i="16" s="1"/>
  <c r="CL7" i="16" s="1"/>
  <c r="CM7" i="16" s="1"/>
  <c r="CN7" i="16" s="1"/>
  <c r="CO7" i="16" s="1"/>
  <c r="CP7" i="16" s="1"/>
  <c r="CQ7" i="16" s="1"/>
  <c r="CR7" i="16" s="1"/>
  <c r="CS7" i="16" s="1"/>
  <c r="CT7" i="16" s="1"/>
  <c r="CU7" i="16" s="1"/>
  <c r="CV7" i="16" s="1"/>
  <c r="CW7" i="16" s="1"/>
  <c r="CX7" i="16" s="1"/>
  <c r="CY7" i="16" s="1"/>
  <c r="CZ7" i="16" s="1"/>
  <c r="DA7" i="16" s="1"/>
  <c r="DB7" i="16" s="1"/>
  <c r="DC7" i="16" s="1"/>
  <c r="DD7" i="16" s="1"/>
  <c r="DE7" i="16" s="1"/>
  <c r="DF7" i="16" s="1"/>
  <c r="DG7" i="16" s="1"/>
  <c r="DH7" i="16" s="1"/>
  <c r="DI7" i="16" s="1"/>
  <c r="DJ7" i="16" s="1"/>
  <c r="DK7" i="16" s="1"/>
  <c r="DL7" i="16" s="1"/>
  <c r="DM7" i="16" s="1"/>
  <c r="DN7" i="16" s="1"/>
  <c r="DO7" i="16" s="1"/>
  <c r="DP7" i="16" s="1"/>
  <c r="DQ7" i="16" s="1"/>
  <c r="DR7" i="16" s="1"/>
  <c r="DS7" i="16" s="1"/>
  <c r="DT7" i="16" s="1"/>
  <c r="DU7" i="16" s="1"/>
  <c r="DV7" i="16" s="1"/>
  <c r="DW7" i="16" s="1"/>
  <c r="DX7" i="16" s="1"/>
  <c r="DY7" i="16" s="1"/>
  <c r="DZ7" i="16" s="1"/>
  <c r="EA7" i="16" s="1"/>
  <c r="EB7" i="16" s="1"/>
  <c r="EC7" i="16" s="1"/>
  <c r="ED7" i="16" s="1"/>
  <c r="EE7" i="16" s="1"/>
  <c r="EF7" i="16" s="1"/>
  <c r="EG7" i="16" s="1"/>
  <c r="EH7" i="16" s="1"/>
  <c r="EI7" i="16" s="1"/>
  <c r="EJ7" i="16" s="1"/>
  <c r="EK7" i="16" s="1"/>
  <c r="EL7" i="16" s="1"/>
  <c r="EM7" i="16" s="1"/>
  <c r="EN7" i="16" s="1"/>
  <c r="EO7" i="16" s="1"/>
  <c r="EP7" i="16" s="1"/>
  <c r="EQ7" i="16" s="1"/>
  <c r="ER7" i="16" s="1"/>
  <c r="ES7" i="16" s="1"/>
  <c r="ET7" i="16" s="1"/>
  <c r="EU7" i="16" s="1"/>
  <c r="EV7" i="16" s="1"/>
  <c r="EW7" i="16" s="1"/>
  <c r="EX7" i="16" s="1"/>
  <c r="EY7" i="16" s="1"/>
  <c r="EZ7" i="16" s="1"/>
  <c r="FA7" i="16" s="1"/>
  <c r="FB7" i="16" s="1"/>
  <c r="FC7" i="16" s="1"/>
  <c r="FD7" i="16" s="1"/>
  <c r="FE7" i="16" s="1"/>
  <c r="FF7" i="16" s="1"/>
  <c r="FG7" i="16" s="1"/>
  <c r="FH7" i="16" s="1"/>
  <c r="FI7" i="16" s="1"/>
  <c r="FJ7" i="16" s="1"/>
  <c r="FK7" i="16" s="1"/>
  <c r="FL7" i="16" s="1"/>
  <c r="C8" i="16"/>
  <c r="D8" i="16" s="1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W8" i="16" s="1"/>
  <c r="X8" i="16" s="1"/>
  <c r="Y8" i="16" s="1"/>
  <c r="Z8" i="16" s="1"/>
  <c r="AA8" i="16" s="1"/>
  <c r="AB8" i="16" s="1"/>
  <c r="AC8" i="16" s="1"/>
  <c r="AD8" i="16" s="1"/>
  <c r="AE8" i="16" s="1"/>
  <c r="AF8" i="16" s="1"/>
  <c r="AG8" i="16" s="1"/>
  <c r="AH8" i="16" s="1"/>
  <c r="AI8" i="16" s="1"/>
  <c r="AJ8" i="16" s="1"/>
  <c r="AK8" i="16" s="1"/>
  <c r="AL8" i="16" s="1"/>
  <c r="AM8" i="16" s="1"/>
  <c r="AN8" i="16" s="1"/>
  <c r="AO8" i="16" s="1"/>
  <c r="AP8" i="16" s="1"/>
  <c r="AQ8" i="16" s="1"/>
  <c r="AR8" i="16" s="1"/>
  <c r="AS8" i="16" s="1"/>
  <c r="AT8" i="16" s="1"/>
  <c r="AU8" i="16" s="1"/>
  <c r="AV8" i="16" s="1"/>
  <c r="AW8" i="16" s="1"/>
  <c r="AX8" i="16" s="1"/>
  <c r="AY8" i="16" s="1"/>
  <c r="AZ8" i="16" s="1"/>
  <c r="BA8" i="16" s="1"/>
  <c r="BB8" i="16" s="1"/>
  <c r="BC8" i="16" s="1"/>
  <c r="BD8" i="16" s="1"/>
  <c r="BE8" i="16" s="1"/>
  <c r="BF8" i="16" s="1"/>
  <c r="BG8" i="16" s="1"/>
  <c r="BH8" i="16" s="1"/>
  <c r="BI8" i="16" s="1"/>
  <c r="BJ8" i="16" s="1"/>
  <c r="BK8" i="16" s="1"/>
  <c r="BL8" i="16" s="1"/>
  <c r="BM8" i="16" s="1"/>
  <c r="BN8" i="16" s="1"/>
  <c r="BO8" i="16" s="1"/>
  <c r="BP8" i="16" s="1"/>
  <c r="BQ8" i="16" s="1"/>
  <c r="BR8" i="16" s="1"/>
  <c r="BS8" i="16" s="1"/>
  <c r="BT8" i="16" s="1"/>
  <c r="BU8" i="16" s="1"/>
  <c r="BV8" i="16" s="1"/>
  <c r="BW8" i="16" s="1"/>
  <c r="BX8" i="16" s="1"/>
  <c r="BY8" i="16" s="1"/>
  <c r="BZ8" i="16" s="1"/>
  <c r="CA8" i="16" s="1"/>
  <c r="CB8" i="16" s="1"/>
  <c r="CC8" i="16" s="1"/>
  <c r="CD8" i="16" s="1"/>
  <c r="CE8" i="16" s="1"/>
  <c r="CF8" i="16" s="1"/>
  <c r="CG8" i="16" s="1"/>
  <c r="CH8" i="16" s="1"/>
  <c r="CI8" i="16" s="1"/>
  <c r="CJ8" i="16" s="1"/>
  <c r="CK8" i="16" s="1"/>
  <c r="CL8" i="16" s="1"/>
  <c r="CM8" i="16" s="1"/>
  <c r="CN8" i="16" s="1"/>
  <c r="CO8" i="16" s="1"/>
  <c r="CP8" i="16" s="1"/>
  <c r="CQ8" i="16" s="1"/>
  <c r="CR8" i="16" s="1"/>
  <c r="CS8" i="16" s="1"/>
  <c r="CT8" i="16" s="1"/>
  <c r="CU8" i="16" s="1"/>
  <c r="CV8" i="16" s="1"/>
  <c r="CW8" i="16" s="1"/>
  <c r="CX8" i="16" s="1"/>
  <c r="CY8" i="16" s="1"/>
  <c r="CZ8" i="16" s="1"/>
  <c r="DA8" i="16" s="1"/>
  <c r="DB8" i="16" s="1"/>
  <c r="DC8" i="16" s="1"/>
  <c r="DD8" i="16" s="1"/>
  <c r="DE8" i="16" s="1"/>
  <c r="DF8" i="16" s="1"/>
  <c r="DG8" i="16" s="1"/>
  <c r="DH8" i="16" s="1"/>
  <c r="DI8" i="16" s="1"/>
  <c r="DJ8" i="16" s="1"/>
  <c r="DK8" i="16" s="1"/>
  <c r="DL8" i="16" s="1"/>
  <c r="DM8" i="16" s="1"/>
  <c r="DN8" i="16" s="1"/>
  <c r="DO8" i="16" s="1"/>
  <c r="DP8" i="16" s="1"/>
  <c r="DQ8" i="16" s="1"/>
  <c r="DR8" i="16" s="1"/>
  <c r="DS8" i="16" s="1"/>
  <c r="DT8" i="16" s="1"/>
  <c r="DU8" i="16" s="1"/>
  <c r="DV8" i="16" s="1"/>
  <c r="DW8" i="16" s="1"/>
  <c r="DX8" i="16" s="1"/>
  <c r="DY8" i="16" s="1"/>
  <c r="DZ8" i="16" s="1"/>
  <c r="EA8" i="16" s="1"/>
  <c r="EB8" i="16" s="1"/>
  <c r="EC8" i="16" s="1"/>
  <c r="ED8" i="16" s="1"/>
  <c r="EE8" i="16" s="1"/>
  <c r="EF8" i="16" s="1"/>
  <c r="EG8" i="16" s="1"/>
  <c r="EH8" i="16" s="1"/>
  <c r="EI8" i="16" s="1"/>
  <c r="EJ8" i="16" s="1"/>
  <c r="EK8" i="16" s="1"/>
  <c r="EL8" i="16" s="1"/>
  <c r="EM8" i="16" s="1"/>
  <c r="EN8" i="16" s="1"/>
  <c r="EO8" i="16" s="1"/>
  <c r="EP8" i="16" s="1"/>
  <c r="EQ8" i="16" s="1"/>
  <c r="ER8" i="16" s="1"/>
  <c r="ES8" i="16" s="1"/>
  <c r="ET8" i="16" s="1"/>
  <c r="EU8" i="16" s="1"/>
  <c r="EV8" i="16" s="1"/>
  <c r="EW8" i="16" s="1"/>
  <c r="EX8" i="16" s="1"/>
  <c r="EY8" i="16" s="1"/>
  <c r="EZ8" i="16" s="1"/>
  <c r="FA8" i="16" s="1"/>
  <c r="FB8" i="16" s="1"/>
  <c r="FC8" i="16" s="1"/>
  <c r="FD8" i="16" s="1"/>
  <c r="FE8" i="16" s="1"/>
  <c r="FF8" i="16" s="1"/>
  <c r="FG8" i="16" s="1"/>
  <c r="FH8" i="16" s="1"/>
  <c r="FI8" i="16" s="1"/>
  <c r="FJ8" i="16" s="1"/>
  <c r="FK8" i="16" s="1"/>
  <c r="FL8" i="16" s="1"/>
  <c r="K32" i="13"/>
  <c r="K31" i="13"/>
  <c r="K26" i="13"/>
  <c r="K25" i="13"/>
  <c r="K20" i="13"/>
  <c r="K19" i="13"/>
  <c r="K14" i="13"/>
  <c r="K13" i="13"/>
  <c r="K8" i="13"/>
  <c r="K3" i="13"/>
  <c r="K2" i="13"/>
  <c r="DW65" i="11"/>
  <c r="DV65" i="11"/>
  <c r="DU65" i="11"/>
  <c r="DT65" i="11"/>
  <c r="DS65" i="11"/>
  <c r="DR65" i="11"/>
  <c r="DQ65" i="11"/>
  <c r="DP65" i="11"/>
  <c r="DO65" i="11"/>
  <c r="DN65" i="11"/>
  <c r="DM65" i="11"/>
  <c r="DL65" i="11"/>
  <c r="DK65" i="11"/>
  <c r="DJ65" i="11"/>
  <c r="DI65" i="11"/>
  <c r="DH65" i="11"/>
  <c r="DG65" i="11"/>
  <c r="DF65" i="11"/>
  <c r="DE65" i="11"/>
  <c r="DD65" i="11"/>
  <c r="DC65" i="11"/>
  <c r="DB65" i="11"/>
  <c r="DA65" i="11"/>
  <c r="CZ65" i="11"/>
  <c r="CY65" i="11"/>
  <c r="CX65" i="11"/>
  <c r="CW65" i="11"/>
  <c r="CV65" i="11"/>
  <c r="CU65" i="11"/>
  <c r="CT65" i="11"/>
  <c r="CS65" i="11"/>
  <c r="CR65" i="11"/>
  <c r="CQ65" i="11"/>
  <c r="CP65" i="11"/>
  <c r="CO65" i="11"/>
  <c r="CN65" i="11"/>
  <c r="CM65" i="11"/>
  <c r="CL65" i="11"/>
  <c r="CK65" i="11"/>
  <c r="CJ65" i="11"/>
  <c r="CI65" i="11"/>
  <c r="CH65" i="11"/>
  <c r="CG65" i="11"/>
  <c r="CF65" i="11"/>
  <c r="CE65" i="11"/>
  <c r="CD65" i="11"/>
  <c r="CC65" i="11"/>
  <c r="CB65" i="11"/>
  <c r="CA65" i="11"/>
  <c r="BZ65" i="11"/>
  <c r="BY65" i="11"/>
  <c r="BX65" i="11"/>
  <c r="BW65" i="11"/>
  <c r="BV65" i="11"/>
  <c r="BU65" i="11"/>
  <c r="BT65" i="11"/>
  <c r="BS65" i="11"/>
  <c r="BR65" i="11"/>
  <c r="BQ65" i="11"/>
  <c r="BP65" i="11"/>
  <c r="BO65" i="11"/>
  <c r="BN65" i="11"/>
  <c r="BM65" i="11"/>
  <c r="BL65" i="11"/>
  <c r="BK65" i="11"/>
  <c r="BJ65" i="11"/>
  <c r="BI65" i="11"/>
  <c r="BH65" i="11"/>
  <c r="BG65" i="11"/>
  <c r="BF65" i="11"/>
  <c r="BE65" i="11"/>
  <c r="BD65" i="11"/>
  <c r="BC65" i="11"/>
  <c r="BB65" i="11"/>
  <c r="BA65" i="11"/>
  <c r="AZ65" i="11"/>
  <c r="AY65" i="11"/>
  <c r="AX65" i="11"/>
  <c r="AW65" i="11"/>
  <c r="AV65" i="11"/>
  <c r="AU65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DW64" i="11"/>
  <c r="DV64" i="11"/>
  <c r="DU64" i="11"/>
  <c r="DT64" i="11"/>
  <c r="DS64" i="11"/>
  <c r="DR64" i="11"/>
  <c r="DQ64" i="11"/>
  <c r="DP64" i="11"/>
  <c r="DO64" i="11"/>
  <c r="DN64" i="11"/>
  <c r="DM64" i="11"/>
  <c r="DL64" i="11"/>
  <c r="DK64" i="11"/>
  <c r="DJ64" i="11"/>
  <c r="DI64" i="11"/>
  <c r="DH64" i="11"/>
  <c r="DG64" i="11"/>
  <c r="DF64" i="11"/>
  <c r="DE64" i="11"/>
  <c r="DD64" i="11"/>
  <c r="DC64" i="11"/>
  <c r="DB64" i="11"/>
  <c r="DA64" i="11"/>
  <c r="CZ64" i="11"/>
  <c r="CY64" i="11"/>
  <c r="CX64" i="11"/>
  <c r="CW64" i="11"/>
  <c r="CV64" i="11"/>
  <c r="CU64" i="11"/>
  <c r="CT64" i="11"/>
  <c r="CS64" i="11"/>
  <c r="CR64" i="11"/>
  <c r="CQ64" i="11"/>
  <c r="CP64" i="11"/>
  <c r="CO64" i="11"/>
  <c r="CN64" i="11"/>
  <c r="CM64" i="11"/>
  <c r="CL64" i="11"/>
  <c r="CK64" i="11"/>
  <c r="CJ64" i="11"/>
  <c r="CI64" i="11"/>
  <c r="CH64" i="11"/>
  <c r="CG64" i="11"/>
  <c r="CF64" i="11"/>
  <c r="CE64" i="11"/>
  <c r="CD64" i="11"/>
  <c r="CC64" i="11"/>
  <c r="CB64" i="11"/>
  <c r="CA64" i="11"/>
  <c r="BZ64" i="11"/>
  <c r="BY64" i="11"/>
  <c r="BX64" i="11"/>
  <c r="BW64" i="11"/>
  <c r="BV64" i="11"/>
  <c r="BU64" i="11"/>
  <c r="BT64" i="11"/>
  <c r="BS64" i="11"/>
  <c r="BR64" i="11"/>
  <c r="BQ64" i="11"/>
  <c r="BP64" i="11"/>
  <c r="BO64" i="11"/>
  <c r="BN64" i="11"/>
  <c r="BM64" i="11"/>
  <c r="BL64" i="11"/>
  <c r="BK64" i="11"/>
  <c r="BJ64" i="11"/>
  <c r="BI64" i="11"/>
  <c r="BH64" i="11"/>
  <c r="BG64" i="11"/>
  <c r="BF64" i="11"/>
  <c r="BE64" i="11"/>
  <c r="BD64" i="11"/>
  <c r="BC64" i="11"/>
  <c r="BB64" i="11"/>
  <c r="BA64" i="11"/>
  <c r="AZ64" i="11"/>
  <c r="AY64" i="11"/>
  <c r="AX64" i="11"/>
  <c r="AW64" i="11"/>
  <c r="AV64" i="11"/>
  <c r="AU64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G63" i="11"/>
  <c r="G62" i="11"/>
  <c r="G61" i="11"/>
  <c r="DW60" i="11"/>
  <c r="DV60" i="11"/>
  <c r="DU60" i="11"/>
  <c r="DT60" i="11"/>
  <c r="DS60" i="11"/>
  <c r="DR60" i="11"/>
  <c r="DQ60" i="11"/>
  <c r="DP60" i="11"/>
  <c r="DO60" i="11"/>
  <c r="DN60" i="11"/>
  <c r="DM60" i="11"/>
  <c r="DL60" i="11"/>
  <c r="DK60" i="11"/>
  <c r="DJ60" i="11"/>
  <c r="DI60" i="11"/>
  <c r="DH60" i="11"/>
  <c r="DG60" i="11"/>
  <c r="DF60" i="11"/>
  <c r="DE60" i="11"/>
  <c r="DD60" i="11"/>
  <c r="DC60" i="11"/>
  <c r="DB60" i="11"/>
  <c r="DA60" i="11"/>
  <c r="CZ60" i="11"/>
  <c r="CY60" i="11"/>
  <c r="CX60" i="11"/>
  <c r="CW60" i="11"/>
  <c r="CV60" i="11"/>
  <c r="CU60" i="11"/>
  <c r="CT60" i="11"/>
  <c r="CS60" i="11"/>
  <c r="CR60" i="11"/>
  <c r="CQ60" i="11"/>
  <c r="CP60" i="11"/>
  <c r="CO60" i="11"/>
  <c r="CN60" i="11"/>
  <c r="CM60" i="11"/>
  <c r="CL60" i="11"/>
  <c r="CK60" i="11"/>
  <c r="CJ60" i="11"/>
  <c r="CI60" i="11"/>
  <c r="CH60" i="11"/>
  <c r="CG60" i="11"/>
  <c r="CF60" i="11"/>
  <c r="CE60" i="11"/>
  <c r="CD60" i="11"/>
  <c r="CC60" i="11"/>
  <c r="CB60" i="11"/>
  <c r="CA60" i="11"/>
  <c r="BZ60" i="11"/>
  <c r="BY60" i="11"/>
  <c r="BX60" i="11"/>
  <c r="BW60" i="11"/>
  <c r="BV60" i="11"/>
  <c r="BU60" i="11"/>
  <c r="BT60" i="11"/>
  <c r="BS60" i="11"/>
  <c r="BR60" i="11"/>
  <c r="BQ60" i="11"/>
  <c r="BP60" i="11"/>
  <c r="BO60" i="11"/>
  <c r="BN60" i="11"/>
  <c r="BM60" i="11"/>
  <c r="BL60" i="11"/>
  <c r="BK60" i="11"/>
  <c r="BJ60" i="11"/>
  <c r="BI60" i="11"/>
  <c r="BH60" i="11"/>
  <c r="BG60" i="11"/>
  <c r="BF60" i="11"/>
  <c r="BE60" i="11"/>
  <c r="BD60" i="11"/>
  <c r="BC60" i="11"/>
  <c r="BB60" i="11"/>
  <c r="BA60" i="11"/>
  <c r="AZ60" i="11"/>
  <c r="AY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E11" i="20" l="1"/>
  <c r="G54" i="15"/>
  <c r="I54" i="15" s="1"/>
  <c r="I53" i="15"/>
  <c r="D11" i="20"/>
  <c r="A13" i="20"/>
  <c r="B12" i="20"/>
  <c r="C12" i="20"/>
  <c r="D12" i="20" s="1"/>
  <c r="F12" i="20"/>
  <c r="G12" i="20" s="1"/>
  <c r="C48" i="11"/>
  <c r="C49" i="11" s="1"/>
  <c r="C50" i="11" s="1"/>
  <c r="C51" i="11" s="1"/>
  <c r="C52" i="11" s="1"/>
  <c r="C53" i="11" s="1"/>
  <c r="C54" i="11" s="1"/>
  <c r="C55" i="11" s="1"/>
  <c r="B48" i="11"/>
  <c r="C39" i="11"/>
  <c r="C40" i="11" s="1"/>
  <c r="C41" i="11" s="1"/>
  <c r="C42" i="11" s="1"/>
  <c r="C43" i="11" s="1"/>
  <c r="C44" i="11" s="1"/>
  <c r="C45" i="11" s="1"/>
  <c r="C46" i="11" s="1"/>
  <c r="B39" i="11"/>
  <c r="C30" i="11"/>
  <c r="C31" i="11" s="1"/>
  <c r="C32" i="11" s="1"/>
  <c r="C33" i="11" s="1"/>
  <c r="C34" i="11" s="1"/>
  <c r="C35" i="11" s="1"/>
  <c r="C36" i="11" s="1"/>
  <c r="C37" i="11" s="1"/>
  <c r="B30" i="11"/>
  <c r="C21" i="11"/>
  <c r="C22" i="11" s="1"/>
  <c r="C23" i="11" s="1"/>
  <c r="C24" i="11" s="1"/>
  <c r="C25" i="11" s="1"/>
  <c r="C26" i="11" s="1"/>
  <c r="C27" i="11" s="1"/>
  <c r="C28" i="11" s="1"/>
  <c r="B21" i="11"/>
  <c r="H21" i="11" s="1"/>
  <c r="C12" i="11"/>
  <c r="C13" i="11" s="1"/>
  <c r="C14" i="11" s="1"/>
  <c r="C15" i="11" s="1"/>
  <c r="C16" i="11" s="1"/>
  <c r="C17" i="11" s="1"/>
  <c r="C18" i="11" s="1"/>
  <c r="C19" i="11" s="1"/>
  <c r="B12" i="11"/>
  <c r="A2" i="11"/>
  <c r="A11" i="11"/>
  <c r="A20" i="11"/>
  <c r="A29" i="11"/>
  <c r="A38" i="11"/>
  <c r="A47" i="11"/>
  <c r="E48" i="11"/>
  <c r="E49" i="11" s="1"/>
  <c r="E50" i="11" s="1"/>
  <c r="D48" i="11"/>
  <c r="D49" i="11" s="1"/>
  <c r="D50" i="11" s="1"/>
  <c r="E39" i="11"/>
  <c r="E40" i="11" s="1"/>
  <c r="E41" i="11" s="1"/>
  <c r="E42" i="11" s="1"/>
  <c r="E43" i="11" s="1"/>
  <c r="E44" i="11" s="1"/>
  <c r="E45" i="11" s="1"/>
  <c r="E46" i="11" s="1"/>
  <c r="D39" i="11"/>
  <c r="D40" i="11" s="1"/>
  <c r="D41" i="11" s="1"/>
  <c r="E30" i="11"/>
  <c r="E31" i="11" s="1"/>
  <c r="E32" i="11" s="1"/>
  <c r="E33" i="11" s="1"/>
  <c r="E34" i="11" s="1"/>
  <c r="E35" i="11" s="1"/>
  <c r="E36" i="11" s="1"/>
  <c r="E37" i="11" s="1"/>
  <c r="D30" i="11"/>
  <c r="D31" i="11" s="1"/>
  <c r="D32" i="11" s="1"/>
  <c r="E51" i="11" l="1"/>
  <c r="E52" i="11" s="1"/>
  <c r="E53" i="11" s="1"/>
  <c r="E54" i="11" s="1"/>
  <c r="E55" i="11" s="1"/>
  <c r="E12" i="20"/>
  <c r="A14" i="20"/>
  <c r="B13" i="20"/>
  <c r="E13" i="20" s="1"/>
  <c r="C13" i="20"/>
  <c r="F13" i="20"/>
  <c r="G13" i="20" s="1"/>
  <c r="K21" i="11"/>
  <c r="L21" i="11"/>
  <c r="J21" i="11"/>
  <c r="I21" i="11"/>
  <c r="K30" i="11"/>
  <c r="J30" i="11"/>
  <c r="I30" i="11"/>
  <c r="L30" i="11"/>
  <c r="H30" i="11"/>
  <c r="I48" i="11"/>
  <c r="L48" i="11"/>
  <c r="H48" i="11"/>
  <c r="K48" i="11"/>
  <c r="J48" i="11"/>
  <c r="J12" i="11"/>
  <c r="I12" i="11"/>
  <c r="K12" i="11"/>
  <c r="L12" i="11"/>
  <c r="H12" i="11"/>
  <c r="L39" i="11"/>
  <c r="H39" i="11"/>
  <c r="K39" i="11"/>
  <c r="J39" i="11"/>
  <c r="I39" i="11"/>
  <c r="B31" i="11"/>
  <c r="H31" i="11" s="1" a="1"/>
  <c r="H31" i="11" s="1"/>
  <c r="A30" i="11"/>
  <c r="A12" i="11"/>
  <c r="B13" i="11"/>
  <c r="H13" i="11" s="1" a="1"/>
  <c r="H13" i="11" s="1"/>
  <c r="D51" i="11"/>
  <c r="D52" i="11" s="1"/>
  <c r="D53" i="11" s="1"/>
  <c r="D54" i="11" s="1"/>
  <c r="D55" i="11" s="1"/>
  <c r="A48" i="11"/>
  <c r="B49" i="11"/>
  <c r="H49" i="11" s="1" a="1"/>
  <c r="H49" i="11" s="1"/>
  <c r="D42" i="11"/>
  <c r="D43" i="11" s="1"/>
  <c r="D44" i="11" s="1"/>
  <c r="D45" i="11" s="1"/>
  <c r="D46" i="11" s="1"/>
  <c r="A39" i="11"/>
  <c r="B40" i="11"/>
  <c r="H40" i="11" s="1" a="1"/>
  <c r="H40" i="11" s="1"/>
  <c r="D33" i="11"/>
  <c r="D34" i="11" s="1"/>
  <c r="D35" i="11" s="1"/>
  <c r="D36" i="11" s="1"/>
  <c r="D37" i="11" s="1"/>
  <c r="B22" i="11"/>
  <c r="H22" i="11" s="1" a="1"/>
  <c r="H22" i="11" s="1"/>
  <c r="A21" i="11"/>
  <c r="E21" i="11"/>
  <c r="E22" i="11" s="1"/>
  <c r="E23" i="11" s="1"/>
  <c r="E24" i="11" s="1"/>
  <c r="E25" i="11" s="1"/>
  <c r="E26" i="11" s="1"/>
  <c r="E27" i="11" s="1"/>
  <c r="E28" i="11" s="1"/>
  <c r="D21" i="11"/>
  <c r="D22" i="11" s="1"/>
  <c r="D23" i="11" s="1"/>
  <c r="E12" i="11"/>
  <c r="E13" i="11" s="1"/>
  <c r="E14" i="11" s="1"/>
  <c r="E15" i="11" s="1"/>
  <c r="E16" i="11" s="1"/>
  <c r="E17" i="11" s="1"/>
  <c r="E18" i="11" s="1"/>
  <c r="E19" i="11" s="1"/>
  <c r="D12" i="11"/>
  <c r="D13" i="11" s="1"/>
  <c r="D14" i="11" s="1"/>
  <c r="D13" i="20" l="1"/>
  <c r="A15" i="20"/>
  <c r="F14" i="20"/>
  <c r="G14" i="20" s="1"/>
  <c r="B14" i="20"/>
  <c r="C14" i="20"/>
  <c r="G48" i="11"/>
  <c r="G55" i="11" s="1"/>
  <c r="G12" i="11"/>
  <c r="G19" i="11" s="1"/>
  <c r="G21" i="11"/>
  <c r="G28" i="11" s="1"/>
  <c r="G39" i="11"/>
  <c r="G46" i="11" s="1"/>
  <c r="G30" i="11"/>
  <c r="G37" i="11" s="1"/>
  <c r="D24" i="11"/>
  <c r="D25" i="11" s="1"/>
  <c r="D26" i="11" s="1"/>
  <c r="D27" i="11" s="1"/>
  <c r="D28" i="11" s="1"/>
  <c r="D15" i="11"/>
  <c r="D16" i="11" s="1"/>
  <c r="D17" i="11" s="1"/>
  <c r="D18" i="11" s="1"/>
  <c r="D19" i="11" s="1"/>
  <c r="B14" i="11"/>
  <c r="B15" i="11" s="1"/>
  <c r="A13" i="11"/>
  <c r="A31" i="11"/>
  <c r="B32" i="11"/>
  <c r="B33" i="11" s="1"/>
  <c r="B50" i="11"/>
  <c r="A49" i="11"/>
  <c r="B41" i="11"/>
  <c r="A40" i="11"/>
  <c r="A22" i="11"/>
  <c r="B23" i="11"/>
  <c r="E18" i="13"/>
  <c r="F18" i="13"/>
  <c r="G18" i="13"/>
  <c r="H18" i="13" s="1"/>
  <c r="E19" i="13"/>
  <c r="F19" i="13"/>
  <c r="G19" i="13"/>
  <c r="E20" i="13"/>
  <c r="F20" i="13"/>
  <c r="G20" i="13"/>
  <c r="J20" i="13" s="1"/>
  <c r="A20" i="13" s="1"/>
  <c r="E24" i="13"/>
  <c r="F24" i="13"/>
  <c r="G24" i="13"/>
  <c r="E25" i="13"/>
  <c r="F25" i="13"/>
  <c r="G25" i="13"/>
  <c r="E26" i="13"/>
  <c r="F26" i="13"/>
  <c r="G26" i="13"/>
  <c r="E30" i="13"/>
  <c r="F30" i="13"/>
  <c r="G30" i="13"/>
  <c r="H30" i="13" s="1"/>
  <c r="E31" i="13"/>
  <c r="F31" i="13"/>
  <c r="G31" i="13"/>
  <c r="J31" i="13" s="1"/>
  <c r="A31" i="13" s="1"/>
  <c r="E32" i="13"/>
  <c r="F32" i="13"/>
  <c r="G32" i="13"/>
  <c r="C33" i="13"/>
  <c r="B33" i="13"/>
  <c r="B34" i="13" s="1"/>
  <c r="B35" i="13" s="1"/>
  <c r="C27" i="13"/>
  <c r="B27" i="13"/>
  <c r="B28" i="13" s="1"/>
  <c r="B29" i="13" s="1"/>
  <c r="C21" i="13"/>
  <c r="B21" i="13"/>
  <c r="B22" i="13" s="1"/>
  <c r="B23" i="13" s="1"/>
  <c r="C15" i="13"/>
  <c r="B15" i="13"/>
  <c r="D15" i="13" s="1"/>
  <c r="C4" i="13"/>
  <c r="B4" i="13"/>
  <c r="B5" i="13" s="1"/>
  <c r="B6" i="13" s="1"/>
  <c r="E3" i="11"/>
  <c r="E4" i="11" s="1"/>
  <c r="E5" i="11" s="1"/>
  <c r="E6" i="11" s="1"/>
  <c r="E7" i="11" s="1"/>
  <c r="E8" i="11" s="1"/>
  <c r="E9" i="11" s="1"/>
  <c r="E10" i="11" s="1"/>
  <c r="D3" i="11"/>
  <c r="D4" i="11" s="1"/>
  <c r="D5" i="11" s="1"/>
  <c r="C3" i="11"/>
  <c r="C4" i="11" s="1"/>
  <c r="C5" i="11" s="1"/>
  <c r="C6" i="11" s="1"/>
  <c r="C7" i="11" s="1"/>
  <c r="C8" i="11" s="1"/>
  <c r="C9" i="11" s="1"/>
  <c r="C10" i="11" s="1"/>
  <c r="B3" i="11"/>
  <c r="C9" i="13"/>
  <c r="G9" i="13"/>
  <c r="J9" i="13" s="1"/>
  <c r="G14" i="13"/>
  <c r="J14" i="13" s="1"/>
  <c r="A14" i="13" s="1"/>
  <c r="E7" i="13"/>
  <c r="F7" i="13"/>
  <c r="E8" i="13"/>
  <c r="F8" i="13"/>
  <c r="E12" i="13"/>
  <c r="F12" i="13"/>
  <c r="E13" i="13"/>
  <c r="F13" i="13"/>
  <c r="E14" i="13"/>
  <c r="F14" i="13"/>
  <c r="G3" i="13"/>
  <c r="J3" i="13" s="1"/>
  <c r="A3" i="13" s="1"/>
  <c r="G7" i="13"/>
  <c r="H7" i="13" s="1"/>
  <c r="G8" i="13"/>
  <c r="G12" i="13"/>
  <c r="H12" i="13" s="1"/>
  <c r="G13" i="13"/>
  <c r="J13" i="13" s="1"/>
  <c r="A13" i="13" s="1"/>
  <c r="G2" i="13"/>
  <c r="H2" i="13" s="1"/>
  <c r="E3" i="13"/>
  <c r="F3" i="13"/>
  <c r="E2" i="13"/>
  <c r="F2" i="13"/>
  <c r="P11" i="15"/>
  <c r="P10" i="15"/>
  <c r="P9" i="15"/>
  <c r="P8" i="15"/>
  <c r="P7" i="15"/>
  <c r="P6" i="15"/>
  <c r="P5" i="15"/>
  <c r="P3" i="15"/>
  <c r="E1" i="15"/>
  <c r="A9" i="13" l="1"/>
  <c r="D27" i="13"/>
  <c r="F27" i="13" s="1"/>
  <c r="G22" i="13"/>
  <c r="E14" i="20"/>
  <c r="D14" i="20"/>
  <c r="A16" i="20"/>
  <c r="B15" i="20"/>
  <c r="C15" i="20"/>
  <c r="F15" i="20"/>
  <c r="G15" i="20" s="1"/>
  <c r="A32" i="11"/>
  <c r="D6" i="11"/>
  <c r="D7" i="11" s="1"/>
  <c r="D8" i="11" s="1"/>
  <c r="D9" i="11" s="1"/>
  <c r="D10" i="11" s="1"/>
  <c r="J7" i="13"/>
  <c r="A7" i="13" s="1"/>
  <c r="B16" i="13"/>
  <c r="B17" i="13" s="1"/>
  <c r="J12" i="13"/>
  <c r="A12" i="13" s="1"/>
  <c r="H8" i="13"/>
  <c r="L8" i="13"/>
  <c r="L9" i="13"/>
  <c r="C16" i="13"/>
  <c r="C28" i="13"/>
  <c r="H32" i="13"/>
  <c r="L32" i="13"/>
  <c r="H25" i="13"/>
  <c r="L25" i="13"/>
  <c r="J32" i="13"/>
  <c r="A32" i="13" s="1"/>
  <c r="J25" i="13"/>
  <c r="A25" i="13" s="1"/>
  <c r="H26" i="13"/>
  <c r="L26" i="13"/>
  <c r="H19" i="13"/>
  <c r="L19" i="13"/>
  <c r="H13" i="13"/>
  <c r="L13" i="13"/>
  <c r="H3" i="13"/>
  <c r="L3" i="13"/>
  <c r="H14" i="13"/>
  <c r="L14" i="13"/>
  <c r="C5" i="13"/>
  <c r="D33" i="13"/>
  <c r="F33" i="13" s="1"/>
  <c r="H20" i="13"/>
  <c r="L20" i="13"/>
  <c r="J30" i="13"/>
  <c r="A30" i="13" s="1"/>
  <c r="J19" i="13"/>
  <c r="A19" i="13" s="1"/>
  <c r="C10" i="13"/>
  <c r="C22" i="13"/>
  <c r="C34" i="13"/>
  <c r="H31" i="13"/>
  <c r="L31" i="13"/>
  <c r="J2" i="13"/>
  <c r="A2" i="13" s="1"/>
  <c r="J26" i="13"/>
  <c r="A26" i="13" s="1"/>
  <c r="J18" i="13"/>
  <c r="A18" i="13" s="1"/>
  <c r="J8" i="13"/>
  <c r="A8" i="13" s="1"/>
  <c r="D10" i="13"/>
  <c r="E10" i="13" s="1"/>
  <c r="K9" i="13"/>
  <c r="E9" i="13"/>
  <c r="K15" i="13"/>
  <c r="H24" i="13"/>
  <c r="J24" i="13"/>
  <c r="A24" i="13" s="1"/>
  <c r="H9" i="13"/>
  <c r="A14" i="11"/>
  <c r="A3" i="11"/>
  <c r="B4" i="11"/>
  <c r="H4" i="11" s="1" a="1"/>
  <c r="H4" i="11" s="1"/>
  <c r="A50" i="11"/>
  <c r="B51" i="11"/>
  <c r="A41" i="11"/>
  <c r="B42" i="11"/>
  <c r="B34" i="11"/>
  <c r="A33" i="11"/>
  <c r="B24" i="11"/>
  <c r="A23" i="11"/>
  <c r="B16" i="11"/>
  <c r="A15" i="11"/>
  <c r="H3" i="11"/>
  <c r="L3" i="11"/>
  <c r="L60" i="11" s="1"/>
  <c r="K3" i="11"/>
  <c r="K60" i="11" s="1"/>
  <c r="J3" i="11"/>
  <c r="J60" i="11" s="1"/>
  <c r="I3" i="11"/>
  <c r="I60" i="11" s="1"/>
  <c r="P4" i="15"/>
  <c r="G15" i="13"/>
  <c r="L15" i="13" s="1"/>
  <c r="F15" i="13"/>
  <c r="E15" i="13"/>
  <c r="K4" i="13"/>
  <c r="F9" i="13"/>
  <c r="F21" i="13" l="1"/>
  <c r="E21" i="13"/>
  <c r="G27" i="13"/>
  <c r="L27" i="13" s="1"/>
  <c r="D16" i="13"/>
  <c r="G16" i="13" s="1"/>
  <c r="H16" i="13" s="1"/>
  <c r="K27" i="13"/>
  <c r="D28" i="13"/>
  <c r="F28" i="13" s="1"/>
  <c r="E27" i="13"/>
  <c r="F10" i="13"/>
  <c r="G21" i="13"/>
  <c r="L21" i="13" s="1"/>
  <c r="K21" i="13"/>
  <c r="E15" i="20"/>
  <c r="H60" i="11"/>
  <c r="G3" i="11"/>
  <c r="D15" i="20"/>
  <c r="A17" i="20"/>
  <c r="B16" i="20"/>
  <c r="E16" i="20" s="1"/>
  <c r="C16" i="20"/>
  <c r="F16" i="20"/>
  <c r="G16" i="20" s="1"/>
  <c r="G10" i="13"/>
  <c r="L10" i="13" s="1"/>
  <c r="G33" i="13"/>
  <c r="L33" i="13" s="1"/>
  <c r="E33" i="13"/>
  <c r="C11" i="13"/>
  <c r="C17" i="13"/>
  <c r="C35" i="13"/>
  <c r="D34" i="13"/>
  <c r="K34" i="13" s="1"/>
  <c r="F22" i="13"/>
  <c r="K33" i="13"/>
  <c r="C29" i="13"/>
  <c r="C23" i="13"/>
  <c r="C6" i="13"/>
  <c r="K22" i="13"/>
  <c r="E22" i="13"/>
  <c r="D11" i="13"/>
  <c r="K10" i="13"/>
  <c r="H15" i="13"/>
  <c r="J15" i="13"/>
  <c r="A15" i="13" s="1"/>
  <c r="H22" i="13"/>
  <c r="J22" i="13"/>
  <c r="A22" i="13" s="1"/>
  <c r="A4" i="11"/>
  <c r="B5" i="11"/>
  <c r="B6" i="11" s="1"/>
  <c r="B7" i="11" s="1"/>
  <c r="B8" i="11" s="1"/>
  <c r="B52" i="11"/>
  <c r="A51" i="11"/>
  <c r="B43" i="11"/>
  <c r="A42" i="11"/>
  <c r="B35" i="11"/>
  <c r="H35" i="11" s="1"/>
  <c r="H37" i="11" s="1"/>
  <c r="A34" i="11"/>
  <c r="B25" i="11"/>
  <c r="A24" i="11"/>
  <c r="A16" i="11"/>
  <c r="B17" i="11"/>
  <c r="H17" i="11" s="1"/>
  <c r="H19" i="11" s="1"/>
  <c r="F4" i="13"/>
  <c r="G4" i="13"/>
  <c r="L4" i="13" s="1"/>
  <c r="K5" i="13"/>
  <c r="E4" i="13"/>
  <c r="L22" i="13" l="1"/>
  <c r="H27" i="13"/>
  <c r="J16" i="13"/>
  <c r="A16" i="13" s="1"/>
  <c r="L16" i="13"/>
  <c r="G28" i="13"/>
  <c r="H28" i="13" s="1"/>
  <c r="E16" i="13"/>
  <c r="K16" i="13"/>
  <c r="D17" i="13"/>
  <c r="G17" i="13" s="1"/>
  <c r="L17" i="13" s="1"/>
  <c r="F16" i="13"/>
  <c r="J27" i="13"/>
  <c r="A27" i="13" s="1"/>
  <c r="K28" i="13"/>
  <c r="J21" i="13"/>
  <c r="A21" i="13" s="1"/>
  <c r="D29" i="13"/>
  <c r="F29" i="13" s="1"/>
  <c r="E28" i="13"/>
  <c r="H21" i="13"/>
  <c r="J10" i="13"/>
  <c r="A10" i="13" s="1"/>
  <c r="H10" i="13"/>
  <c r="B9" i="11"/>
  <c r="B10" i="11" s="1"/>
  <c r="H8" i="11"/>
  <c r="H33" i="13"/>
  <c r="D16" i="20"/>
  <c r="A18" i="20"/>
  <c r="C17" i="20"/>
  <c r="F17" i="20"/>
  <c r="G17" i="20" s="1"/>
  <c r="B17" i="20"/>
  <c r="E17" i="20" s="1"/>
  <c r="F34" i="13"/>
  <c r="J33" i="13"/>
  <c r="A33" i="13" s="1"/>
  <c r="D35" i="13"/>
  <c r="K35" i="13" s="1"/>
  <c r="K18" i="13"/>
  <c r="L18" i="13"/>
  <c r="E34" i="13"/>
  <c r="K7" i="13"/>
  <c r="L7" i="13"/>
  <c r="K30" i="13"/>
  <c r="L30" i="13"/>
  <c r="L24" i="13"/>
  <c r="K24" i="13"/>
  <c r="G34" i="13"/>
  <c r="L34" i="13" s="1"/>
  <c r="L12" i="13"/>
  <c r="K12" i="13"/>
  <c r="K11" i="13"/>
  <c r="G11" i="13"/>
  <c r="L11" i="13" s="1"/>
  <c r="F11" i="13"/>
  <c r="E11" i="13"/>
  <c r="F23" i="13"/>
  <c r="K23" i="13"/>
  <c r="E23" i="13"/>
  <c r="G23" i="13"/>
  <c r="L23" i="13" s="1"/>
  <c r="J4" i="13"/>
  <c r="A4" i="13" s="1"/>
  <c r="G10" i="11"/>
  <c r="G60" i="11"/>
  <c r="A5" i="11"/>
  <c r="A52" i="11"/>
  <c r="B53" i="11"/>
  <c r="H53" i="11" s="1"/>
  <c r="H55" i="11" s="1"/>
  <c r="A43" i="11"/>
  <c r="B44" i="11"/>
  <c r="H44" i="11" s="1"/>
  <c r="H46" i="11" s="1"/>
  <c r="A35" i="11"/>
  <c r="B36" i="11"/>
  <c r="G36" i="11" s="1"/>
  <c r="H36" i="11" s="1"/>
  <c r="I36" i="11" s="1"/>
  <c r="J36" i="11" s="1"/>
  <c r="K36" i="11" s="1"/>
  <c r="L36" i="11" s="1"/>
  <c r="M36" i="11" s="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X36" i="11" s="1"/>
  <c r="Y36" i="11" s="1"/>
  <c r="Z36" i="11" s="1"/>
  <c r="AA36" i="11" s="1"/>
  <c r="AB36" i="11" s="1"/>
  <c r="AC36" i="11" s="1"/>
  <c r="AD36" i="11" s="1"/>
  <c r="AE36" i="11" s="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AP36" i="11" s="1"/>
  <c r="AQ36" i="11" s="1"/>
  <c r="AR36" i="11" s="1"/>
  <c r="AS36" i="11" s="1"/>
  <c r="AT36" i="11" s="1"/>
  <c r="AU36" i="11" s="1"/>
  <c r="AV36" i="11" s="1"/>
  <c r="AW36" i="11" s="1"/>
  <c r="AX36" i="11" s="1"/>
  <c r="AY36" i="11" s="1"/>
  <c r="AZ36" i="11" s="1"/>
  <c r="BA36" i="11" s="1"/>
  <c r="BB36" i="11" s="1"/>
  <c r="BC36" i="11" s="1"/>
  <c r="BD36" i="11" s="1"/>
  <c r="BE36" i="11" s="1"/>
  <c r="BF36" i="11" s="1"/>
  <c r="BG36" i="11" s="1"/>
  <c r="BH36" i="11" s="1"/>
  <c r="BI36" i="11" s="1"/>
  <c r="BJ36" i="11" s="1"/>
  <c r="BK36" i="11" s="1"/>
  <c r="BL36" i="11" s="1"/>
  <c r="BM36" i="11" s="1"/>
  <c r="BN36" i="11" s="1"/>
  <c r="BO36" i="11" s="1"/>
  <c r="BP36" i="11" s="1"/>
  <c r="BQ36" i="11" s="1"/>
  <c r="BR36" i="11" s="1"/>
  <c r="BS36" i="11" s="1"/>
  <c r="BT36" i="11" s="1"/>
  <c r="BU36" i="11" s="1"/>
  <c r="BV36" i="11" s="1"/>
  <c r="BW36" i="11" s="1"/>
  <c r="BX36" i="11" s="1"/>
  <c r="BY36" i="11" s="1"/>
  <c r="BZ36" i="11" s="1"/>
  <c r="CA36" i="11" s="1"/>
  <c r="CB36" i="11" s="1"/>
  <c r="CC36" i="11" s="1"/>
  <c r="CD36" i="11" s="1"/>
  <c r="CE36" i="11" s="1"/>
  <c r="CF36" i="11" s="1"/>
  <c r="CG36" i="11" s="1"/>
  <c r="CH36" i="11" s="1"/>
  <c r="CI36" i="11" s="1"/>
  <c r="CJ36" i="11" s="1"/>
  <c r="CK36" i="11" s="1"/>
  <c r="CL36" i="11" s="1"/>
  <c r="CM36" i="11" s="1"/>
  <c r="CN36" i="11" s="1"/>
  <c r="CO36" i="11" s="1"/>
  <c r="CP36" i="11" s="1"/>
  <c r="CQ36" i="11" s="1"/>
  <c r="CR36" i="11" s="1"/>
  <c r="CS36" i="11" s="1"/>
  <c r="CT36" i="11" s="1"/>
  <c r="CU36" i="11" s="1"/>
  <c r="CV36" i="11" s="1"/>
  <c r="CW36" i="11" s="1"/>
  <c r="CX36" i="11" s="1"/>
  <c r="CY36" i="11" s="1"/>
  <c r="CZ36" i="11" s="1"/>
  <c r="DA36" i="11" s="1"/>
  <c r="DB36" i="11" s="1"/>
  <c r="DC36" i="11" s="1"/>
  <c r="DD36" i="11" s="1"/>
  <c r="DE36" i="11" s="1"/>
  <c r="DF36" i="11" s="1"/>
  <c r="DG36" i="11" s="1"/>
  <c r="DH36" i="11" s="1"/>
  <c r="DI36" i="11" s="1"/>
  <c r="DJ36" i="11" s="1"/>
  <c r="DK36" i="11" s="1"/>
  <c r="DL36" i="11" s="1"/>
  <c r="DM36" i="11" s="1"/>
  <c r="DN36" i="11" s="1"/>
  <c r="DO36" i="11" s="1"/>
  <c r="DP36" i="11" s="1"/>
  <c r="DQ36" i="11" s="1"/>
  <c r="DR36" i="11" s="1"/>
  <c r="DS36" i="11" s="1"/>
  <c r="DT36" i="11" s="1"/>
  <c r="DU36" i="11" s="1"/>
  <c r="DV36" i="11" s="1"/>
  <c r="DW36" i="11" s="1"/>
  <c r="B26" i="11"/>
  <c r="H26" i="11" s="1"/>
  <c r="H28" i="11" s="1"/>
  <c r="A25" i="11"/>
  <c r="A17" i="11"/>
  <c r="B18" i="11"/>
  <c r="G18" i="11" s="1"/>
  <c r="H18" i="11" s="1"/>
  <c r="I18" i="11" s="1"/>
  <c r="J18" i="11" s="1"/>
  <c r="K18" i="11" s="1"/>
  <c r="H61" i="11"/>
  <c r="H4" i="13"/>
  <c r="D6" i="13"/>
  <c r="K6" i="13" s="1"/>
  <c r="F5" i="13"/>
  <c r="G5" i="13"/>
  <c r="L5" i="13" s="1"/>
  <c r="E5" i="13"/>
  <c r="L28" i="13" l="1"/>
  <c r="J28" i="13"/>
  <c r="A28" i="13" s="1"/>
  <c r="F17" i="13"/>
  <c r="E17" i="13"/>
  <c r="K17" i="13"/>
  <c r="G29" i="13"/>
  <c r="L29" i="13" s="1"/>
  <c r="K29" i="13"/>
  <c r="E29" i="13"/>
  <c r="E35" i="13"/>
  <c r="G35" i="13"/>
  <c r="H35" i="13" s="1"/>
  <c r="F35" i="13"/>
  <c r="G9" i="11"/>
  <c r="D17" i="20"/>
  <c r="A19" i="20"/>
  <c r="B18" i="20"/>
  <c r="C18" i="20"/>
  <c r="F18" i="20"/>
  <c r="G18" i="20" s="1"/>
  <c r="L18" i="1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AH18" i="11" s="1"/>
  <c r="AI18" i="11" s="1"/>
  <c r="AJ18" i="11" s="1"/>
  <c r="AK18" i="11" s="1"/>
  <c r="AL18" i="11" s="1"/>
  <c r="AM18" i="11" s="1"/>
  <c r="AN18" i="11" s="1"/>
  <c r="AO18" i="11" s="1"/>
  <c r="AP18" i="11" s="1"/>
  <c r="AQ18" i="11" s="1"/>
  <c r="AR18" i="11" s="1"/>
  <c r="AS18" i="11" s="1"/>
  <c r="AT18" i="11" s="1"/>
  <c r="AU18" i="11" s="1"/>
  <c r="AV18" i="11" s="1"/>
  <c r="AW18" i="11" s="1"/>
  <c r="AX18" i="11" s="1"/>
  <c r="AY18" i="11" s="1"/>
  <c r="AZ18" i="11" s="1"/>
  <c r="BA18" i="11" s="1"/>
  <c r="BB18" i="11" s="1"/>
  <c r="BC18" i="11" s="1"/>
  <c r="BD18" i="11" s="1"/>
  <c r="BE18" i="11" s="1"/>
  <c r="BF18" i="11" s="1"/>
  <c r="BG18" i="11" s="1"/>
  <c r="BH18" i="11" s="1"/>
  <c r="BI18" i="11" s="1"/>
  <c r="BJ18" i="11" s="1"/>
  <c r="BK18" i="11" s="1"/>
  <c r="BL18" i="11" s="1"/>
  <c r="BM18" i="11" s="1"/>
  <c r="BN18" i="11" s="1"/>
  <c r="BO18" i="11" s="1"/>
  <c r="BP18" i="11" s="1"/>
  <c r="BQ18" i="11" s="1"/>
  <c r="BR18" i="11" s="1"/>
  <c r="BS18" i="11" s="1"/>
  <c r="BT18" i="11" s="1"/>
  <c r="BU18" i="11" s="1"/>
  <c r="BV18" i="11" s="1"/>
  <c r="BW18" i="11" s="1"/>
  <c r="BX18" i="11" s="1"/>
  <c r="BY18" i="11" s="1"/>
  <c r="BZ18" i="11" s="1"/>
  <c r="CA18" i="11" s="1"/>
  <c r="CB18" i="11" s="1"/>
  <c r="CC18" i="11" s="1"/>
  <c r="CD18" i="11" s="1"/>
  <c r="CE18" i="11" s="1"/>
  <c r="CF18" i="11" s="1"/>
  <c r="CG18" i="11" s="1"/>
  <c r="CH18" i="11" s="1"/>
  <c r="CI18" i="11" s="1"/>
  <c r="CJ18" i="11" s="1"/>
  <c r="CK18" i="11" s="1"/>
  <c r="CL18" i="11" s="1"/>
  <c r="CM18" i="11" s="1"/>
  <c r="CN18" i="11" s="1"/>
  <c r="CO18" i="11" s="1"/>
  <c r="CP18" i="11" s="1"/>
  <c r="CQ18" i="11" s="1"/>
  <c r="CR18" i="11" s="1"/>
  <c r="CS18" i="11" s="1"/>
  <c r="CT18" i="11" s="1"/>
  <c r="CU18" i="11" s="1"/>
  <c r="CV18" i="11" s="1"/>
  <c r="CW18" i="11" s="1"/>
  <c r="CX18" i="11" s="1"/>
  <c r="CY18" i="11" s="1"/>
  <c r="CZ18" i="11" s="1"/>
  <c r="DA18" i="11" s="1"/>
  <c r="DB18" i="11" s="1"/>
  <c r="DC18" i="11" s="1"/>
  <c r="DD18" i="11" s="1"/>
  <c r="DE18" i="11" s="1"/>
  <c r="DF18" i="11" s="1"/>
  <c r="DG18" i="11" s="1"/>
  <c r="DH18" i="11" s="1"/>
  <c r="DI18" i="11" s="1"/>
  <c r="DJ18" i="11" s="1"/>
  <c r="DK18" i="11" s="1"/>
  <c r="DL18" i="11" s="1"/>
  <c r="DM18" i="11" s="1"/>
  <c r="DN18" i="11" s="1"/>
  <c r="DO18" i="11" s="1"/>
  <c r="DP18" i="11" s="1"/>
  <c r="DQ18" i="11" s="1"/>
  <c r="DR18" i="11" s="1"/>
  <c r="DS18" i="11" s="1"/>
  <c r="DT18" i="11" s="1"/>
  <c r="DU18" i="11" s="1"/>
  <c r="DV18" i="11" s="1"/>
  <c r="DW18" i="11" s="1"/>
  <c r="J34" i="13"/>
  <c r="A34" i="13" s="1"/>
  <c r="H34" i="13"/>
  <c r="H11" i="13"/>
  <c r="J11" i="13"/>
  <c r="A11" i="13" s="1"/>
  <c r="J17" i="13"/>
  <c r="A17" i="13" s="1"/>
  <c r="H17" i="13"/>
  <c r="H23" i="13"/>
  <c r="J23" i="13"/>
  <c r="A23" i="13" s="1"/>
  <c r="J5" i="13"/>
  <c r="A5" i="13" s="1"/>
  <c r="G67" i="11"/>
  <c r="H10" i="11"/>
  <c r="A6" i="11"/>
  <c r="A53" i="11"/>
  <c r="B54" i="11"/>
  <c r="G54" i="11" s="1"/>
  <c r="H54" i="11" s="1"/>
  <c r="I54" i="11" s="1"/>
  <c r="J54" i="11" s="1"/>
  <c r="K54" i="11" s="1"/>
  <c r="L54" i="11" s="1"/>
  <c r="M54" i="11" s="1"/>
  <c r="N54" i="11" s="1"/>
  <c r="O54" i="11" s="1"/>
  <c r="P54" i="11" s="1"/>
  <c r="Q54" i="11" s="1"/>
  <c r="R54" i="11" s="1"/>
  <c r="S54" i="11" s="1"/>
  <c r="T54" i="11" s="1"/>
  <c r="U54" i="11" s="1"/>
  <c r="V54" i="11" s="1"/>
  <c r="W54" i="11" s="1"/>
  <c r="X54" i="11" s="1"/>
  <c r="Y54" i="11" s="1"/>
  <c r="Z54" i="11" s="1"/>
  <c r="AA54" i="11" s="1"/>
  <c r="AB54" i="11" s="1"/>
  <c r="AC54" i="11" s="1"/>
  <c r="AD54" i="11" s="1"/>
  <c r="AE54" i="11" s="1"/>
  <c r="AF54" i="11" s="1"/>
  <c r="AG54" i="11" s="1"/>
  <c r="AH54" i="11" s="1"/>
  <c r="AI54" i="11" s="1"/>
  <c r="AJ54" i="11" s="1"/>
  <c r="AK54" i="11" s="1"/>
  <c r="AL54" i="11" s="1"/>
  <c r="AM54" i="11" s="1"/>
  <c r="AN54" i="11" s="1"/>
  <c r="AO54" i="11" s="1"/>
  <c r="AP54" i="11" s="1"/>
  <c r="AQ54" i="11" s="1"/>
  <c r="AR54" i="11" s="1"/>
  <c r="AS54" i="11" s="1"/>
  <c r="AT54" i="11" s="1"/>
  <c r="AU54" i="11" s="1"/>
  <c r="AV54" i="11" s="1"/>
  <c r="AW54" i="11" s="1"/>
  <c r="AX54" i="11" s="1"/>
  <c r="AY54" i="11" s="1"/>
  <c r="AZ54" i="11" s="1"/>
  <c r="BA54" i="11" s="1"/>
  <c r="BB54" i="11" s="1"/>
  <c r="BC54" i="11" s="1"/>
  <c r="BD54" i="11" s="1"/>
  <c r="BE54" i="11" s="1"/>
  <c r="BF54" i="11" s="1"/>
  <c r="BG54" i="11" s="1"/>
  <c r="BH54" i="11" s="1"/>
  <c r="BI54" i="11" s="1"/>
  <c r="BJ54" i="11" s="1"/>
  <c r="BK54" i="11" s="1"/>
  <c r="BL54" i="11" s="1"/>
  <c r="BM54" i="11" s="1"/>
  <c r="BN54" i="11" s="1"/>
  <c r="BO54" i="11" s="1"/>
  <c r="BP54" i="11" s="1"/>
  <c r="BQ54" i="11" s="1"/>
  <c r="BR54" i="11" s="1"/>
  <c r="BS54" i="11" s="1"/>
  <c r="BT54" i="11" s="1"/>
  <c r="BU54" i="11" s="1"/>
  <c r="BV54" i="11" s="1"/>
  <c r="BW54" i="11" s="1"/>
  <c r="BX54" i="11" s="1"/>
  <c r="BY54" i="11" s="1"/>
  <c r="BZ54" i="11" s="1"/>
  <c r="CA54" i="11" s="1"/>
  <c r="CB54" i="11" s="1"/>
  <c r="CC54" i="11" s="1"/>
  <c r="CD54" i="11" s="1"/>
  <c r="CE54" i="11" s="1"/>
  <c r="CF54" i="11" s="1"/>
  <c r="CG54" i="11" s="1"/>
  <c r="CH54" i="11" s="1"/>
  <c r="CI54" i="11" s="1"/>
  <c r="CJ54" i="11" s="1"/>
  <c r="CK54" i="11" s="1"/>
  <c r="CL54" i="11" s="1"/>
  <c r="CM54" i="11" s="1"/>
  <c r="CN54" i="11" s="1"/>
  <c r="CO54" i="11" s="1"/>
  <c r="CP54" i="11" s="1"/>
  <c r="CQ54" i="11" s="1"/>
  <c r="CR54" i="11" s="1"/>
  <c r="CS54" i="11" s="1"/>
  <c r="CT54" i="11" s="1"/>
  <c r="CU54" i="11" s="1"/>
  <c r="CV54" i="11" s="1"/>
  <c r="CW54" i="11" s="1"/>
  <c r="CX54" i="11" s="1"/>
  <c r="CY54" i="11" s="1"/>
  <c r="CZ54" i="11" s="1"/>
  <c r="DA54" i="11" s="1"/>
  <c r="DB54" i="11" s="1"/>
  <c r="DC54" i="11" s="1"/>
  <c r="DD54" i="11" s="1"/>
  <c r="DE54" i="11" s="1"/>
  <c r="DF54" i="11" s="1"/>
  <c r="DG54" i="11" s="1"/>
  <c r="DH54" i="11" s="1"/>
  <c r="DI54" i="11" s="1"/>
  <c r="DJ54" i="11" s="1"/>
  <c r="DK54" i="11" s="1"/>
  <c r="DL54" i="11" s="1"/>
  <c r="DM54" i="11" s="1"/>
  <c r="DN54" i="11" s="1"/>
  <c r="DO54" i="11" s="1"/>
  <c r="DP54" i="11" s="1"/>
  <c r="DQ54" i="11" s="1"/>
  <c r="DR54" i="11" s="1"/>
  <c r="DS54" i="11" s="1"/>
  <c r="DT54" i="11" s="1"/>
  <c r="DU54" i="11" s="1"/>
  <c r="DV54" i="11" s="1"/>
  <c r="DW54" i="11" s="1"/>
  <c r="A44" i="11"/>
  <c r="B45" i="11"/>
  <c r="G45" i="11" s="1"/>
  <c r="H45" i="11" s="1"/>
  <c r="I45" i="11" s="1"/>
  <c r="J45" i="11" s="1"/>
  <c r="K45" i="11" s="1"/>
  <c r="L45" i="11" s="1"/>
  <c r="M45" i="11" s="1"/>
  <c r="N45" i="11" s="1"/>
  <c r="O45" i="11" s="1"/>
  <c r="P45" i="11" s="1"/>
  <c r="Q45" i="11" s="1"/>
  <c r="R45" i="11" s="1"/>
  <c r="S45" i="11" s="1"/>
  <c r="T45" i="11" s="1"/>
  <c r="U45" i="11" s="1"/>
  <c r="V45" i="11" s="1"/>
  <c r="W45" i="11" s="1"/>
  <c r="X45" i="11" s="1"/>
  <c r="Y45" i="11" s="1"/>
  <c r="Z45" i="11" s="1"/>
  <c r="AA45" i="11" s="1"/>
  <c r="AB45" i="11" s="1"/>
  <c r="AC45" i="11" s="1"/>
  <c r="AD45" i="11" s="1"/>
  <c r="AE45" i="11" s="1"/>
  <c r="AF45" i="11" s="1"/>
  <c r="AG45" i="11" s="1"/>
  <c r="AH45" i="11" s="1"/>
  <c r="AI45" i="11" s="1"/>
  <c r="AJ45" i="11" s="1"/>
  <c r="AK45" i="11" s="1"/>
  <c r="AL45" i="11" s="1"/>
  <c r="AM45" i="11" s="1"/>
  <c r="AN45" i="11" s="1"/>
  <c r="AO45" i="11" s="1"/>
  <c r="AP45" i="11" s="1"/>
  <c r="AQ45" i="11" s="1"/>
  <c r="AR45" i="11" s="1"/>
  <c r="AS45" i="11" s="1"/>
  <c r="AT45" i="11" s="1"/>
  <c r="AU45" i="11" s="1"/>
  <c r="AV45" i="11" s="1"/>
  <c r="AW45" i="11" s="1"/>
  <c r="AX45" i="11" s="1"/>
  <c r="AY45" i="11" s="1"/>
  <c r="AZ45" i="11" s="1"/>
  <c r="BA45" i="11" s="1"/>
  <c r="BB45" i="11" s="1"/>
  <c r="BC45" i="11" s="1"/>
  <c r="BD45" i="11" s="1"/>
  <c r="BE45" i="11" s="1"/>
  <c r="BF45" i="11" s="1"/>
  <c r="BG45" i="11" s="1"/>
  <c r="BH45" i="11" s="1"/>
  <c r="BI45" i="11" s="1"/>
  <c r="BJ45" i="11" s="1"/>
  <c r="BK45" i="11" s="1"/>
  <c r="BL45" i="11" s="1"/>
  <c r="BM45" i="11" s="1"/>
  <c r="BN45" i="11" s="1"/>
  <c r="BO45" i="11" s="1"/>
  <c r="BP45" i="11" s="1"/>
  <c r="BQ45" i="11" s="1"/>
  <c r="BR45" i="11" s="1"/>
  <c r="BS45" i="11" s="1"/>
  <c r="BT45" i="11" s="1"/>
  <c r="BU45" i="11" s="1"/>
  <c r="BV45" i="11" s="1"/>
  <c r="BW45" i="11" s="1"/>
  <c r="BX45" i="11" s="1"/>
  <c r="BY45" i="11" s="1"/>
  <c r="BZ45" i="11" s="1"/>
  <c r="CA45" i="11" s="1"/>
  <c r="CB45" i="11" s="1"/>
  <c r="CC45" i="11" s="1"/>
  <c r="CD45" i="11" s="1"/>
  <c r="CE45" i="11" s="1"/>
  <c r="CF45" i="11" s="1"/>
  <c r="CG45" i="11" s="1"/>
  <c r="CH45" i="11" s="1"/>
  <c r="CI45" i="11" s="1"/>
  <c r="CJ45" i="11" s="1"/>
  <c r="CK45" i="11" s="1"/>
  <c r="CL45" i="11" s="1"/>
  <c r="CM45" i="11" s="1"/>
  <c r="CN45" i="11" s="1"/>
  <c r="CO45" i="11" s="1"/>
  <c r="CP45" i="11" s="1"/>
  <c r="CQ45" i="11" s="1"/>
  <c r="CR45" i="11" s="1"/>
  <c r="CS45" i="11" s="1"/>
  <c r="CT45" i="11" s="1"/>
  <c r="CU45" i="11" s="1"/>
  <c r="CV45" i="11" s="1"/>
  <c r="CW45" i="11" s="1"/>
  <c r="CX45" i="11" s="1"/>
  <c r="CY45" i="11" s="1"/>
  <c r="CZ45" i="11" s="1"/>
  <c r="DA45" i="11" s="1"/>
  <c r="DB45" i="11" s="1"/>
  <c r="DC45" i="11" s="1"/>
  <c r="DD45" i="11" s="1"/>
  <c r="DE45" i="11" s="1"/>
  <c r="DF45" i="11" s="1"/>
  <c r="DG45" i="11" s="1"/>
  <c r="DH45" i="11" s="1"/>
  <c r="DI45" i="11" s="1"/>
  <c r="DJ45" i="11" s="1"/>
  <c r="DK45" i="11" s="1"/>
  <c r="DL45" i="11" s="1"/>
  <c r="DM45" i="11" s="1"/>
  <c r="DN45" i="11" s="1"/>
  <c r="DO45" i="11" s="1"/>
  <c r="DP45" i="11" s="1"/>
  <c r="DQ45" i="11" s="1"/>
  <c r="DR45" i="11" s="1"/>
  <c r="DS45" i="11" s="1"/>
  <c r="DT45" i="11" s="1"/>
  <c r="DU45" i="11" s="1"/>
  <c r="DV45" i="11" s="1"/>
  <c r="DW45" i="11" s="1"/>
  <c r="B37" i="11"/>
  <c r="A37" i="11" s="1"/>
  <c r="A36" i="11"/>
  <c r="A26" i="11"/>
  <c r="B27" i="11"/>
  <c r="G27" i="11" s="1"/>
  <c r="H27" i="11" s="1"/>
  <c r="I27" i="11" s="1"/>
  <c r="J27" i="11" s="1"/>
  <c r="K27" i="11" s="1"/>
  <c r="L27" i="11" s="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X27" i="11" s="1"/>
  <c r="Y27" i="11" s="1"/>
  <c r="Z27" i="11" s="1"/>
  <c r="AA27" i="11" s="1"/>
  <c r="AB27" i="11" s="1"/>
  <c r="AC27" i="11" s="1"/>
  <c r="AD27" i="11" s="1"/>
  <c r="AE27" i="11" s="1"/>
  <c r="AF27" i="11" s="1"/>
  <c r="AG27" i="11" s="1"/>
  <c r="AH27" i="11" s="1"/>
  <c r="AI27" i="11" s="1"/>
  <c r="AJ27" i="11" s="1"/>
  <c r="AK27" i="11" s="1"/>
  <c r="AL27" i="11" s="1"/>
  <c r="AM27" i="11" s="1"/>
  <c r="AN27" i="11" s="1"/>
  <c r="AO27" i="11" s="1"/>
  <c r="AP27" i="11" s="1"/>
  <c r="AQ27" i="11" s="1"/>
  <c r="AR27" i="11" s="1"/>
  <c r="AS27" i="11" s="1"/>
  <c r="AT27" i="11" s="1"/>
  <c r="AU27" i="11" s="1"/>
  <c r="AV27" i="11" s="1"/>
  <c r="AW27" i="11" s="1"/>
  <c r="AX27" i="11" s="1"/>
  <c r="AY27" i="11" s="1"/>
  <c r="AZ27" i="11" s="1"/>
  <c r="BA27" i="11" s="1"/>
  <c r="BB27" i="11" s="1"/>
  <c r="BC27" i="11" s="1"/>
  <c r="BD27" i="11" s="1"/>
  <c r="BE27" i="11" s="1"/>
  <c r="BF27" i="11" s="1"/>
  <c r="BG27" i="11" s="1"/>
  <c r="BH27" i="11" s="1"/>
  <c r="BI27" i="11" s="1"/>
  <c r="BJ27" i="11" s="1"/>
  <c r="BK27" i="11" s="1"/>
  <c r="BL27" i="11" s="1"/>
  <c r="BM27" i="11" s="1"/>
  <c r="BN27" i="11" s="1"/>
  <c r="BO27" i="11" s="1"/>
  <c r="BP27" i="11" s="1"/>
  <c r="BQ27" i="11" s="1"/>
  <c r="BR27" i="11" s="1"/>
  <c r="BS27" i="11" s="1"/>
  <c r="BT27" i="11" s="1"/>
  <c r="BU27" i="11" s="1"/>
  <c r="BV27" i="11" s="1"/>
  <c r="BW27" i="11" s="1"/>
  <c r="BX27" i="11" s="1"/>
  <c r="BY27" i="11" s="1"/>
  <c r="BZ27" i="11" s="1"/>
  <c r="CA27" i="11" s="1"/>
  <c r="CB27" i="11" s="1"/>
  <c r="CC27" i="11" s="1"/>
  <c r="CD27" i="11" s="1"/>
  <c r="CE27" i="11" s="1"/>
  <c r="CF27" i="11" s="1"/>
  <c r="CG27" i="11" s="1"/>
  <c r="CH27" i="11" s="1"/>
  <c r="CI27" i="11" s="1"/>
  <c r="CJ27" i="11" s="1"/>
  <c r="CK27" i="11" s="1"/>
  <c r="CL27" i="11" s="1"/>
  <c r="CM27" i="11" s="1"/>
  <c r="CN27" i="11" s="1"/>
  <c r="CO27" i="11" s="1"/>
  <c r="CP27" i="11" s="1"/>
  <c r="CQ27" i="11" s="1"/>
  <c r="CR27" i="11" s="1"/>
  <c r="CS27" i="11" s="1"/>
  <c r="CT27" i="11" s="1"/>
  <c r="CU27" i="11" s="1"/>
  <c r="CV27" i="11" s="1"/>
  <c r="CW27" i="11" s="1"/>
  <c r="CX27" i="11" s="1"/>
  <c r="CY27" i="11" s="1"/>
  <c r="CZ27" i="11" s="1"/>
  <c r="DA27" i="11" s="1"/>
  <c r="DB27" i="11" s="1"/>
  <c r="DC27" i="11" s="1"/>
  <c r="DD27" i="11" s="1"/>
  <c r="DE27" i="11" s="1"/>
  <c r="DF27" i="11" s="1"/>
  <c r="DG27" i="11" s="1"/>
  <c r="DH27" i="11" s="1"/>
  <c r="DI27" i="11" s="1"/>
  <c r="DJ27" i="11" s="1"/>
  <c r="DK27" i="11" s="1"/>
  <c r="DL27" i="11" s="1"/>
  <c r="DM27" i="11" s="1"/>
  <c r="DN27" i="11" s="1"/>
  <c r="DO27" i="11" s="1"/>
  <c r="DP27" i="11" s="1"/>
  <c r="DQ27" i="11" s="1"/>
  <c r="DR27" i="11" s="1"/>
  <c r="DS27" i="11" s="1"/>
  <c r="DT27" i="11" s="1"/>
  <c r="DU27" i="11" s="1"/>
  <c r="DV27" i="11" s="1"/>
  <c r="DW27" i="11" s="1"/>
  <c r="B19" i="11"/>
  <c r="A19" i="11" s="1"/>
  <c r="A18" i="11"/>
  <c r="F6" i="13"/>
  <c r="G6" i="13"/>
  <c r="L6" i="13" s="1"/>
  <c r="E6" i="13"/>
  <c r="H5" i="13"/>
  <c r="I58" i="11"/>
  <c r="J58" i="11" s="1"/>
  <c r="K58" i="11" s="1"/>
  <c r="L58" i="11" s="1"/>
  <c r="M58" i="11" s="1"/>
  <c r="N58" i="11" s="1"/>
  <c r="O58" i="11" s="1"/>
  <c r="P58" i="11" s="1"/>
  <c r="Q58" i="11" s="1"/>
  <c r="R58" i="11" s="1"/>
  <c r="S58" i="11" s="1"/>
  <c r="T58" i="11" s="1"/>
  <c r="U58" i="11" s="1"/>
  <c r="V58" i="11" s="1"/>
  <c r="W58" i="11" s="1"/>
  <c r="X58" i="11" s="1"/>
  <c r="Y58" i="11" s="1"/>
  <c r="Z58" i="11" s="1"/>
  <c r="AA58" i="11" s="1"/>
  <c r="AB58" i="11" s="1"/>
  <c r="AC58" i="11" s="1"/>
  <c r="AD58" i="11" s="1"/>
  <c r="AE58" i="11" s="1"/>
  <c r="AF58" i="11" s="1"/>
  <c r="AG58" i="11" s="1"/>
  <c r="AH58" i="11" s="1"/>
  <c r="AI58" i="11" s="1"/>
  <c r="AJ58" i="11" s="1"/>
  <c r="AK58" i="11" s="1"/>
  <c r="AL58" i="11" s="1"/>
  <c r="AM58" i="11" s="1"/>
  <c r="AN58" i="11" s="1"/>
  <c r="AO58" i="11" s="1"/>
  <c r="AP58" i="11" s="1"/>
  <c r="AQ58" i="11" s="1"/>
  <c r="AR58" i="11" s="1"/>
  <c r="AS58" i="11" s="1"/>
  <c r="AT58" i="11" s="1"/>
  <c r="AU58" i="11" s="1"/>
  <c r="AV58" i="11" s="1"/>
  <c r="AW58" i="11" s="1"/>
  <c r="AX58" i="11" s="1"/>
  <c r="AY58" i="11" s="1"/>
  <c r="AZ58" i="11" s="1"/>
  <c r="BA58" i="11" s="1"/>
  <c r="BB58" i="11" s="1"/>
  <c r="BC58" i="11" s="1"/>
  <c r="BD58" i="11" s="1"/>
  <c r="BE58" i="11" s="1"/>
  <c r="BF58" i="11" s="1"/>
  <c r="BG58" i="11" s="1"/>
  <c r="BH58" i="11" s="1"/>
  <c r="BI58" i="11" s="1"/>
  <c r="BJ58" i="11" s="1"/>
  <c r="BK58" i="11" s="1"/>
  <c r="BL58" i="11" s="1"/>
  <c r="BM58" i="11" s="1"/>
  <c r="BN58" i="11" s="1"/>
  <c r="BO58" i="11" s="1"/>
  <c r="BP58" i="11" s="1"/>
  <c r="BQ58" i="11" s="1"/>
  <c r="BR58" i="11" s="1"/>
  <c r="BS58" i="11" s="1"/>
  <c r="BT58" i="11" s="1"/>
  <c r="BU58" i="11" s="1"/>
  <c r="BV58" i="11" s="1"/>
  <c r="BW58" i="11" s="1"/>
  <c r="BX58" i="11" s="1"/>
  <c r="BY58" i="11" s="1"/>
  <c r="BZ58" i="11" s="1"/>
  <c r="CA58" i="11" s="1"/>
  <c r="CB58" i="11" s="1"/>
  <c r="CC58" i="11" s="1"/>
  <c r="CD58" i="11" s="1"/>
  <c r="CE58" i="11" s="1"/>
  <c r="CF58" i="11" s="1"/>
  <c r="CG58" i="11" s="1"/>
  <c r="CH58" i="11" s="1"/>
  <c r="CI58" i="11" s="1"/>
  <c r="CJ58" i="11" s="1"/>
  <c r="CK58" i="11" s="1"/>
  <c r="CL58" i="11" s="1"/>
  <c r="CM58" i="11" s="1"/>
  <c r="CN58" i="11" s="1"/>
  <c r="CO58" i="11" s="1"/>
  <c r="CP58" i="11" s="1"/>
  <c r="CQ58" i="11" s="1"/>
  <c r="CR58" i="11" s="1"/>
  <c r="CS58" i="11" s="1"/>
  <c r="CT58" i="11" s="1"/>
  <c r="CU58" i="11" s="1"/>
  <c r="CV58" i="11" s="1"/>
  <c r="CW58" i="11" s="1"/>
  <c r="CX58" i="11" s="1"/>
  <c r="CY58" i="11" s="1"/>
  <c r="CZ58" i="11" s="1"/>
  <c r="DA58" i="11" s="1"/>
  <c r="DB58" i="11" s="1"/>
  <c r="DC58" i="11" s="1"/>
  <c r="DD58" i="11" s="1"/>
  <c r="DE58" i="11" s="1"/>
  <c r="DF58" i="11" s="1"/>
  <c r="DG58" i="11" s="1"/>
  <c r="DH58" i="11" s="1"/>
  <c r="DI58" i="11" s="1"/>
  <c r="DJ58" i="11" s="1"/>
  <c r="DK58" i="11" s="1"/>
  <c r="DL58" i="11" s="1"/>
  <c r="DM58" i="11" s="1"/>
  <c r="DN58" i="11" s="1"/>
  <c r="DO58" i="11" s="1"/>
  <c r="DP58" i="11" s="1"/>
  <c r="DQ58" i="11" s="1"/>
  <c r="DR58" i="11" s="1"/>
  <c r="DS58" i="11" s="1"/>
  <c r="DT58" i="11" s="1"/>
  <c r="DU58" i="11" s="1"/>
  <c r="DV58" i="11" s="1"/>
  <c r="DW58" i="11" s="1"/>
  <c r="I1" i="11"/>
  <c r="L35" i="13" l="1"/>
  <c r="J35" i="13"/>
  <c r="A35" i="13" s="1"/>
  <c r="J29" i="13"/>
  <c r="A29" i="13" s="1"/>
  <c r="H29" i="13"/>
  <c r="E18" i="20"/>
  <c r="D18" i="20"/>
  <c r="A20" i="20"/>
  <c r="C19" i="20"/>
  <c r="F19" i="20"/>
  <c r="G19" i="20" s="1"/>
  <c r="B19" i="20"/>
  <c r="E19" i="20" s="1"/>
  <c r="I74" i="11"/>
  <c r="I75" i="11" s="1"/>
  <c r="J6" i="13"/>
  <c r="A6" i="13" s="1"/>
  <c r="H67" i="11"/>
  <c r="A7" i="11"/>
  <c r="B55" i="11"/>
  <c r="A55" i="11" s="1"/>
  <c r="A54" i="11"/>
  <c r="B46" i="11"/>
  <c r="A46" i="11" s="1"/>
  <c r="A45" i="11"/>
  <c r="B28" i="11"/>
  <c r="A28" i="11" s="1"/>
  <c r="A27" i="11"/>
  <c r="H6" i="13"/>
  <c r="H41" i="11" l="1"/>
  <c r="A21" i="20"/>
  <c r="B20" i="20"/>
  <c r="E20" i="20" s="1"/>
  <c r="C20" i="20"/>
  <c r="F20" i="20"/>
  <c r="G20" i="20" s="1"/>
  <c r="D19" i="20"/>
  <c r="I32" i="11"/>
  <c r="H23" i="11"/>
  <c r="I14" i="11"/>
  <c r="H32" i="11"/>
  <c r="H33" i="11" s="1"/>
  <c r="H14" i="11"/>
  <c r="H15" i="11" s="1"/>
  <c r="I23" i="11"/>
  <c r="I24" i="11" s="1"/>
  <c r="I50" i="11"/>
  <c r="I41" i="11"/>
  <c r="H50" i="11"/>
  <c r="J74" i="11"/>
  <c r="J75" i="11" s="1"/>
  <c r="J41" i="11"/>
  <c r="J50" i="11"/>
  <c r="J32" i="11"/>
  <c r="J23" i="11"/>
  <c r="J14" i="11"/>
  <c r="J15" i="11" s="1"/>
  <c r="I40" i="11" a="1"/>
  <c r="I40" i="11" s="1"/>
  <c r="I46" i="11" s="1"/>
  <c r="I49" i="11" a="1"/>
  <c r="I49" i="11" s="1"/>
  <c r="I55" i="11" s="1"/>
  <c r="I31" i="11" a="1"/>
  <c r="I31" i="11" s="1"/>
  <c r="I37" i="11" s="1"/>
  <c r="I13" i="11" a="1"/>
  <c r="I13" i="11" s="1"/>
  <c r="I19" i="11" s="1"/>
  <c r="I4" i="11" a="1"/>
  <c r="I4" i="11" s="1"/>
  <c r="I22" i="11" a="1"/>
  <c r="I22" i="11" s="1"/>
  <c r="I28" i="11" s="1"/>
  <c r="I5" i="11"/>
  <c r="H5" i="11"/>
  <c r="A8" i="11"/>
  <c r="J5" i="11"/>
  <c r="D20" i="20" l="1"/>
  <c r="A22" i="20"/>
  <c r="B21" i="20"/>
  <c r="C21" i="20"/>
  <c r="F21" i="20"/>
  <c r="G21" i="20" s="1"/>
  <c r="K74" i="11"/>
  <c r="K75" i="11" s="1"/>
  <c r="K32" i="11"/>
  <c r="K41" i="11"/>
  <c r="K50" i="11"/>
  <c r="K51" i="11" s="1"/>
  <c r="K23" i="11"/>
  <c r="K24" i="11" s="1"/>
  <c r="K14" i="11"/>
  <c r="J49" i="11" a="1"/>
  <c r="J49" i="11" s="1"/>
  <c r="J55" i="11" s="1"/>
  <c r="J31" i="11" a="1"/>
  <c r="J31" i="11" s="1"/>
  <c r="J37" i="11" s="1"/>
  <c r="J13" i="11" a="1"/>
  <c r="J13" i="11" s="1"/>
  <c r="J19" i="11" s="1"/>
  <c r="J4" i="11" a="1"/>
  <c r="J4" i="11" s="1"/>
  <c r="J22" i="11" a="1"/>
  <c r="J22" i="11" s="1"/>
  <c r="J28" i="11" s="1"/>
  <c r="J40" i="11" a="1"/>
  <c r="J40" i="11" s="1"/>
  <c r="J46" i="11" s="1"/>
  <c r="I61" i="11"/>
  <c r="I10" i="11"/>
  <c r="H62" i="11"/>
  <c r="I62" i="11"/>
  <c r="J62" i="11"/>
  <c r="A9" i="11"/>
  <c r="A10" i="11"/>
  <c r="G66" i="11"/>
  <c r="K5" i="11"/>
  <c r="E21" i="20" l="1"/>
  <c r="D21" i="20"/>
  <c r="A23" i="20"/>
  <c r="B22" i="20"/>
  <c r="C22" i="20"/>
  <c r="D22" i="20" s="1"/>
  <c r="F22" i="20"/>
  <c r="G22" i="20" s="1"/>
  <c r="J10" i="11"/>
  <c r="I67" i="11"/>
  <c r="L74" i="11"/>
  <c r="L75" i="11" s="1"/>
  <c r="L41" i="11"/>
  <c r="L50" i="11"/>
  <c r="L32" i="11"/>
  <c r="L23" i="11"/>
  <c r="L14" i="11"/>
  <c r="J61" i="11"/>
  <c r="K22" i="11" a="1"/>
  <c r="K22" i="11" s="1"/>
  <c r="K28" i="11" s="1"/>
  <c r="K49" i="11" a="1"/>
  <c r="K49" i="11" s="1"/>
  <c r="K55" i="11" s="1"/>
  <c r="K40" i="11" a="1"/>
  <c r="K40" i="11" s="1"/>
  <c r="K46" i="11" s="1"/>
  <c r="K31" i="11" a="1"/>
  <c r="K31" i="11" s="1"/>
  <c r="K37" i="11" s="1"/>
  <c r="K13" i="11" a="1"/>
  <c r="K13" i="11" s="1"/>
  <c r="K19" i="11" s="1"/>
  <c r="K4" i="11" a="1"/>
  <c r="K4" i="11" s="1"/>
  <c r="K62" i="11"/>
  <c r="H9" i="11"/>
  <c r="L5" i="11"/>
  <c r="E22" i="20" l="1"/>
  <c r="A24" i="20"/>
  <c r="B23" i="20"/>
  <c r="C23" i="20"/>
  <c r="F23" i="20"/>
  <c r="G23" i="20" s="1"/>
  <c r="K61" i="11"/>
  <c r="J67" i="11"/>
  <c r="K10" i="11"/>
  <c r="M74" i="11"/>
  <c r="M75" i="11" s="1"/>
  <c r="M50" i="11"/>
  <c r="M41" i="11"/>
  <c r="M32" i="11"/>
  <c r="M23" i="11"/>
  <c r="M14" i="11"/>
  <c r="L22" i="11" a="1"/>
  <c r="L22" i="11" s="1"/>
  <c r="L28" i="11" s="1"/>
  <c r="L49" i="11" a="1"/>
  <c r="L49" i="11" s="1"/>
  <c r="L55" i="11" s="1"/>
  <c r="L40" i="11" a="1"/>
  <c r="L40" i="11" s="1"/>
  <c r="L46" i="11" s="1"/>
  <c r="L31" i="11" a="1"/>
  <c r="L31" i="11" s="1"/>
  <c r="L37" i="11" s="1"/>
  <c r="L13" i="11" a="1"/>
  <c r="L13" i="11" s="1"/>
  <c r="L19" i="11" s="1"/>
  <c r="L4" i="11" a="1"/>
  <c r="L4" i="11" s="1"/>
  <c r="L62" i="11"/>
  <c r="I9" i="11"/>
  <c r="H66" i="11"/>
  <c r="M5" i="11"/>
  <c r="E23" i="20" l="1"/>
  <c r="A25" i="20"/>
  <c r="B24" i="20"/>
  <c r="C24" i="20"/>
  <c r="D24" i="20" s="1"/>
  <c r="F24" i="20"/>
  <c r="G24" i="20" s="1"/>
  <c r="D23" i="20"/>
  <c r="M49" i="11" a="1"/>
  <c r="M49" i="11" s="1"/>
  <c r="M55" i="11" s="1"/>
  <c r="M40" i="11" a="1"/>
  <c r="M40" i="11" s="1"/>
  <c r="M46" i="11" s="1"/>
  <c r="M13" i="11" a="1"/>
  <c r="M13" i="11" s="1"/>
  <c r="M19" i="11" s="1"/>
  <c r="M31" i="11" a="1"/>
  <c r="M31" i="11" s="1"/>
  <c r="M37" i="11" s="1"/>
  <c r="M4" i="11" a="1"/>
  <c r="M4" i="11" s="1"/>
  <c r="M22" i="11" a="1"/>
  <c r="M22" i="11" s="1"/>
  <c r="M28" i="11" s="1"/>
  <c r="L61" i="11"/>
  <c r="L10" i="11"/>
  <c r="K67" i="11"/>
  <c r="N74" i="11"/>
  <c r="N75" i="11" s="1"/>
  <c r="N41" i="11"/>
  <c r="N32" i="11"/>
  <c r="N50" i="11"/>
  <c r="N14" i="11"/>
  <c r="N23" i="11"/>
  <c r="M62" i="11"/>
  <c r="J9" i="11"/>
  <c r="I66" i="11"/>
  <c r="N5" i="11"/>
  <c r="E24" i="20" l="1"/>
  <c r="A26" i="20"/>
  <c r="B25" i="20"/>
  <c r="C25" i="20"/>
  <c r="F25" i="20"/>
  <c r="G25" i="20" s="1"/>
  <c r="N42" i="11"/>
  <c r="N31" i="11" a="1"/>
  <c r="N31" i="11" s="1"/>
  <c r="N37" i="11" s="1"/>
  <c r="N4" i="11" a="1"/>
  <c r="N4" i="11" s="1"/>
  <c r="N22" i="11" a="1"/>
  <c r="N22" i="11" s="1"/>
  <c r="N28" i="11" s="1"/>
  <c r="N49" i="11" a="1"/>
  <c r="N49" i="11" s="1"/>
  <c r="N55" i="11" s="1"/>
  <c r="N40" i="11" a="1"/>
  <c r="N40" i="11" s="1"/>
  <c r="N46" i="11" s="1"/>
  <c r="N13" i="11" a="1"/>
  <c r="N13" i="11" s="1"/>
  <c r="N19" i="11" s="1"/>
  <c r="O74" i="11"/>
  <c r="O75" i="11" s="1"/>
  <c r="O41" i="11"/>
  <c r="O50" i="11"/>
  <c r="O32" i="11"/>
  <c r="O14" i="11"/>
  <c r="O23" i="11"/>
  <c r="M10" i="11"/>
  <c r="L67" i="11"/>
  <c r="M61" i="11"/>
  <c r="N6" i="11"/>
  <c r="N62" i="11"/>
  <c r="K9" i="11"/>
  <c r="J66" i="11"/>
  <c r="O5" i="11"/>
  <c r="E25" i="20" l="1"/>
  <c r="D25" i="20"/>
  <c r="A27" i="20"/>
  <c r="C26" i="20"/>
  <c r="F26" i="20"/>
  <c r="G26" i="20" s="1"/>
  <c r="B26" i="20"/>
  <c r="N10" i="11"/>
  <c r="M67" i="11"/>
  <c r="O22" i="11" a="1"/>
  <c r="O22" i="11" s="1"/>
  <c r="O28" i="11" s="1"/>
  <c r="O13" i="11" a="1"/>
  <c r="O13" i="11" s="1"/>
  <c r="O19" i="11" s="1"/>
  <c r="O49" i="11" a="1"/>
  <c r="O49" i="11" s="1"/>
  <c r="O55" i="11" s="1"/>
  <c r="O40" i="11" a="1"/>
  <c r="O40" i="11" s="1"/>
  <c r="O46" i="11" s="1"/>
  <c r="O31" i="11" a="1"/>
  <c r="O31" i="11" s="1"/>
  <c r="O37" i="11" s="1"/>
  <c r="O4" i="11" a="1"/>
  <c r="O4" i="11" s="1"/>
  <c r="N61" i="11"/>
  <c r="P74" i="11"/>
  <c r="P75" i="11" s="1"/>
  <c r="P32" i="11"/>
  <c r="P41" i="11"/>
  <c r="P50" i="11"/>
  <c r="P23" i="11"/>
  <c r="P14" i="11"/>
  <c r="P15" i="11" s="1"/>
  <c r="O62" i="11"/>
  <c r="L9" i="11"/>
  <c r="K66" i="11"/>
  <c r="P5" i="11"/>
  <c r="E26" i="20" l="1"/>
  <c r="D26" i="20"/>
  <c r="A28" i="20"/>
  <c r="B27" i="20"/>
  <c r="C27" i="20"/>
  <c r="D27" i="20" s="1"/>
  <c r="F27" i="20"/>
  <c r="G27" i="20" s="1"/>
  <c r="P22" i="11" a="1"/>
  <c r="P22" i="11" s="1"/>
  <c r="P28" i="11" s="1"/>
  <c r="P13" i="11" a="1"/>
  <c r="P13" i="11" s="1"/>
  <c r="P19" i="11" s="1"/>
  <c r="P49" i="11" a="1"/>
  <c r="P49" i="11" s="1"/>
  <c r="P55" i="11" s="1"/>
  <c r="P40" i="11" a="1"/>
  <c r="P40" i="11" s="1"/>
  <c r="P46" i="11" s="1"/>
  <c r="P31" i="11" a="1"/>
  <c r="P31" i="11" s="1"/>
  <c r="P37" i="11" s="1"/>
  <c r="P4" i="11" a="1"/>
  <c r="P4" i="11" s="1"/>
  <c r="Q74" i="11"/>
  <c r="Q75" i="11" s="1"/>
  <c r="Q41" i="11"/>
  <c r="Q32" i="11"/>
  <c r="Q33" i="11" s="1"/>
  <c r="Q50" i="11"/>
  <c r="Q23" i="11"/>
  <c r="Q14" i="11"/>
  <c r="N67" i="11"/>
  <c r="O10" i="11"/>
  <c r="O61" i="11"/>
  <c r="P62" i="11"/>
  <c r="M9" i="11"/>
  <c r="L66" i="11"/>
  <c r="Q5" i="11"/>
  <c r="E27" i="20" l="1"/>
  <c r="A29" i="20"/>
  <c r="C28" i="20"/>
  <c r="F28" i="20"/>
  <c r="G28" i="20" s="1"/>
  <c r="B28" i="20"/>
  <c r="E28" i="20" s="1"/>
  <c r="Q49" i="11" a="1"/>
  <c r="Q49" i="11" s="1"/>
  <c r="Q55" i="11" s="1"/>
  <c r="Q40" i="11" a="1"/>
  <c r="Q40" i="11" s="1"/>
  <c r="Q46" i="11" s="1"/>
  <c r="Q31" i="11" a="1"/>
  <c r="Q31" i="11" s="1"/>
  <c r="Q37" i="11" s="1"/>
  <c r="Q4" i="11" a="1"/>
  <c r="Q4" i="11" s="1"/>
  <c r="Q22" i="11" a="1"/>
  <c r="Q22" i="11" s="1"/>
  <c r="Q28" i="11" s="1"/>
  <c r="Q13" i="11" a="1"/>
  <c r="Q13" i="11" s="1"/>
  <c r="Q19" i="11" s="1"/>
  <c r="P61" i="11"/>
  <c r="R74" i="11"/>
  <c r="R75" i="11" s="1"/>
  <c r="R32" i="11"/>
  <c r="R41" i="11"/>
  <c r="R50" i="11"/>
  <c r="R23" i="11"/>
  <c r="R14" i="11"/>
  <c r="R15" i="11" s="1"/>
  <c r="O67" i="11"/>
  <c r="P10" i="11"/>
  <c r="Q62" i="11"/>
  <c r="N9" i="11"/>
  <c r="M66" i="11"/>
  <c r="R5" i="11"/>
  <c r="D28" i="20" l="1"/>
  <c r="A30" i="20"/>
  <c r="B29" i="20"/>
  <c r="E29" i="20" s="1"/>
  <c r="C29" i="20"/>
  <c r="D29" i="20" s="1"/>
  <c r="F29" i="20"/>
  <c r="G29" i="20" s="1"/>
  <c r="R31" i="11" a="1"/>
  <c r="R31" i="11" s="1"/>
  <c r="R37" i="11" s="1"/>
  <c r="R4" i="11" a="1"/>
  <c r="R4" i="11" s="1"/>
  <c r="R22" i="11" a="1"/>
  <c r="R22" i="11" s="1"/>
  <c r="R28" i="11" s="1"/>
  <c r="R13" i="11" a="1"/>
  <c r="R13" i="11" s="1"/>
  <c r="R19" i="11" s="1"/>
  <c r="R49" i="11" a="1"/>
  <c r="R49" i="11" s="1"/>
  <c r="R55" i="11" s="1"/>
  <c r="R40" i="11" a="1"/>
  <c r="R40" i="11" s="1"/>
  <c r="R46" i="11" s="1"/>
  <c r="Q10" i="11"/>
  <c r="P67" i="11"/>
  <c r="Q61" i="11"/>
  <c r="S74" i="11"/>
  <c r="S75" i="11" s="1"/>
  <c r="S32" i="11"/>
  <c r="S41" i="11"/>
  <c r="S50" i="11"/>
  <c r="S23" i="11"/>
  <c r="S14" i="11"/>
  <c r="O9" i="11"/>
  <c r="N66" i="11"/>
  <c r="R62" i="11"/>
  <c r="S5" i="11"/>
  <c r="A31" i="20" l="1"/>
  <c r="F30" i="20"/>
  <c r="G30" i="20" s="1"/>
  <c r="B30" i="20"/>
  <c r="C30" i="20"/>
  <c r="D30" i="20" s="1"/>
  <c r="S13" i="11" a="1"/>
  <c r="S13" i="11" s="1"/>
  <c r="S19" i="11" s="1"/>
  <c r="S49" i="11" a="1"/>
  <c r="S49" i="11" s="1"/>
  <c r="S55" i="11" s="1"/>
  <c r="S22" i="11" a="1"/>
  <c r="S22" i="11" s="1"/>
  <c r="S28" i="11" s="1"/>
  <c r="S40" i="11" a="1"/>
  <c r="S40" i="11" s="1"/>
  <c r="S46" i="11" s="1"/>
  <c r="S31" i="11" a="1"/>
  <c r="S31" i="11" s="1"/>
  <c r="S37" i="11" s="1"/>
  <c r="S4" i="11" a="1"/>
  <c r="S4" i="11" s="1"/>
  <c r="R61" i="11"/>
  <c r="T74" i="11"/>
  <c r="T75" i="11" s="1"/>
  <c r="T50" i="11"/>
  <c r="T41" i="11"/>
  <c r="T32" i="11"/>
  <c r="T23" i="11"/>
  <c r="T14" i="11"/>
  <c r="R10" i="11"/>
  <c r="Q67" i="11"/>
  <c r="S62" i="11"/>
  <c r="P9" i="11"/>
  <c r="O66" i="11"/>
  <c r="T5" i="11"/>
  <c r="E30" i="20" l="1"/>
  <c r="A32" i="20"/>
  <c r="B31" i="20"/>
  <c r="C31" i="20"/>
  <c r="D31" i="20" s="1"/>
  <c r="F31" i="20"/>
  <c r="G31" i="20" s="1"/>
  <c r="S61" i="11"/>
  <c r="T49" i="11" a="1"/>
  <c r="T49" i="11" s="1"/>
  <c r="T55" i="11" s="1"/>
  <c r="T22" i="11" a="1"/>
  <c r="T22" i="11" s="1"/>
  <c r="T28" i="11" s="1"/>
  <c r="T40" i="11" a="1"/>
  <c r="T40" i="11" s="1"/>
  <c r="T46" i="11" s="1"/>
  <c r="T31" i="11" a="1"/>
  <c r="T31" i="11" s="1"/>
  <c r="T37" i="11" s="1"/>
  <c r="T4" i="11" a="1"/>
  <c r="T4" i="11" s="1"/>
  <c r="T13" i="11" a="1"/>
  <c r="T13" i="11" s="1"/>
  <c r="T19" i="11" s="1"/>
  <c r="U74" i="11"/>
  <c r="U75" i="11" s="1"/>
  <c r="U41" i="11"/>
  <c r="U32" i="11"/>
  <c r="U50" i="11"/>
  <c r="U14" i="11"/>
  <c r="U23" i="11"/>
  <c r="S10" i="11"/>
  <c r="R67" i="11"/>
  <c r="T62" i="11"/>
  <c r="Q9" i="11"/>
  <c r="P66" i="11"/>
  <c r="U5" i="11"/>
  <c r="E31" i="20" l="1"/>
  <c r="A33" i="20"/>
  <c r="F32" i="20"/>
  <c r="G32" i="20" s="1"/>
  <c r="B32" i="20"/>
  <c r="C32" i="20"/>
  <c r="U40" i="11" a="1"/>
  <c r="U40" i="11" s="1"/>
  <c r="U46" i="11" s="1"/>
  <c r="U31" i="11" a="1"/>
  <c r="U31" i="11" s="1"/>
  <c r="U37" i="11" s="1"/>
  <c r="U4" i="11" a="1"/>
  <c r="U4" i="11" s="1"/>
  <c r="U13" i="11" a="1"/>
  <c r="U13" i="11" s="1"/>
  <c r="U19" i="11" s="1"/>
  <c r="U49" i="11" a="1"/>
  <c r="U49" i="11" s="1"/>
  <c r="U55" i="11" s="1"/>
  <c r="U22" i="11" a="1"/>
  <c r="U22" i="11" s="1"/>
  <c r="U28" i="11" s="1"/>
  <c r="T10" i="11"/>
  <c r="S67" i="11"/>
  <c r="V74" i="11"/>
  <c r="V75" i="11" s="1"/>
  <c r="V41" i="11"/>
  <c r="V50" i="11"/>
  <c r="V32" i="11"/>
  <c r="V23" i="11"/>
  <c r="V14" i="11"/>
  <c r="T61" i="11"/>
  <c r="U62" i="11"/>
  <c r="R9" i="11"/>
  <c r="Q66" i="11"/>
  <c r="V5" i="11"/>
  <c r="D32" i="20" l="1"/>
  <c r="E32" i="20"/>
  <c r="A34" i="20"/>
  <c r="B33" i="20"/>
  <c r="C33" i="20"/>
  <c r="D33" i="20" s="1"/>
  <c r="F33" i="20"/>
  <c r="G33" i="20" s="1"/>
  <c r="V31" i="11" a="1"/>
  <c r="V31" i="11" s="1"/>
  <c r="V37" i="11" s="1"/>
  <c r="V4" i="11" a="1"/>
  <c r="V4" i="11" s="1"/>
  <c r="V13" i="11" a="1"/>
  <c r="V13" i="11" s="1"/>
  <c r="V19" i="11" s="1"/>
  <c r="V49" i="11" a="1"/>
  <c r="V49" i="11" s="1"/>
  <c r="V55" i="11" s="1"/>
  <c r="V22" i="11" a="1"/>
  <c r="V22" i="11" s="1"/>
  <c r="V28" i="11" s="1"/>
  <c r="V40" i="11" a="1"/>
  <c r="V40" i="11" s="1"/>
  <c r="V46" i="11" s="1"/>
  <c r="T67" i="11"/>
  <c r="U10" i="11"/>
  <c r="U61" i="11"/>
  <c r="W74" i="11"/>
  <c r="W75" i="11" s="1"/>
  <c r="W41" i="11"/>
  <c r="W42" i="11" s="1"/>
  <c r="W50" i="11"/>
  <c r="W32" i="11"/>
  <c r="W23" i="11"/>
  <c r="W14" i="11"/>
  <c r="V62" i="11"/>
  <c r="S9" i="11"/>
  <c r="R66" i="11"/>
  <c r="W5" i="11"/>
  <c r="E33" i="20" l="1"/>
  <c r="A35" i="20"/>
  <c r="F34" i="20"/>
  <c r="G34" i="20" s="1"/>
  <c r="C34" i="20"/>
  <c r="B34" i="20"/>
  <c r="W49" i="11" a="1"/>
  <c r="W49" i="11" s="1"/>
  <c r="W55" i="11" s="1"/>
  <c r="W22" i="11" a="1"/>
  <c r="W22" i="11" s="1"/>
  <c r="W28" i="11" s="1"/>
  <c r="W40" i="11" a="1"/>
  <c r="W40" i="11" s="1"/>
  <c r="W46" i="11" s="1"/>
  <c r="W31" i="11" a="1"/>
  <c r="W31" i="11" s="1"/>
  <c r="W37" i="11" s="1"/>
  <c r="W13" i="11" a="1"/>
  <c r="W13" i="11" s="1"/>
  <c r="W19" i="11" s="1"/>
  <c r="W4" i="11" a="1"/>
  <c r="W4" i="11" s="1"/>
  <c r="V10" i="11"/>
  <c r="U67" i="11"/>
  <c r="X74" i="11"/>
  <c r="X75" i="11" s="1"/>
  <c r="X41" i="11"/>
  <c r="X32" i="11"/>
  <c r="X50" i="11"/>
  <c r="X14" i="11"/>
  <c r="X23" i="11"/>
  <c r="V61" i="11"/>
  <c r="W62" i="11"/>
  <c r="T9" i="11"/>
  <c r="S66" i="11"/>
  <c r="X5" i="11"/>
  <c r="E34" i="20" l="1"/>
  <c r="D34" i="20"/>
  <c r="A36" i="20"/>
  <c r="B35" i="20"/>
  <c r="C35" i="20"/>
  <c r="F35" i="20"/>
  <c r="G35" i="20" s="1"/>
  <c r="W10" i="11"/>
  <c r="V67" i="11"/>
  <c r="X49" i="11" a="1"/>
  <c r="X49" i="11" s="1"/>
  <c r="X55" i="11" s="1"/>
  <c r="X22" i="11" a="1"/>
  <c r="X22" i="11" s="1"/>
  <c r="X28" i="11" s="1"/>
  <c r="X40" i="11" a="1"/>
  <c r="X40" i="11" s="1"/>
  <c r="X46" i="11" s="1"/>
  <c r="X31" i="11" a="1"/>
  <c r="X31" i="11" s="1"/>
  <c r="X37" i="11" s="1"/>
  <c r="X13" i="11" a="1"/>
  <c r="X13" i="11" s="1"/>
  <c r="X19" i="11" s="1"/>
  <c r="X4" i="11" a="1"/>
  <c r="X4" i="11" s="1"/>
  <c r="Y74" i="11"/>
  <c r="Y75" i="11" s="1"/>
  <c r="Y41" i="11"/>
  <c r="Y32" i="11"/>
  <c r="Y33" i="11" s="1"/>
  <c r="Y50" i="11"/>
  <c r="Y23" i="11"/>
  <c r="Y14" i="11"/>
  <c r="W61" i="11"/>
  <c r="X62" i="11"/>
  <c r="U9" i="11"/>
  <c r="T66" i="11"/>
  <c r="Y5" i="11"/>
  <c r="E35" i="20" l="1"/>
  <c r="D35" i="20"/>
  <c r="A37" i="20"/>
  <c r="B36" i="20"/>
  <c r="E36" i="20" s="1"/>
  <c r="C36" i="20"/>
  <c r="F36" i="20"/>
  <c r="G36" i="20" s="1"/>
  <c r="X61" i="11"/>
  <c r="Y40" i="11" a="1"/>
  <c r="Y40" i="11" s="1"/>
  <c r="Y46" i="11" s="1"/>
  <c r="Y31" i="11" a="1"/>
  <c r="Y31" i="11" s="1"/>
  <c r="Y37" i="11" s="1"/>
  <c r="Y13" i="11" a="1"/>
  <c r="Y13" i="11" s="1"/>
  <c r="Y19" i="11" s="1"/>
  <c r="Y4" i="11" a="1"/>
  <c r="Y4" i="11" s="1"/>
  <c r="Y49" i="11" a="1"/>
  <c r="Y49" i="11" s="1"/>
  <c r="Y55" i="11" s="1"/>
  <c r="Y22" i="11" a="1"/>
  <c r="Y22" i="11" s="1"/>
  <c r="Y28" i="11" s="1"/>
  <c r="X10" i="11"/>
  <c r="W67" i="11"/>
  <c r="Z74" i="11"/>
  <c r="Z75" i="11" s="1"/>
  <c r="Z41" i="11"/>
  <c r="Z32" i="11"/>
  <c r="Z50" i="11"/>
  <c r="Z23" i="11"/>
  <c r="Z14" i="11"/>
  <c r="Z15" i="11" s="1"/>
  <c r="Y62" i="11"/>
  <c r="V9" i="11"/>
  <c r="U66" i="11"/>
  <c r="Z5" i="11"/>
  <c r="D36" i="20" l="1"/>
  <c r="A38" i="20"/>
  <c r="C37" i="20"/>
  <c r="F37" i="20"/>
  <c r="G37" i="20" s="1"/>
  <c r="B37" i="20"/>
  <c r="X67" i="11"/>
  <c r="Y10" i="11"/>
  <c r="AA74" i="11"/>
  <c r="AA75" i="11" s="1"/>
  <c r="AA32" i="11"/>
  <c r="AA41" i="11"/>
  <c r="AA50" i="11"/>
  <c r="AA51" i="11" s="1"/>
  <c r="AA14" i="11"/>
  <c r="AA23" i="11"/>
  <c r="Z31" i="11" a="1"/>
  <c r="Z31" i="11" s="1"/>
  <c r="Z37" i="11" s="1"/>
  <c r="Z13" i="11" a="1"/>
  <c r="Z13" i="11" s="1"/>
  <c r="Z19" i="11" s="1"/>
  <c r="Z4" i="11" a="1"/>
  <c r="Z4" i="11" s="1"/>
  <c r="Z49" i="11" a="1"/>
  <c r="Z49" i="11" s="1"/>
  <c r="Z55" i="11" s="1"/>
  <c r="Z22" i="11" a="1"/>
  <c r="Z22" i="11" s="1"/>
  <c r="Z28" i="11" s="1"/>
  <c r="Z40" i="11" a="1"/>
  <c r="Z40" i="11" s="1"/>
  <c r="Z46" i="11" s="1"/>
  <c r="Y61" i="11"/>
  <c r="Z62" i="11"/>
  <c r="W9" i="11"/>
  <c r="V66" i="11"/>
  <c r="AA5" i="11"/>
  <c r="E37" i="20" l="1"/>
  <c r="D37" i="20"/>
  <c r="A39" i="20"/>
  <c r="B38" i="20"/>
  <c r="C38" i="20"/>
  <c r="F38" i="20"/>
  <c r="G38" i="20" s="1"/>
  <c r="AA49" i="11" a="1"/>
  <c r="AA49" i="11" s="1"/>
  <c r="AA55" i="11" s="1"/>
  <c r="AA22" i="11" a="1"/>
  <c r="AA22" i="11" s="1"/>
  <c r="AA28" i="11" s="1"/>
  <c r="AA40" i="11" a="1"/>
  <c r="AA40" i="11" s="1"/>
  <c r="AA46" i="11" s="1"/>
  <c r="AA31" i="11" a="1"/>
  <c r="AA31" i="11" s="1"/>
  <c r="AA37" i="11" s="1"/>
  <c r="AA13" i="11" a="1"/>
  <c r="AA13" i="11" s="1"/>
  <c r="AA19" i="11" s="1"/>
  <c r="AA4" i="11" a="1"/>
  <c r="AA4" i="11" s="1"/>
  <c r="Z61" i="11"/>
  <c r="Y67" i="11"/>
  <c r="Z10" i="11"/>
  <c r="AB74" i="11"/>
  <c r="AB75" i="11" s="1"/>
  <c r="AB41" i="11"/>
  <c r="AB32" i="11"/>
  <c r="AB50" i="11"/>
  <c r="AB14" i="11"/>
  <c r="AB23" i="11"/>
  <c r="AA62" i="11"/>
  <c r="X9" i="11"/>
  <c r="W66" i="11"/>
  <c r="AB5" i="11"/>
  <c r="E38" i="20" l="1"/>
  <c r="D38" i="20"/>
  <c r="A40" i="20"/>
  <c r="C39" i="20"/>
  <c r="F39" i="20"/>
  <c r="G39" i="20" s="1"/>
  <c r="B39" i="20"/>
  <c r="AB22" i="11" a="1"/>
  <c r="AB22" i="11" s="1"/>
  <c r="AB28" i="11" s="1"/>
  <c r="AB40" i="11" a="1"/>
  <c r="AB40" i="11" s="1"/>
  <c r="AB46" i="11" s="1"/>
  <c r="AB31" i="11" a="1"/>
  <c r="AB31" i="11" s="1"/>
  <c r="AB37" i="11" s="1"/>
  <c r="AB13" i="11" a="1"/>
  <c r="AB13" i="11" s="1"/>
  <c r="AB19" i="11" s="1"/>
  <c r="AB4" i="11" a="1"/>
  <c r="AB4" i="11" s="1"/>
  <c r="AB49" i="11" a="1"/>
  <c r="AB49" i="11" s="1"/>
  <c r="AB55" i="11" s="1"/>
  <c r="AA10" i="11"/>
  <c r="Z67" i="11"/>
  <c r="AA61" i="11"/>
  <c r="AC74" i="11"/>
  <c r="AC75" i="11" s="1"/>
  <c r="AC41" i="11"/>
  <c r="AC50" i="11"/>
  <c r="AC32" i="11"/>
  <c r="AC14" i="11"/>
  <c r="AC23" i="11"/>
  <c r="AB62" i="11"/>
  <c r="Y9" i="11"/>
  <c r="X66" i="11"/>
  <c r="AC5" i="11"/>
  <c r="E39" i="20" l="1"/>
  <c r="D39" i="20"/>
  <c r="A41" i="20"/>
  <c r="B40" i="20"/>
  <c r="C40" i="20"/>
  <c r="D40" i="20" s="1"/>
  <c r="F40" i="20"/>
  <c r="G40" i="20" s="1"/>
  <c r="AC31" i="11" a="1"/>
  <c r="AC31" i="11" s="1"/>
  <c r="AC37" i="11" s="1"/>
  <c r="AC13" i="11" a="1"/>
  <c r="AC13" i="11" s="1"/>
  <c r="AC19" i="11" s="1"/>
  <c r="AC4" i="11" a="1"/>
  <c r="AC4" i="11" s="1"/>
  <c r="AC49" i="11" a="1"/>
  <c r="AC49" i="11" s="1"/>
  <c r="AC55" i="11" s="1"/>
  <c r="AC40" i="11" a="1"/>
  <c r="AC40" i="11" s="1"/>
  <c r="AC46" i="11" s="1"/>
  <c r="AC22" i="11" a="1"/>
  <c r="AC22" i="11" s="1"/>
  <c r="AC28" i="11" s="1"/>
  <c r="AB10" i="11"/>
  <c r="AA67" i="11"/>
  <c r="AD74" i="11"/>
  <c r="AD75" i="11" s="1"/>
  <c r="AD41" i="11"/>
  <c r="AD32" i="11"/>
  <c r="AD50" i="11"/>
  <c r="AD14" i="11"/>
  <c r="AD23" i="11"/>
  <c r="AB61" i="11"/>
  <c r="AC62" i="11"/>
  <c r="Z9" i="11"/>
  <c r="Y66" i="11"/>
  <c r="AD5" i="11"/>
  <c r="E40" i="20" l="1"/>
  <c r="A42" i="20"/>
  <c r="C41" i="20"/>
  <c r="F41" i="20"/>
  <c r="G41" i="20" s="1"/>
  <c r="B41" i="20"/>
  <c r="E41" i="20" s="1"/>
  <c r="AD31" i="11" a="1"/>
  <c r="AD31" i="11" s="1"/>
  <c r="AD37" i="11" s="1"/>
  <c r="AD13" i="11" a="1"/>
  <c r="AD13" i="11" s="1"/>
  <c r="AD4" i="11" a="1"/>
  <c r="AD4" i="11" s="1"/>
  <c r="AD49" i="11" a="1"/>
  <c r="AD49" i="11" s="1"/>
  <c r="AD55" i="11" s="1"/>
  <c r="AD40" i="11" a="1"/>
  <c r="AD40" i="11" s="1"/>
  <c r="AD46" i="11" s="1"/>
  <c r="AD22" i="11" a="1"/>
  <c r="AD22" i="11" s="1"/>
  <c r="AD28" i="11" s="1"/>
  <c r="AE74" i="11"/>
  <c r="AE75" i="11" s="1"/>
  <c r="AE32" i="11"/>
  <c r="AE41" i="11"/>
  <c r="AE50" i="11"/>
  <c r="AE23" i="11"/>
  <c r="AE14" i="11"/>
  <c r="AC61" i="11"/>
  <c r="AB67" i="11"/>
  <c r="AC10" i="11"/>
  <c r="AD62" i="11"/>
  <c r="AA9" i="11"/>
  <c r="Z66" i="11"/>
  <c r="AE5" i="11"/>
  <c r="D41" i="20" l="1"/>
  <c r="A43" i="20"/>
  <c r="B42" i="20"/>
  <c r="C42" i="20"/>
  <c r="D42" i="20" s="1"/>
  <c r="F42" i="20"/>
  <c r="G42" i="20" s="1"/>
  <c r="AE13" i="11" a="1"/>
  <c r="AE13" i="11" s="1"/>
  <c r="AF74" i="11"/>
  <c r="AF75" i="11" s="1"/>
  <c r="AF32" i="11"/>
  <c r="AF41" i="11"/>
  <c r="AF42" i="11" s="1"/>
  <c r="AF50" i="11"/>
  <c r="AF14" i="11"/>
  <c r="AF23" i="11"/>
  <c r="AE40" i="11" a="1"/>
  <c r="AE40" i="11" s="1"/>
  <c r="AC67" i="11"/>
  <c r="AD10" i="11"/>
  <c r="AE49" i="11" a="1"/>
  <c r="AE49" i="11" s="1"/>
  <c r="AE31" i="11" a="1"/>
  <c r="AE31" i="11" s="1"/>
  <c r="AE37" i="11" s="1"/>
  <c r="AD19" i="11"/>
  <c r="AE22" i="11" a="1"/>
  <c r="AE22" i="11" s="1"/>
  <c r="AE28" i="11" s="1"/>
  <c r="AE4" i="11" a="1"/>
  <c r="AE4" i="11" s="1"/>
  <c r="AD61" i="11"/>
  <c r="AB9" i="11"/>
  <c r="AA66" i="11"/>
  <c r="AE62" i="11"/>
  <c r="AF5" i="11"/>
  <c r="E42" i="20" l="1"/>
  <c r="A44" i="20"/>
  <c r="B43" i="20"/>
  <c r="C43" i="20"/>
  <c r="F43" i="20"/>
  <c r="G43" i="20" s="1"/>
  <c r="AE19" i="11"/>
  <c r="AF22" i="11" a="1"/>
  <c r="AF22" i="11" s="1"/>
  <c r="AF40" i="11" a="1"/>
  <c r="AF40" i="11" s="1"/>
  <c r="AG74" i="11"/>
  <c r="AG75" i="11" s="1"/>
  <c r="AG32" i="11"/>
  <c r="AG41" i="11"/>
  <c r="AG50" i="11"/>
  <c r="AG23" i="11"/>
  <c r="AG14" i="11"/>
  <c r="AF49" i="11" a="1"/>
  <c r="AF49" i="11" s="1"/>
  <c r="AD67" i="11"/>
  <c r="AE10" i="11"/>
  <c r="AE55" i="11"/>
  <c r="AF31" i="11" a="1"/>
  <c r="AF31" i="11" s="1"/>
  <c r="AF4" i="11" a="1"/>
  <c r="AF4" i="11" s="1"/>
  <c r="AE61" i="11"/>
  <c r="AE46" i="11"/>
  <c r="AF13" i="11" a="1"/>
  <c r="AF13" i="11" s="1"/>
  <c r="AF62" i="11"/>
  <c r="AC9" i="11"/>
  <c r="AB66" i="11"/>
  <c r="AG5" i="11"/>
  <c r="E43" i="20" l="1"/>
  <c r="A45" i="20"/>
  <c r="B44" i="20"/>
  <c r="C44" i="20"/>
  <c r="F44" i="20"/>
  <c r="G44" i="20" s="1"/>
  <c r="D43" i="20"/>
  <c r="AF19" i="11"/>
  <c r="AF46" i="11"/>
  <c r="AF55" i="11"/>
  <c r="AG4" i="11" a="1"/>
  <c r="AG4" i="11" s="1"/>
  <c r="AF61" i="11"/>
  <c r="AE67" i="11"/>
  <c r="AF10" i="11"/>
  <c r="AG40" i="11" a="1"/>
  <c r="AG40" i="11" s="1"/>
  <c r="AH74" i="11"/>
  <c r="AH75" i="11" s="1"/>
  <c r="AH41" i="11"/>
  <c r="AH32" i="11"/>
  <c r="AH33" i="11" s="1"/>
  <c r="AH50" i="11"/>
  <c r="AH14" i="11"/>
  <c r="AH23" i="11"/>
  <c r="AG22" i="11" a="1"/>
  <c r="AG22" i="11" s="1"/>
  <c r="AG13" i="11" a="1"/>
  <c r="AG13" i="11" s="1"/>
  <c r="AG31" i="11" a="1"/>
  <c r="AG31" i="11" s="1"/>
  <c r="AG49" i="11" a="1"/>
  <c r="AG49" i="11" s="1"/>
  <c r="AF28" i="11"/>
  <c r="AF37" i="11"/>
  <c r="AD9" i="11"/>
  <c r="AC66" i="11"/>
  <c r="AG62" i="11"/>
  <c r="AH5" i="11"/>
  <c r="E44" i="20" l="1"/>
  <c r="D44" i="20"/>
  <c r="A46" i="20"/>
  <c r="B45" i="20"/>
  <c r="C45" i="20"/>
  <c r="F45" i="20"/>
  <c r="G45" i="20" s="1"/>
  <c r="AG55" i="11"/>
  <c r="AG46" i="11"/>
  <c r="AI74" i="11"/>
  <c r="AI75" i="11" s="1"/>
  <c r="AI32" i="11"/>
  <c r="AI41" i="11"/>
  <c r="AI50" i="11"/>
  <c r="AI23" i="11"/>
  <c r="AI14" i="11"/>
  <c r="AI15" i="11" s="1"/>
  <c r="AG37" i="11"/>
  <c r="AH13" i="11" a="1"/>
  <c r="AH13" i="11" s="1"/>
  <c r="AH40" i="11" a="1"/>
  <c r="AH40" i="11" s="1"/>
  <c r="AH4" i="11" a="1"/>
  <c r="AH4" i="11" s="1"/>
  <c r="AG61" i="11"/>
  <c r="AH31" i="11" a="1"/>
  <c r="AH31" i="11" s="1"/>
  <c r="AH22" i="11" a="1"/>
  <c r="AH22" i="11" s="1"/>
  <c r="AG28" i="11"/>
  <c r="AH49" i="11" a="1"/>
  <c r="AH49" i="11" s="1"/>
  <c r="AG10" i="11"/>
  <c r="AF67" i="11"/>
  <c r="AG19" i="11"/>
  <c r="AH62" i="11"/>
  <c r="AE9" i="11"/>
  <c r="AD66" i="11"/>
  <c r="AI5" i="11"/>
  <c r="E45" i="20" l="1"/>
  <c r="D45" i="20"/>
  <c r="A47" i="20"/>
  <c r="F46" i="20"/>
  <c r="G46" i="20" s="1"/>
  <c r="C46" i="20"/>
  <c r="B46" i="20"/>
  <c r="E46" i="20" s="1"/>
  <c r="AH37" i="11"/>
  <c r="AI49" i="11" a="1"/>
  <c r="AI49" i="11" s="1"/>
  <c r="AI13" i="11" a="1"/>
  <c r="AI13" i="11" s="1"/>
  <c r="AG67" i="11"/>
  <c r="AH10" i="11"/>
  <c r="AH28" i="11"/>
  <c r="AI4" i="11" a="1"/>
  <c r="AI4" i="11" s="1"/>
  <c r="AH61" i="11"/>
  <c r="AI40" i="11" a="1"/>
  <c r="AI40" i="11" s="1"/>
  <c r="AH55" i="11"/>
  <c r="AH19" i="11"/>
  <c r="AI22" i="11" a="1"/>
  <c r="AI22" i="11" s="1"/>
  <c r="AJ74" i="11"/>
  <c r="AJ75" i="11" s="1"/>
  <c r="AJ32" i="11"/>
  <c r="AJ50" i="11"/>
  <c r="AJ51" i="11" s="1"/>
  <c r="AJ41" i="11"/>
  <c r="AJ23" i="11"/>
  <c r="AJ14" i="11"/>
  <c r="AI31" i="11" a="1"/>
  <c r="AI31" i="11" s="1"/>
  <c r="AH46" i="11"/>
  <c r="AF9" i="11"/>
  <c r="AE66" i="11"/>
  <c r="AI62" i="11"/>
  <c r="AJ5" i="11"/>
  <c r="D46" i="20" l="1"/>
  <c r="A48" i="20"/>
  <c r="B47" i="20"/>
  <c r="C47" i="20"/>
  <c r="F47" i="20"/>
  <c r="G47" i="20" s="1"/>
  <c r="AI37" i="11"/>
  <c r="AI46" i="11"/>
  <c r="AI55" i="11"/>
  <c r="AI19" i="11"/>
  <c r="AJ22" i="11" a="1"/>
  <c r="AJ22" i="11" s="1"/>
  <c r="AJ4" i="11" a="1"/>
  <c r="AJ4" i="11" s="1"/>
  <c r="AI61" i="11"/>
  <c r="AJ40" i="11" a="1"/>
  <c r="AJ40" i="11" s="1"/>
  <c r="AI28" i="11"/>
  <c r="AJ13" i="11" a="1"/>
  <c r="AJ13" i="11" s="1"/>
  <c r="AH67" i="11"/>
  <c r="AI10" i="11"/>
  <c r="AJ49" i="11" a="1"/>
  <c r="AJ49" i="11" s="1"/>
  <c r="AJ31" i="11" a="1"/>
  <c r="AJ31" i="11" s="1"/>
  <c r="AK74" i="11"/>
  <c r="AK75" i="11" s="1"/>
  <c r="AK32" i="11"/>
  <c r="AK41" i="11"/>
  <c r="AK50" i="11"/>
  <c r="AK14" i="11"/>
  <c r="AK23" i="11"/>
  <c r="AJ62" i="11"/>
  <c r="AG9" i="11"/>
  <c r="AF66" i="11"/>
  <c r="AK5" i="11"/>
  <c r="AJ28" i="11" l="1"/>
  <c r="E47" i="20"/>
  <c r="D47" i="20"/>
  <c r="A49" i="20"/>
  <c r="F48" i="20"/>
  <c r="G48" i="20" s="1"/>
  <c r="B48" i="20"/>
  <c r="C48" i="20"/>
  <c r="AJ55" i="11"/>
  <c r="AJ37" i="11"/>
  <c r="AJ19" i="11"/>
  <c r="AK49" i="11" a="1"/>
  <c r="AK49" i="11" s="1"/>
  <c r="AK4" i="11" a="1"/>
  <c r="AK4" i="11" s="1"/>
  <c r="AJ61" i="11"/>
  <c r="AK31" i="11" a="1"/>
  <c r="AK31" i="11" s="1"/>
  <c r="AK13" i="11" a="1"/>
  <c r="AK13" i="11" s="1"/>
  <c r="AI67" i="11"/>
  <c r="AJ10" i="11"/>
  <c r="AK40" i="11" a="1"/>
  <c r="AK40" i="11" s="1"/>
  <c r="AL74" i="11"/>
  <c r="AL75" i="11" s="1"/>
  <c r="AL41" i="11"/>
  <c r="AL50" i="11"/>
  <c r="AL32" i="11"/>
  <c r="AL23" i="11"/>
  <c r="AL14" i="11"/>
  <c r="AJ46" i="11"/>
  <c r="AK22" i="11" a="1"/>
  <c r="AK22" i="11" s="1"/>
  <c r="AH9" i="11"/>
  <c r="AG66" i="11"/>
  <c r="AK62" i="11"/>
  <c r="AL5" i="11"/>
  <c r="E48" i="20" l="1"/>
  <c r="AK28" i="11"/>
  <c r="D48" i="20"/>
  <c r="A50" i="20"/>
  <c r="B49" i="20"/>
  <c r="C49" i="20"/>
  <c r="F49" i="20"/>
  <c r="G49" i="20" s="1"/>
  <c r="AK55" i="11"/>
  <c r="AK46" i="11"/>
  <c r="AL4" i="11" a="1"/>
  <c r="AL4" i="11" s="1"/>
  <c r="AK61" i="11"/>
  <c r="AM74" i="11"/>
  <c r="AM75" i="11" s="1"/>
  <c r="AM41" i="11"/>
  <c r="AM32" i="11"/>
  <c r="AM50" i="11"/>
  <c r="AM23" i="11"/>
  <c r="AM14" i="11"/>
  <c r="AL40" i="11" a="1"/>
  <c r="AL40" i="11" s="1"/>
  <c r="AL13" i="11" a="1"/>
  <c r="AL13" i="11" s="1"/>
  <c r="AK19" i="11"/>
  <c r="AK10" i="11"/>
  <c r="AJ67" i="11"/>
  <c r="AL22" i="11" a="1"/>
  <c r="AL22" i="11" s="1"/>
  <c r="AL31" i="11" a="1"/>
  <c r="AL31" i="11" s="1"/>
  <c r="AL49" i="11" a="1"/>
  <c r="AL49" i="11" s="1"/>
  <c r="AK37" i="11"/>
  <c r="AL62" i="11"/>
  <c r="AI9" i="11"/>
  <c r="AH66" i="11"/>
  <c r="AM5" i="11"/>
  <c r="E49" i="20" l="1"/>
  <c r="A51" i="20"/>
  <c r="B50" i="20"/>
  <c r="C50" i="20"/>
  <c r="F50" i="20"/>
  <c r="G50" i="20" s="1"/>
  <c r="D49" i="20"/>
  <c r="AL55" i="11"/>
  <c r="AL19" i="11"/>
  <c r="AM40" i="11" a="1"/>
  <c r="AM40" i="11" s="1"/>
  <c r="AN74" i="11"/>
  <c r="AN75" i="11" s="1"/>
  <c r="AN41" i="11"/>
  <c r="AN32" i="11"/>
  <c r="AN50" i="11"/>
  <c r="AN14" i="11"/>
  <c r="AN23" i="11"/>
  <c r="AK67" i="11"/>
  <c r="AL10" i="11"/>
  <c r="AL46" i="11"/>
  <c r="AL37" i="11"/>
  <c r="AM31" i="11" a="1"/>
  <c r="AM31" i="11" s="1"/>
  <c r="AM22" i="11" a="1"/>
  <c r="AM22" i="11" s="1"/>
  <c r="AM49" i="11" a="1"/>
  <c r="AM49" i="11" s="1"/>
  <c r="AM13" i="11" a="1"/>
  <c r="AM13" i="11" s="1"/>
  <c r="AM4" i="11" a="1"/>
  <c r="AM4" i="11" s="1"/>
  <c r="AL61" i="11"/>
  <c r="AL28" i="11"/>
  <c r="AJ9" i="11"/>
  <c r="AI66" i="11"/>
  <c r="AM62" i="11"/>
  <c r="AN5" i="11"/>
  <c r="E50" i="20" l="1"/>
  <c r="D50" i="20"/>
  <c r="A52" i="20"/>
  <c r="C51" i="20"/>
  <c r="F51" i="20"/>
  <c r="G51" i="20" s="1"/>
  <c r="B51" i="20"/>
  <c r="E51" i="20" s="1"/>
  <c r="AM28" i="11"/>
  <c r="AM46" i="11"/>
  <c r="AM37" i="11"/>
  <c r="AN4" i="11" a="1"/>
  <c r="AN4" i="11" s="1"/>
  <c r="AM61" i="11"/>
  <c r="AN22" i="11" a="1"/>
  <c r="AN22" i="11" s="1"/>
  <c r="AN40" i="11" a="1"/>
  <c r="AN40" i="11" s="1"/>
  <c r="AO74" i="11"/>
  <c r="AO75" i="11" s="1"/>
  <c r="AO32" i="11"/>
  <c r="AO41" i="11"/>
  <c r="AO50" i="11"/>
  <c r="AO14" i="11"/>
  <c r="AO23" i="11"/>
  <c r="AN13" i="11" a="1"/>
  <c r="AN13" i="11" s="1"/>
  <c r="AN31" i="11" a="1"/>
  <c r="AN31" i="11" s="1"/>
  <c r="AN49" i="11" a="1"/>
  <c r="AN49" i="11" s="1"/>
  <c r="AM19" i="11"/>
  <c r="AM10" i="11"/>
  <c r="AL67" i="11"/>
  <c r="AM55" i="11"/>
  <c r="AN62" i="11"/>
  <c r="AK9" i="11"/>
  <c r="AJ66" i="11"/>
  <c r="AO5" i="11"/>
  <c r="D51" i="20" l="1"/>
  <c r="A53" i="20"/>
  <c r="B52" i="20"/>
  <c r="C52" i="20"/>
  <c r="F52" i="20"/>
  <c r="G52" i="20" s="1"/>
  <c r="AN28" i="11"/>
  <c r="AN46" i="11"/>
  <c r="AN19" i="11"/>
  <c r="AN37" i="11"/>
  <c r="AO49" i="11" a="1"/>
  <c r="AO49" i="11" s="1"/>
  <c r="AO40" i="11" a="1"/>
  <c r="AO40" i="11" s="1"/>
  <c r="AO22" i="11" a="1"/>
  <c r="AO22" i="11" s="1"/>
  <c r="AN10" i="11"/>
  <c r="AM67" i="11"/>
  <c r="AP74" i="11"/>
  <c r="AP75" i="11" s="1"/>
  <c r="AP41" i="11"/>
  <c r="AP42" i="11" s="1"/>
  <c r="AP50" i="11"/>
  <c r="AP32" i="11"/>
  <c r="AP23" i="11"/>
  <c r="AP14" i="11"/>
  <c r="AN55" i="11"/>
  <c r="AO31" i="11" a="1"/>
  <c r="AO31" i="11" s="1"/>
  <c r="AO4" i="11" a="1"/>
  <c r="AO4" i="11" s="1"/>
  <c r="AN61" i="11"/>
  <c r="AO13" i="11" a="1"/>
  <c r="AO13" i="11" s="1"/>
  <c r="AO62" i="11"/>
  <c r="AL9" i="11"/>
  <c r="AK66" i="11"/>
  <c r="AP5" i="11"/>
  <c r="E52" i="20" l="1"/>
  <c r="D52" i="20"/>
  <c r="A54" i="20"/>
  <c r="C53" i="20"/>
  <c r="F53" i="20"/>
  <c r="G53" i="20" s="1"/>
  <c r="B53" i="20"/>
  <c r="E53" i="20" s="1"/>
  <c r="AO28" i="11"/>
  <c r="AO46" i="11"/>
  <c r="AO19" i="11"/>
  <c r="AO55" i="11"/>
  <c r="AP31" i="11" a="1"/>
  <c r="AP31" i="11" s="1"/>
  <c r="AN67" i="11"/>
  <c r="AO10" i="11"/>
  <c r="AO37" i="11"/>
  <c r="AP22" i="11" a="1"/>
  <c r="AP22" i="11" s="1"/>
  <c r="AQ74" i="11"/>
  <c r="AQ75" i="11" s="1"/>
  <c r="AQ41" i="11"/>
  <c r="AQ32" i="11"/>
  <c r="AQ33" i="11" s="1"/>
  <c r="AQ50" i="11"/>
  <c r="AQ14" i="11"/>
  <c r="AQ23" i="11"/>
  <c r="AP40" i="11" a="1"/>
  <c r="AP40" i="11" s="1"/>
  <c r="AP49" i="11" a="1"/>
  <c r="AP49" i="11" s="1"/>
  <c r="AP4" i="11" a="1"/>
  <c r="AP4" i="11" s="1"/>
  <c r="AO61" i="11"/>
  <c r="AP13" i="11" a="1"/>
  <c r="AP13" i="11" s="1"/>
  <c r="AM9" i="11"/>
  <c r="AL66" i="11"/>
  <c r="AP62" i="11"/>
  <c r="AQ5" i="11"/>
  <c r="D53" i="20" l="1"/>
  <c r="A55" i="20"/>
  <c r="B54" i="20"/>
  <c r="C54" i="20"/>
  <c r="D54" i="20" s="1"/>
  <c r="F54" i="20"/>
  <c r="G54" i="20" s="1"/>
  <c r="AP28" i="11"/>
  <c r="AP46" i="11"/>
  <c r="AP55" i="11"/>
  <c r="AQ13" i="11" a="1"/>
  <c r="AQ13" i="11" s="1"/>
  <c r="AQ31" i="11" a="1"/>
  <c r="AQ31" i="11" s="1"/>
  <c r="AQ40" i="11" a="1"/>
  <c r="AQ40" i="11" s="1"/>
  <c r="AR74" i="11"/>
  <c r="AR75" i="11" s="1"/>
  <c r="AR41" i="11"/>
  <c r="AR32" i="11"/>
  <c r="AR50" i="11"/>
  <c r="AR14" i="11"/>
  <c r="AR23" i="11"/>
  <c r="AQ4" i="11" a="1"/>
  <c r="AQ4" i="11" s="1"/>
  <c r="AP61" i="11"/>
  <c r="AQ22" i="11" a="1"/>
  <c r="AQ22" i="11" s="1"/>
  <c r="AP10" i="11"/>
  <c r="AO67" i="11"/>
  <c r="AQ49" i="11" a="1"/>
  <c r="AQ49" i="11" s="1"/>
  <c r="AP37" i="11"/>
  <c r="AP19" i="11"/>
  <c r="AQ62" i="11"/>
  <c r="AN9" i="11"/>
  <c r="AM66" i="11"/>
  <c r="AR5" i="11"/>
  <c r="AR15" i="11" l="1"/>
  <c r="AQ37" i="11"/>
  <c r="E54" i="20"/>
  <c r="A56" i="20"/>
  <c r="B55" i="20"/>
  <c r="E55" i="20" s="1"/>
  <c r="C55" i="20"/>
  <c r="D55" i="20" s="1"/>
  <c r="F55" i="20"/>
  <c r="G55" i="20" s="1"/>
  <c r="AQ46" i="11"/>
  <c r="AQ28" i="11"/>
  <c r="AQ19" i="11"/>
  <c r="AQ10" i="11"/>
  <c r="AP67" i="11"/>
  <c r="AR49" i="11" a="1"/>
  <c r="AR49" i="11" s="1"/>
  <c r="AR22" i="11" a="1"/>
  <c r="AR22" i="11" s="1"/>
  <c r="AQ55" i="11"/>
  <c r="AR31" i="11" a="1"/>
  <c r="AR31" i="11" s="1"/>
  <c r="AR4" i="11" a="1"/>
  <c r="AR4" i="11" s="1"/>
  <c r="AQ61" i="11"/>
  <c r="AS74" i="11"/>
  <c r="AS75" i="11" s="1"/>
  <c r="AS50" i="11"/>
  <c r="AS41" i="11"/>
  <c r="AS32" i="11"/>
  <c r="AS33" i="11" s="1"/>
  <c r="AS23" i="11"/>
  <c r="AS14" i="11"/>
  <c r="AR40" i="11" a="1"/>
  <c r="AR40" i="11" s="1"/>
  <c r="AR13" i="11" a="1"/>
  <c r="AR13" i="11" s="1"/>
  <c r="AR62" i="11"/>
  <c r="AO9" i="11"/>
  <c r="AN66" i="11"/>
  <c r="AS5" i="11"/>
  <c r="AR37" i="11" l="1"/>
  <c r="A57" i="20"/>
  <c r="B56" i="20"/>
  <c r="C56" i="20"/>
  <c r="F56" i="20"/>
  <c r="G56" i="20" s="1"/>
  <c r="AR46" i="11"/>
  <c r="AR28" i="11"/>
  <c r="AR19" i="11"/>
  <c r="AS49" i="11" a="1"/>
  <c r="AS49" i="11" s="1"/>
  <c r="AQ67" i="11"/>
  <c r="AR10" i="11"/>
  <c r="AS31" i="11" a="1"/>
  <c r="AS31" i="11" s="1"/>
  <c r="AR55" i="11"/>
  <c r="AS13" i="11" a="1"/>
  <c r="AS13" i="11" s="1"/>
  <c r="AT74" i="11"/>
  <c r="AT75" i="11" s="1"/>
  <c r="AT41" i="11"/>
  <c r="AT50" i="11"/>
  <c r="AT32" i="11"/>
  <c r="AT14" i="11"/>
  <c r="AT23" i="11"/>
  <c r="AS40" i="11" a="1"/>
  <c r="AS40" i="11" s="1"/>
  <c r="AS4" i="11" a="1"/>
  <c r="AS4" i="11" s="1"/>
  <c r="AR61" i="11"/>
  <c r="AS22" i="11" a="1"/>
  <c r="AS22" i="11" s="1"/>
  <c r="AS62" i="11"/>
  <c r="AP9" i="11"/>
  <c r="AO66" i="11"/>
  <c r="AT5" i="11"/>
  <c r="AT51" i="11" l="1"/>
  <c r="E56" i="20"/>
  <c r="AS37" i="11"/>
  <c r="D56" i="20"/>
  <c r="A58" i="20"/>
  <c r="B57" i="20"/>
  <c r="C57" i="20"/>
  <c r="F57" i="20"/>
  <c r="G57" i="20" s="1"/>
  <c r="AS46" i="11"/>
  <c r="AS28" i="11"/>
  <c r="AS19" i="11"/>
  <c r="AS55" i="11"/>
  <c r="AS10" i="11"/>
  <c r="AR67" i="11"/>
  <c r="AU74" i="11"/>
  <c r="AU75" i="11" s="1"/>
  <c r="AU32" i="11"/>
  <c r="AU41" i="11"/>
  <c r="AU50" i="11"/>
  <c r="AU23" i="11"/>
  <c r="AU14" i="11"/>
  <c r="AT31" i="11" a="1"/>
  <c r="AT31" i="11" s="1"/>
  <c r="AT49" i="11" a="1"/>
  <c r="AT49" i="11" s="1"/>
  <c r="AT22" i="11" a="1"/>
  <c r="AT22" i="11" s="1"/>
  <c r="AT40" i="11" a="1"/>
  <c r="AT40" i="11" s="1"/>
  <c r="AT4" i="11" a="1"/>
  <c r="AT4" i="11" s="1"/>
  <c r="AS61" i="11"/>
  <c r="AT13" i="11" a="1"/>
  <c r="AT13" i="11" s="1"/>
  <c r="AT62" i="11"/>
  <c r="AQ9" i="11"/>
  <c r="AP66" i="11"/>
  <c r="AU5" i="11"/>
  <c r="E57" i="20" l="1"/>
  <c r="D57" i="20"/>
  <c r="A59" i="20"/>
  <c r="C58" i="20"/>
  <c r="F58" i="20"/>
  <c r="G58" i="20" s="1"/>
  <c r="B58" i="20"/>
  <c r="AT19" i="11"/>
  <c r="AT55" i="11"/>
  <c r="AU13" i="11" a="1"/>
  <c r="AU13" i="11" s="1"/>
  <c r="AU22" i="11" a="1"/>
  <c r="AU22" i="11" s="1"/>
  <c r="AU40" i="11" a="1"/>
  <c r="AU40" i="11" s="1"/>
  <c r="AV74" i="11"/>
  <c r="AV75" i="11" s="1"/>
  <c r="AV32" i="11"/>
  <c r="AV41" i="11"/>
  <c r="AV50" i="11"/>
  <c r="AV23" i="11"/>
  <c r="AV24" i="11" s="1"/>
  <c r="AV14" i="11"/>
  <c r="AU49" i="11" a="1"/>
  <c r="AU49" i="11" s="1"/>
  <c r="AS67" i="11"/>
  <c r="AT10" i="11"/>
  <c r="AT28" i="11"/>
  <c r="AU4" i="11" a="1"/>
  <c r="AU4" i="11" s="1"/>
  <c r="AT61" i="11"/>
  <c r="AU31" i="11" a="1"/>
  <c r="AU31" i="11" s="1"/>
  <c r="AT37" i="11"/>
  <c r="AT46" i="11"/>
  <c r="AU62" i="11"/>
  <c r="AR9" i="11"/>
  <c r="AQ66" i="11"/>
  <c r="AV5" i="11"/>
  <c r="E58" i="20" l="1"/>
  <c r="A60" i="20"/>
  <c r="B59" i="20"/>
  <c r="C59" i="20"/>
  <c r="D59" i="20" s="1"/>
  <c r="F59" i="20"/>
  <c r="G59" i="20" s="1"/>
  <c r="D58" i="20"/>
  <c r="AU55" i="11"/>
  <c r="AU46" i="11"/>
  <c r="AU28" i="11"/>
  <c r="AU37" i="11"/>
  <c r="AW74" i="11"/>
  <c r="AW75" i="11" s="1"/>
  <c r="AW41" i="11"/>
  <c r="AW32" i="11"/>
  <c r="AW50" i="11"/>
  <c r="AW14" i="11"/>
  <c r="AW23" i="11"/>
  <c r="AV31" i="11" a="1"/>
  <c r="AV31" i="11" s="1"/>
  <c r="AV22" i="11" a="1"/>
  <c r="AV22" i="11" s="1"/>
  <c r="AV49" i="11" a="1"/>
  <c r="AV49" i="11" s="1"/>
  <c r="AU10" i="11"/>
  <c r="AT67" i="11"/>
  <c r="AV13" i="11" a="1"/>
  <c r="AV13" i="11" s="1"/>
  <c r="AV4" i="11" a="1"/>
  <c r="AV4" i="11" s="1"/>
  <c r="AU61" i="11"/>
  <c r="AV40" i="11" a="1"/>
  <c r="AV40" i="11" s="1"/>
  <c r="AU19" i="11"/>
  <c r="AV62" i="11"/>
  <c r="AS9" i="11"/>
  <c r="AR66" i="11"/>
  <c r="AW5" i="11"/>
  <c r="E59" i="20" l="1"/>
  <c r="A61" i="20"/>
  <c r="F60" i="20"/>
  <c r="G60" i="20" s="1"/>
  <c r="B60" i="20"/>
  <c r="E60" i="20" s="1"/>
  <c r="C60" i="20"/>
  <c r="AV37" i="11"/>
  <c r="AV28" i="11"/>
  <c r="AW31" i="11" a="1"/>
  <c r="AW31" i="11" s="1"/>
  <c r="AW13" i="11" a="1"/>
  <c r="AW13" i="11" s="1"/>
  <c r="AW49" i="11" a="1"/>
  <c r="AW49" i="11" s="1"/>
  <c r="AW4" i="11" a="1"/>
  <c r="AW4" i="11" s="1"/>
  <c r="AV61" i="11"/>
  <c r="AX74" i="11"/>
  <c r="AX75" i="11" s="1"/>
  <c r="AX41" i="11"/>
  <c r="AX32" i="11"/>
  <c r="AX50" i="11"/>
  <c r="AX14" i="11"/>
  <c r="AX23" i="11"/>
  <c r="AV19" i="11"/>
  <c r="AV10" i="11"/>
  <c r="AU67" i="11"/>
  <c r="AW22" i="11" a="1"/>
  <c r="AW22" i="11" s="1"/>
  <c r="AV55" i="11"/>
  <c r="AW40" i="11" a="1"/>
  <c r="AW40" i="11" s="1"/>
  <c r="AV46" i="11"/>
  <c r="AT9" i="11"/>
  <c r="AS66" i="11"/>
  <c r="AW62" i="11"/>
  <c r="AX5" i="11"/>
  <c r="D60" i="20" l="1"/>
  <c r="A62" i="20"/>
  <c r="B61" i="20"/>
  <c r="C61" i="20"/>
  <c r="F61" i="20"/>
  <c r="G61" i="20" s="1"/>
  <c r="AW55" i="11"/>
  <c r="AW37" i="11"/>
  <c r="AX4" i="11" a="1"/>
  <c r="AX4" i="11" s="1"/>
  <c r="AW61" i="11"/>
  <c r="AX13" i="11" a="1"/>
  <c r="AX13" i="11" s="1"/>
  <c r="AW46" i="11"/>
  <c r="AX22" i="11" a="1"/>
  <c r="AX22" i="11" s="1"/>
  <c r="AW19" i="11"/>
  <c r="AX31" i="11" a="1"/>
  <c r="AX31" i="11" s="1"/>
  <c r="AY74" i="11"/>
  <c r="AY75" i="11" s="1"/>
  <c r="AY32" i="11"/>
  <c r="AY50" i="11"/>
  <c r="AY41" i="11"/>
  <c r="AY23" i="11"/>
  <c r="AY14" i="11"/>
  <c r="AW28" i="11"/>
  <c r="AX40" i="11" a="1"/>
  <c r="AX40" i="11" s="1"/>
  <c r="AV67" i="11"/>
  <c r="AW10" i="11"/>
  <c r="AX49" i="11" a="1"/>
  <c r="AX49" i="11" s="1"/>
  <c r="AX62" i="11"/>
  <c r="AU9" i="11"/>
  <c r="AT66" i="11"/>
  <c r="AY5" i="11"/>
  <c r="AY42" i="11" l="1"/>
  <c r="E61" i="20"/>
  <c r="D61" i="20"/>
  <c r="A63" i="20"/>
  <c r="B62" i="20"/>
  <c r="E62" i="20" s="1"/>
  <c r="C62" i="20"/>
  <c r="F62" i="20"/>
  <c r="G62" i="20" s="1"/>
  <c r="AX28" i="11"/>
  <c r="AX19" i="11"/>
  <c r="AX46" i="11"/>
  <c r="AY31" i="11" a="1"/>
  <c r="AY31" i="11" s="1"/>
  <c r="AX37" i="11"/>
  <c r="AY49" i="11" a="1"/>
  <c r="AY49" i="11" s="1"/>
  <c r="AY40" i="11" a="1"/>
  <c r="AY40" i="11" s="1"/>
  <c r="AY13" i="11" a="1"/>
  <c r="AY13" i="11" s="1"/>
  <c r="AX55" i="11"/>
  <c r="AZ74" i="11"/>
  <c r="AZ75" i="11" s="1"/>
  <c r="AZ50" i="11"/>
  <c r="AZ41" i="11"/>
  <c r="AZ32" i="11"/>
  <c r="AZ23" i="11"/>
  <c r="AZ24" i="11" s="1"/>
  <c r="AZ14" i="11"/>
  <c r="AW67" i="11"/>
  <c r="AX10" i="11"/>
  <c r="AY22" i="11" a="1"/>
  <c r="AY22" i="11" s="1"/>
  <c r="AY4" i="11" a="1"/>
  <c r="AY4" i="11" s="1"/>
  <c r="AX61" i="11"/>
  <c r="AY6" i="11"/>
  <c r="AY62" i="11"/>
  <c r="AV9" i="11"/>
  <c r="AU66" i="11"/>
  <c r="AZ5" i="11"/>
  <c r="D62" i="20" l="1"/>
  <c r="A64" i="20"/>
  <c r="B63" i="20"/>
  <c r="C63" i="20"/>
  <c r="F63" i="20"/>
  <c r="G63" i="20" s="1"/>
  <c r="AY19" i="11"/>
  <c r="AY55" i="11"/>
  <c r="AY46" i="11"/>
  <c r="AZ22" i="11" a="1"/>
  <c r="AZ22" i="11" s="1"/>
  <c r="AZ40" i="11" a="1"/>
  <c r="AZ40" i="11" s="1"/>
  <c r="BA74" i="11"/>
  <c r="BA75" i="11" s="1"/>
  <c r="BA41" i="11"/>
  <c r="BA32" i="11"/>
  <c r="BA33" i="11" s="1"/>
  <c r="BA50" i="11"/>
  <c r="BA23" i="11"/>
  <c r="BA24" i="11" s="1"/>
  <c r="BA14" i="11"/>
  <c r="AY10" i="11"/>
  <c r="AX67" i="11"/>
  <c r="AZ13" i="11" a="1"/>
  <c r="AZ13" i="11" s="1"/>
  <c r="AZ49" i="11" a="1"/>
  <c r="AZ49" i="11" s="1"/>
  <c r="AY28" i="11"/>
  <c r="AZ31" i="11" a="1"/>
  <c r="AZ31" i="11" s="1"/>
  <c r="AZ4" i="11" a="1"/>
  <c r="AZ4" i="11" s="1"/>
  <c r="AY61" i="11"/>
  <c r="AY37" i="11"/>
  <c r="AZ62" i="11"/>
  <c r="AW9" i="11"/>
  <c r="AV66" i="11"/>
  <c r="BA5" i="11"/>
  <c r="E63" i="20" l="1"/>
  <c r="A65" i="20"/>
  <c r="B64" i="20"/>
  <c r="F64" i="20"/>
  <c r="G64" i="20" s="1"/>
  <c r="C64" i="20"/>
  <c r="D63" i="20"/>
  <c r="AZ19" i="11"/>
  <c r="AZ55" i="11"/>
  <c r="AZ46" i="11"/>
  <c r="AZ28" i="11"/>
  <c r="AZ37" i="11"/>
  <c r="BA49" i="11" a="1"/>
  <c r="BA49" i="11" s="1"/>
  <c r="AZ10" i="11"/>
  <c r="AY67" i="11"/>
  <c r="BA4" i="11" a="1"/>
  <c r="BA4" i="11" s="1"/>
  <c r="AZ61" i="11"/>
  <c r="BA13" i="11" a="1"/>
  <c r="BA13" i="11" s="1"/>
  <c r="BA22" i="11" a="1"/>
  <c r="BA22" i="11" s="1"/>
  <c r="BB74" i="11"/>
  <c r="BB75" i="11" s="1"/>
  <c r="BB32" i="11"/>
  <c r="BB50" i="11"/>
  <c r="BB41" i="11"/>
  <c r="BB23" i="11"/>
  <c r="BB24" i="11" s="1"/>
  <c r="BB14" i="11"/>
  <c r="BB15" i="11" s="1"/>
  <c r="BA31" i="11" a="1"/>
  <c r="BA31" i="11" s="1"/>
  <c r="BA40" i="11" a="1"/>
  <c r="BA40" i="11" s="1"/>
  <c r="BA62" i="11"/>
  <c r="AX9" i="11"/>
  <c r="AW66" i="11"/>
  <c r="BB5" i="11"/>
  <c r="E64" i="20" l="1"/>
  <c r="D64" i="20"/>
  <c r="A66" i="20"/>
  <c r="B65" i="20"/>
  <c r="C65" i="20"/>
  <c r="D65" i="20" s="1"/>
  <c r="F65" i="20"/>
  <c r="G65" i="20" s="1"/>
  <c r="BA55" i="11"/>
  <c r="BA28" i="11"/>
  <c r="BB31" i="11" a="1"/>
  <c r="BB31" i="11" s="1"/>
  <c r="BB4" i="11" a="1"/>
  <c r="BB4" i="11" s="1"/>
  <c r="BA61" i="11"/>
  <c r="BA10" i="11"/>
  <c r="AZ67" i="11"/>
  <c r="BB40" i="11" a="1"/>
  <c r="BB40" i="11" s="1"/>
  <c r="BB13" i="11" a="1"/>
  <c r="BB13" i="11" s="1"/>
  <c r="BA37" i="11"/>
  <c r="BB49" i="11" a="1"/>
  <c r="BB49" i="11" s="1"/>
  <c r="BB22" i="11" a="1"/>
  <c r="BB22" i="11" s="1"/>
  <c r="BC74" i="11"/>
  <c r="BC75" i="11" s="1"/>
  <c r="BC41" i="11"/>
  <c r="BC32" i="11"/>
  <c r="BC50" i="11"/>
  <c r="BC51" i="11" s="1"/>
  <c r="BC14" i="11"/>
  <c r="BC23" i="11"/>
  <c r="BC24" i="11" s="1"/>
  <c r="BA46" i="11"/>
  <c r="BA19" i="11"/>
  <c r="AY9" i="11"/>
  <c r="AX66" i="11"/>
  <c r="BB62" i="11"/>
  <c r="BC5" i="11"/>
  <c r="BB46" i="11" l="1"/>
  <c r="E65" i="20"/>
  <c r="A67" i="20"/>
  <c r="B66" i="20"/>
  <c r="C66" i="20"/>
  <c r="F66" i="20"/>
  <c r="G66" i="20" s="1"/>
  <c r="BB28" i="11"/>
  <c r="BB37" i="11"/>
  <c r="BB55" i="11"/>
  <c r="BC13" i="11" a="1"/>
  <c r="BC13" i="11" s="1"/>
  <c r="BC31" i="11" a="1"/>
  <c r="BC31" i="11" s="1"/>
  <c r="BB19" i="11"/>
  <c r="BB10" i="11"/>
  <c r="BA67" i="11"/>
  <c r="BC4" i="11" a="1"/>
  <c r="BC4" i="11" s="1"/>
  <c r="BB61" i="11"/>
  <c r="BD74" i="11"/>
  <c r="BD75" i="11" s="1"/>
  <c r="BD41" i="11"/>
  <c r="BD50" i="11"/>
  <c r="BD32" i="11"/>
  <c r="BD14" i="11"/>
  <c r="BD23" i="11"/>
  <c r="BC22" i="11" a="1"/>
  <c r="BC22" i="11" s="1"/>
  <c r="BC49" i="11" a="1"/>
  <c r="BC49" i="11" s="1"/>
  <c r="BC40" i="11" a="1"/>
  <c r="BC40" i="11" s="1"/>
  <c r="BC6" i="11"/>
  <c r="BC62" i="11"/>
  <c r="AZ9" i="11"/>
  <c r="AY66" i="11"/>
  <c r="BD5" i="11"/>
  <c r="BC46" i="11" l="1"/>
  <c r="E66" i="20"/>
  <c r="BC28" i="11"/>
  <c r="A68" i="20"/>
  <c r="F67" i="20"/>
  <c r="G67" i="20" s="1"/>
  <c r="B67" i="20"/>
  <c r="C67" i="20"/>
  <c r="D66" i="20"/>
  <c r="BC37" i="11"/>
  <c r="BD24" i="11"/>
  <c r="BD13" i="11" a="1"/>
  <c r="BD13" i="11" s="1"/>
  <c r="BD4" i="11" a="1"/>
  <c r="BD4" i="11" s="1"/>
  <c r="BC61" i="11"/>
  <c r="BE74" i="11"/>
  <c r="BE75" i="11" s="1"/>
  <c r="BE41" i="11"/>
  <c r="BE32" i="11"/>
  <c r="BE50" i="11"/>
  <c r="BE14" i="11"/>
  <c r="BE23" i="11"/>
  <c r="BE24" i="11" s="1"/>
  <c r="BC19" i="11"/>
  <c r="BD22" i="11" a="1"/>
  <c r="BD22" i="11" s="1"/>
  <c r="BD40" i="11" a="1"/>
  <c r="BD40" i="11" s="1"/>
  <c r="BD49" i="11" a="1"/>
  <c r="BD49" i="11" s="1"/>
  <c r="BC10" i="11"/>
  <c r="BB67" i="11"/>
  <c r="BD31" i="11" a="1"/>
  <c r="BD31" i="11" s="1"/>
  <c r="BC55" i="11"/>
  <c r="BD62" i="11"/>
  <c r="BA9" i="11"/>
  <c r="AZ66" i="11"/>
  <c r="BE5" i="11"/>
  <c r="E67" i="20" l="1"/>
  <c r="A69" i="20"/>
  <c r="B68" i="20"/>
  <c r="C68" i="20"/>
  <c r="F68" i="20"/>
  <c r="G68" i="20" s="1"/>
  <c r="D67" i="20"/>
  <c r="BD37" i="11"/>
  <c r="BD19" i="11"/>
  <c r="BE22" i="11" a="1"/>
  <c r="BE22" i="11" s="1"/>
  <c r="BD10" i="11"/>
  <c r="BC67" i="11"/>
  <c r="BE4" i="11" a="1"/>
  <c r="BE4" i="11" s="1"/>
  <c r="BD61" i="11"/>
  <c r="BD28" i="11"/>
  <c r="BF74" i="11"/>
  <c r="BF75" i="11" s="1"/>
  <c r="BF41" i="11"/>
  <c r="BF42" i="11" s="1"/>
  <c r="BF32" i="11"/>
  <c r="BF50" i="11"/>
  <c r="BF23" i="11"/>
  <c r="BF24" i="11" s="1"/>
  <c r="BF14" i="11"/>
  <c r="BE49" i="11" a="1"/>
  <c r="BE49" i="11" s="1"/>
  <c r="BD55" i="11"/>
  <c r="BE31" i="11" a="1"/>
  <c r="BE31" i="11" s="1"/>
  <c r="BE40" i="11" a="1"/>
  <c r="BE40" i="11" s="1"/>
  <c r="BE13" i="11" a="1"/>
  <c r="BE13" i="11" s="1"/>
  <c r="BD46" i="11"/>
  <c r="BE6" i="11"/>
  <c r="BE62" i="11"/>
  <c r="BB9" i="11"/>
  <c r="BA66" i="11"/>
  <c r="BF5" i="11"/>
  <c r="E68" i="20" l="1"/>
  <c r="D68" i="20"/>
  <c r="A70" i="20"/>
  <c r="B69" i="20"/>
  <c r="C69" i="20"/>
  <c r="F69" i="20"/>
  <c r="G69" i="20" s="1"/>
  <c r="BE37" i="11"/>
  <c r="BE19" i="11"/>
  <c r="BE46" i="11"/>
  <c r="BE55" i="11"/>
  <c r="BF4" i="11" a="1"/>
  <c r="BF4" i="11" s="1"/>
  <c r="BE61" i="11"/>
  <c r="BF40" i="11" a="1"/>
  <c r="BF40" i="11" s="1"/>
  <c r="BE28" i="11"/>
  <c r="BG74" i="11"/>
  <c r="BG75" i="11" s="1"/>
  <c r="BG41" i="11"/>
  <c r="BG42" i="11" s="1"/>
  <c r="BG32" i="11"/>
  <c r="BG50" i="11"/>
  <c r="BG23" i="11"/>
  <c r="BG24" i="11" s="1"/>
  <c r="BG14" i="11"/>
  <c r="BF22" i="11" a="1"/>
  <c r="BF22" i="11" s="1"/>
  <c r="BF31" i="11" a="1"/>
  <c r="BF31" i="11" s="1"/>
  <c r="BF13" i="11" a="1"/>
  <c r="BF13" i="11" s="1"/>
  <c r="BF49" i="11" a="1"/>
  <c r="BF49" i="11" s="1"/>
  <c r="BE10" i="11"/>
  <c r="BD67" i="11"/>
  <c r="BF6" i="11"/>
  <c r="BF62" i="11"/>
  <c r="BC9" i="11"/>
  <c r="BB66" i="11"/>
  <c r="BG5" i="11"/>
  <c r="E69" i="20" l="1"/>
  <c r="D69" i="20"/>
  <c r="A71" i="20"/>
  <c r="C70" i="20"/>
  <c r="F70" i="20"/>
  <c r="G70" i="20" s="1"/>
  <c r="B70" i="20"/>
  <c r="BF46" i="11"/>
  <c r="BF55" i="11"/>
  <c r="BG31" i="11" a="1"/>
  <c r="BG31" i="11" s="1"/>
  <c r="BF37" i="11"/>
  <c r="BG13" i="11" a="1"/>
  <c r="BG13" i="11" s="1"/>
  <c r="BF28" i="11"/>
  <c r="BG4" i="11" a="1"/>
  <c r="BG4" i="11" s="1"/>
  <c r="BF61" i="11"/>
  <c r="BG49" i="11" a="1"/>
  <c r="BG49" i="11" s="1"/>
  <c r="BH74" i="11"/>
  <c r="BH75" i="11" s="1"/>
  <c r="BH41" i="11"/>
  <c r="BH42" i="11" s="1"/>
  <c r="BH32" i="11"/>
  <c r="BH33" i="11" s="1"/>
  <c r="BH50" i="11"/>
  <c r="BH14" i="11"/>
  <c r="BH23" i="11"/>
  <c r="BH24" i="11" s="1"/>
  <c r="BG22" i="11" a="1"/>
  <c r="BG22" i="11" s="1"/>
  <c r="BF10" i="11"/>
  <c r="BE67" i="11"/>
  <c r="BF19" i="11"/>
  <c r="BG40" i="11" a="1"/>
  <c r="BG40" i="11" s="1"/>
  <c r="BD9" i="11"/>
  <c r="BC66" i="11"/>
  <c r="BG6" i="11"/>
  <c r="BG62" i="11"/>
  <c r="BH5" i="11"/>
  <c r="E70" i="20" l="1"/>
  <c r="D70" i="20"/>
  <c r="A72" i="20"/>
  <c r="B71" i="20"/>
  <c r="C71" i="20"/>
  <c r="F71" i="20"/>
  <c r="G71" i="20" s="1"/>
  <c r="BG46" i="11"/>
  <c r="BG55" i="11"/>
  <c r="BG19" i="11"/>
  <c r="BG37" i="11"/>
  <c r="BH31" i="11" a="1"/>
  <c r="BH31" i="11" s="1"/>
  <c r="BH22" i="11" a="1"/>
  <c r="BH22" i="11" s="1"/>
  <c r="BH4" i="11" a="1"/>
  <c r="BH4" i="11" s="1"/>
  <c r="BG61" i="11"/>
  <c r="BI74" i="11"/>
  <c r="BI75" i="11" s="1"/>
  <c r="BI41" i="11"/>
  <c r="BI42" i="11" s="1"/>
  <c r="BI50" i="11"/>
  <c r="BI32" i="11"/>
  <c r="BI33" i="11" s="1"/>
  <c r="BI23" i="11"/>
  <c r="BI24" i="11" s="1"/>
  <c r="BI14" i="11"/>
  <c r="BI15" i="11" s="1"/>
  <c r="BG28" i="11"/>
  <c r="BH40" i="11" a="1"/>
  <c r="BH40" i="11" s="1"/>
  <c r="BF67" i="11"/>
  <c r="BG10" i="11"/>
  <c r="BH49" i="11" a="1"/>
  <c r="BH49" i="11" s="1"/>
  <c r="BH13" i="11" a="1"/>
  <c r="BH13" i="11" s="1"/>
  <c r="BH6" i="11"/>
  <c r="BH62" i="11"/>
  <c r="BE9" i="11"/>
  <c r="BD66" i="11"/>
  <c r="BI5" i="11"/>
  <c r="E71" i="20" l="1"/>
  <c r="D71" i="20"/>
  <c r="A73" i="20"/>
  <c r="C72" i="20"/>
  <c r="F72" i="20"/>
  <c r="G72" i="20" s="1"/>
  <c r="B72" i="20"/>
  <c r="E72" i="20" s="1"/>
  <c r="BH28" i="11"/>
  <c r="BH55" i="11"/>
  <c r="BH37" i="11"/>
  <c r="BI22" i="11" a="1"/>
  <c r="BI22" i="11" s="1"/>
  <c r="BI13" i="11" a="1"/>
  <c r="BI13" i="11" s="1"/>
  <c r="BI40" i="11" a="1"/>
  <c r="BI40" i="11" s="1"/>
  <c r="BJ74" i="11"/>
  <c r="BJ75" i="11" s="1"/>
  <c r="BJ41" i="11"/>
  <c r="BJ32" i="11"/>
  <c r="BJ33" i="11" s="1"/>
  <c r="BJ50" i="11"/>
  <c r="BJ23" i="11"/>
  <c r="BJ24" i="11" s="1"/>
  <c r="BJ14" i="11"/>
  <c r="BJ15" i="11" s="1"/>
  <c r="BI4" i="11" a="1"/>
  <c r="BI4" i="11" s="1"/>
  <c r="BH61" i="11"/>
  <c r="BI49" i="11" a="1"/>
  <c r="BI49" i="11" s="1"/>
  <c r="BG67" i="11"/>
  <c r="BH10" i="11"/>
  <c r="BH19" i="11"/>
  <c r="BI31" i="11" a="1"/>
  <c r="BI31" i="11" s="1"/>
  <c r="BH46" i="11"/>
  <c r="BI6" i="11"/>
  <c r="BI62" i="11"/>
  <c r="BF9" i="11"/>
  <c r="BE66" i="11"/>
  <c r="BJ5" i="11"/>
  <c r="BI46" i="11" l="1"/>
  <c r="A74" i="20"/>
  <c r="B73" i="20"/>
  <c r="C73" i="20"/>
  <c r="D73" i="20" s="1"/>
  <c r="F73" i="20"/>
  <c r="G73" i="20" s="1"/>
  <c r="D72" i="20"/>
  <c r="BI55" i="11"/>
  <c r="BI37" i="11"/>
  <c r="BI19" i="11"/>
  <c r="BJ40" i="11" a="1"/>
  <c r="BJ40" i="11" s="1"/>
  <c r="BJ22" i="11" a="1"/>
  <c r="BJ22" i="11" s="1"/>
  <c r="BI10" i="11"/>
  <c r="BH67" i="11"/>
  <c r="BI28" i="11"/>
  <c r="BK74" i="11"/>
  <c r="BK75" i="11" s="1"/>
  <c r="BK50" i="11"/>
  <c r="BK51" i="11" s="1"/>
  <c r="BK41" i="11"/>
  <c r="BK32" i="11"/>
  <c r="BK33" i="11" s="1"/>
  <c r="BK23" i="11"/>
  <c r="BK24" i="11" s="1"/>
  <c r="BK14" i="11"/>
  <c r="BJ4" i="11" a="1"/>
  <c r="BJ4" i="11" s="1"/>
  <c r="BI61" i="11"/>
  <c r="BJ49" i="11" a="1"/>
  <c r="BJ49" i="11" s="1"/>
  <c r="BJ31" i="11" a="1"/>
  <c r="BJ31" i="11" s="1"/>
  <c r="BJ13" i="11" a="1"/>
  <c r="BJ13" i="11" s="1"/>
  <c r="BJ6" i="11"/>
  <c r="BJ62" i="11"/>
  <c r="BG9" i="11"/>
  <c r="BF66" i="11"/>
  <c r="BK5" i="11"/>
  <c r="E73" i="20" l="1"/>
  <c r="A75" i="20"/>
  <c r="B74" i="20"/>
  <c r="E74" i="20" s="1"/>
  <c r="C74" i="20"/>
  <c r="F74" i="20"/>
  <c r="G74" i="20" s="1"/>
  <c r="BJ37" i="11"/>
  <c r="BK15" i="11"/>
  <c r="BJ55" i="11"/>
  <c r="BJ28" i="11"/>
  <c r="BK4" i="11" a="1"/>
  <c r="BK4" i="11" s="1"/>
  <c r="BJ61" i="11"/>
  <c r="BK40" i="11" a="1"/>
  <c r="BK40" i="11" s="1"/>
  <c r="BK31" i="11" a="1"/>
  <c r="BK31" i="11" s="1"/>
  <c r="BJ10" i="11"/>
  <c r="BI67" i="11"/>
  <c r="BK49" i="11" a="1"/>
  <c r="BK49" i="11" s="1"/>
  <c r="BL74" i="11"/>
  <c r="BL75" i="11" s="1"/>
  <c r="BL41" i="11"/>
  <c r="BL32" i="11"/>
  <c r="BL33" i="11" s="1"/>
  <c r="BL50" i="11"/>
  <c r="BL51" i="11" s="1"/>
  <c r="BL23" i="11"/>
  <c r="BL24" i="11" s="1"/>
  <c r="BL14" i="11"/>
  <c r="BL15" i="11" s="1"/>
  <c r="BK13" i="11" a="1"/>
  <c r="BK13" i="11" s="1"/>
  <c r="BJ46" i="11"/>
  <c r="BJ19" i="11"/>
  <c r="BK22" i="11" a="1"/>
  <c r="BK22" i="11" s="1"/>
  <c r="BH9" i="11"/>
  <c r="BG66" i="11"/>
  <c r="BK6" i="11"/>
  <c r="BK62" i="11"/>
  <c r="BL5" i="11"/>
  <c r="A76" i="20" l="1"/>
  <c r="B75" i="20"/>
  <c r="C75" i="20"/>
  <c r="D75" i="20" s="1"/>
  <c r="F75" i="20"/>
  <c r="G75" i="20" s="1"/>
  <c r="D74" i="20"/>
  <c r="BK46" i="11"/>
  <c r="BK55" i="11"/>
  <c r="BK28" i="11"/>
  <c r="BK19" i="11"/>
  <c r="BL40" i="11" a="1"/>
  <c r="BL40" i="11" s="1"/>
  <c r="BL13" i="11" a="1"/>
  <c r="BL13" i="11" s="1"/>
  <c r="BJ67" i="11"/>
  <c r="BK10" i="11"/>
  <c r="BL31" i="11" a="1"/>
  <c r="BL31" i="11" s="1"/>
  <c r="BM74" i="11"/>
  <c r="BM75" i="11" s="1"/>
  <c r="BM32" i="11"/>
  <c r="BM33" i="11" s="1"/>
  <c r="BM41" i="11"/>
  <c r="BM50" i="11"/>
  <c r="BM51" i="11" s="1"/>
  <c r="BM14" i="11"/>
  <c r="BM15" i="11" s="1"/>
  <c r="BM23" i="11"/>
  <c r="BM24" i="11" s="1"/>
  <c r="BL22" i="11" a="1"/>
  <c r="BL22" i="11" s="1"/>
  <c r="BL49" i="11" a="1"/>
  <c r="BL49" i="11" s="1"/>
  <c r="BL4" i="11" a="1"/>
  <c r="BL4" i="11" s="1"/>
  <c r="BK61" i="11"/>
  <c r="BK37" i="11"/>
  <c r="BL6" i="11"/>
  <c r="BL62" i="11"/>
  <c r="BI9" i="11"/>
  <c r="BH66" i="11"/>
  <c r="BM5" i="11"/>
  <c r="E75" i="20" l="1"/>
  <c r="A77" i="20"/>
  <c r="B76" i="20"/>
  <c r="C76" i="20"/>
  <c r="F76" i="20"/>
  <c r="G76" i="20" s="1"/>
  <c r="BL19" i="11"/>
  <c r="BL46" i="11"/>
  <c r="BL55" i="11"/>
  <c r="BL28" i="11"/>
  <c r="BL37" i="11"/>
  <c r="BM4" i="11" a="1"/>
  <c r="BM4" i="11" s="1"/>
  <c r="BL61" i="11"/>
  <c r="BM13" i="11" a="1"/>
  <c r="BM13" i="11" s="1"/>
  <c r="BM31" i="11" a="1"/>
  <c r="BM31" i="11" s="1"/>
  <c r="BM22" i="11" a="1"/>
  <c r="BM22" i="11" s="1"/>
  <c r="BN74" i="11"/>
  <c r="BN75" i="11" s="1"/>
  <c r="BN41" i="11"/>
  <c r="BN42" i="11" s="1"/>
  <c r="BN32" i="11"/>
  <c r="BN33" i="11" s="1"/>
  <c r="BN50" i="11"/>
  <c r="BN51" i="11" s="1"/>
  <c r="BN23" i="11"/>
  <c r="BN24" i="11" s="1"/>
  <c r="BN14" i="11"/>
  <c r="BN15" i="11" s="1"/>
  <c r="BM49" i="11" a="1"/>
  <c r="BM49" i="11" s="1"/>
  <c r="BL10" i="11"/>
  <c r="BK67" i="11"/>
  <c r="BM40" i="11" a="1"/>
  <c r="BM40" i="11" s="1"/>
  <c r="BM6" i="11"/>
  <c r="BM62" i="11"/>
  <c r="BJ9" i="11"/>
  <c r="BI66" i="11"/>
  <c r="BN5" i="11"/>
  <c r="E76" i="20" l="1"/>
  <c r="D76" i="20"/>
  <c r="A78" i="20"/>
  <c r="F77" i="20"/>
  <c r="G77" i="20" s="1"/>
  <c r="B77" i="20"/>
  <c r="C77" i="20"/>
  <c r="BM37" i="11"/>
  <c r="BM28" i="11"/>
  <c r="BN31" i="11" a="1"/>
  <c r="BN31" i="11" s="1"/>
  <c r="BL67" i="11"/>
  <c r="BM10" i="11"/>
  <c r="BN40" i="11" a="1"/>
  <c r="BN40" i="11" s="1"/>
  <c r="BN49" i="11" a="1"/>
  <c r="BN49" i="11" s="1"/>
  <c r="BN13" i="11" a="1"/>
  <c r="BN13" i="11" s="1"/>
  <c r="BM19" i="11"/>
  <c r="BM55" i="11"/>
  <c r="BN4" i="11" a="1"/>
  <c r="BN4" i="11" s="1"/>
  <c r="BM61" i="11"/>
  <c r="BO74" i="11"/>
  <c r="BO75" i="11" s="1"/>
  <c r="BO32" i="11"/>
  <c r="BO33" i="11" s="1"/>
  <c r="BO41" i="11"/>
  <c r="BO42" i="11" s="1"/>
  <c r="BO50" i="11"/>
  <c r="BO51" i="11" s="1"/>
  <c r="BO23" i="11"/>
  <c r="BO24" i="11" s="1"/>
  <c r="BO14" i="11"/>
  <c r="BO15" i="11" s="1"/>
  <c r="BN22" i="11" a="1"/>
  <c r="BN22" i="11" s="1"/>
  <c r="BM46" i="11"/>
  <c r="BK9" i="11"/>
  <c r="BJ66" i="11"/>
  <c r="BN6" i="11"/>
  <c r="BN62" i="11"/>
  <c r="BO5" i="11"/>
  <c r="E77" i="20" l="1"/>
  <c r="D77" i="20"/>
  <c r="A79" i="20"/>
  <c r="B78" i="20"/>
  <c r="C78" i="20"/>
  <c r="D78" i="20" s="1"/>
  <c r="F78" i="20"/>
  <c r="G78" i="20" s="1"/>
  <c r="BN28" i="11"/>
  <c r="BN46" i="11"/>
  <c r="BN19" i="11"/>
  <c r="BO49" i="11" a="1"/>
  <c r="BO49" i="11" s="1"/>
  <c r="BN55" i="11"/>
  <c r="BO40" i="11" a="1"/>
  <c r="BO40" i="11" s="1"/>
  <c r="BO31" i="11" a="1"/>
  <c r="BO31" i="11" s="1"/>
  <c r="BP74" i="11"/>
  <c r="BP75" i="11" s="1"/>
  <c r="BP50" i="11"/>
  <c r="BP51" i="11" s="1"/>
  <c r="BP32" i="11"/>
  <c r="BP33" i="11" s="1"/>
  <c r="BP41" i="11"/>
  <c r="BP42" i="11" s="1"/>
  <c r="BP23" i="11"/>
  <c r="BP24" i="11" s="1"/>
  <c r="BP14" i="11"/>
  <c r="BP15" i="11" s="1"/>
  <c r="BO22" i="11" a="1"/>
  <c r="BO22" i="11" s="1"/>
  <c r="BO4" i="11" a="1"/>
  <c r="BO4" i="11" s="1"/>
  <c r="BN61" i="11"/>
  <c r="BO13" i="11" a="1"/>
  <c r="BO13" i="11" s="1"/>
  <c r="BM67" i="11"/>
  <c r="BN10" i="11"/>
  <c r="BN37" i="11"/>
  <c r="BN63" i="11"/>
  <c r="BO6" i="11"/>
  <c r="BO63" i="11" s="1"/>
  <c r="BO62" i="11"/>
  <c r="BL9" i="11"/>
  <c r="BK66" i="11"/>
  <c r="BP5" i="11"/>
  <c r="BO19" i="11" l="1"/>
  <c r="E78" i="20"/>
  <c r="A80" i="20"/>
  <c r="F79" i="20"/>
  <c r="G79" i="20" s="1"/>
  <c r="B79" i="20"/>
  <c r="C79" i="20"/>
  <c r="BO28" i="11"/>
  <c r="BO37" i="11"/>
  <c r="BO55" i="11"/>
  <c r="BP40" i="11" a="1"/>
  <c r="BP40" i="11" s="1"/>
  <c r="BQ74" i="11"/>
  <c r="BQ75" i="11" s="1"/>
  <c r="BQ32" i="11"/>
  <c r="BQ33" i="11" s="1"/>
  <c r="BQ41" i="11"/>
  <c r="BQ42" i="11" s="1"/>
  <c r="BQ50" i="11"/>
  <c r="BQ51" i="11" s="1"/>
  <c r="BQ23" i="11"/>
  <c r="BQ24" i="11" s="1"/>
  <c r="BQ14" i="11"/>
  <c r="BQ15" i="11" s="1"/>
  <c r="BP13" i="11" a="1"/>
  <c r="BP13" i="11" s="1"/>
  <c r="BO46" i="11"/>
  <c r="BP22" i="11" a="1"/>
  <c r="BP22" i="11" s="1"/>
  <c r="BO10" i="11"/>
  <c r="BN67" i="11"/>
  <c r="BP4" i="11" a="1"/>
  <c r="BP4" i="11" s="1"/>
  <c r="BO61" i="11"/>
  <c r="BP31" i="11" a="1"/>
  <c r="BP31" i="11" s="1"/>
  <c r="BP49" i="11" a="1"/>
  <c r="BP49" i="11" s="1"/>
  <c r="BP6" i="11"/>
  <c r="BP63" i="11" s="1"/>
  <c r="BP62" i="11"/>
  <c r="BM9" i="11"/>
  <c r="BL66" i="11"/>
  <c r="BQ5" i="11"/>
  <c r="BP19" i="11" l="1"/>
  <c r="E79" i="20"/>
  <c r="D79" i="20"/>
  <c r="A81" i="20"/>
  <c r="B80" i="20"/>
  <c r="C80" i="20"/>
  <c r="D80" i="20" s="1"/>
  <c r="F80" i="20"/>
  <c r="G80" i="20" s="1"/>
  <c r="BP28" i="11"/>
  <c r="BP46" i="11"/>
  <c r="BP55" i="11"/>
  <c r="BQ31" i="11" a="1"/>
  <c r="BQ31" i="11" s="1"/>
  <c r="BO67" i="11"/>
  <c r="BP10" i="11"/>
  <c r="BQ40" i="11" a="1"/>
  <c r="BQ40" i="11" s="1"/>
  <c r="BR74" i="11"/>
  <c r="BR75" i="11" s="1"/>
  <c r="BR32" i="11"/>
  <c r="BR33" i="11" s="1"/>
  <c r="BR41" i="11"/>
  <c r="BR42" i="11" s="1"/>
  <c r="BR50" i="11"/>
  <c r="BR51" i="11" s="1"/>
  <c r="BR23" i="11"/>
  <c r="BR24" i="11" s="1"/>
  <c r="BR14" i="11"/>
  <c r="BR15" i="11" s="1"/>
  <c r="BP37" i="11"/>
  <c r="BQ13" i="11" a="1"/>
  <c r="BQ13" i="11" s="1"/>
  <c r="BQ49" i="11" a="1"/>
  <c r="BQ49" i="11" s="1"/>
  <c r="BQ4" i="11" a="1"/>
  <c r="BQ4" i="11" s="1"/>
  <c r="BP61" i="11"/>
  <c r="BQ22" i="11" a="1"/>
  <c r="BQ22" i="11" s="1"/>
  <c r="BQ6" i="11"/>
  <c r="BQ63" i="11" s="1"/>
  <c r="BQ62" i="11"/>
  <c r="BN9" i="11"/>
  <c r="BM66" i="11"/>
  <c r="BR5" i="11"/>
  <c r="BQ19" i="11" l="1"/>
  <c r="E80" i="20"/>
  <c r="A82" i="20"/>
  <c r="B81" i="20"/>
  <c r="C81" i="20"/>
  <c r="F81" i="20"/>
  <c r="G81" i="20" s="1"/>
  <c r="BQ46" i="11"/>
  <c r="BQ37" i="11"/>
  <c r="BR31" i="11" a="1"/>
  <c r="BR31" i="11" s="1"/>
  <c r="BR4" i="11" a="1"/>
  <c r="BR4" i="11" s="1"/>
  <c r="BQ61" i="11"/>
  <c r="BR13" i="11" a="1"/>
  <c r="BR13" i="11" s="1"/>
  <c r="BS74" i="11"/>
  <c r="BS75" i="11" s="1"/>
  <c r="BS41" i="11"/>
  <c r="BS42" i="11" s="1"/>
  <c r="BS50" i="11"/>
  <c r="BS51" i="11" s="1"/>
  <c r="BS32" i="11"/>
  <c r="BS33" i="11" s="1"/>
  <c r="BS14" i="11"/>
  <c r="BS15" i="11" s="1"/>
  <c r="BS23" i="11"/>
  <c r="BS24" i="11" s="1"/>
  <c r="BR22" i="11" a="1"/>
  <c r="BR22" i="11" s="1"/>
  <c r="BR49" i="11" a="1"/>
  <c r="BR49" i="11" s="1"/>
  <c r="BQ55" i="11"/>
  <c r="BP67" i="11"/>
  <c r="BQ10" i="11"/>
  <c r="BQ28" i="11"/>
  <c r="BR40" i="11" a="1"/>
  <c r="BR40" i="11" s="1"/>
  <c r="BO9" i="11"/>
  <c r="BN66" i="11"/>
  <c r="BR6" i="11"/>
  <c r="BR63" i="11" s="1"/>
  <c r="BR62" i="11"/>
  <c r="BS5" i="11"/>
  <c r="BT1" i="11"/>
  <c r="BR19" i="11" l="1"/>
  <c r="E81" i="20"/>
  <c r="A83" i="20"/>
  <c r="B82" i="20"/>
  <c r="C82" i="20"/>
  <c r="F82" i="20"/>
  <c r="G82" i="20" s="1"/>
  <c r="D81" i="20"/>
  <c r="BR28" i="11"/>
  <c r="BR46" i="11"/>
  <c r="BR10" i="11"/>
  <c r="BQ67" i="11"/>
  <c r="BS31" i="11" a="1"/>
  <c r="BS31" i="11" s="1"/>
  <c r="BT74" i="11"/>
  <c r="BT75" i="11" s="1"/>
  <c r="BT41" i="11"/>
  <c r="BT42" i="11" s="1"/>
  <c r="BT32" i="11"/>
  <c r="BT33" i="11" s="1"/>
  <c r="BT50" i="11"/>
  <c r="BT51" i="11" s="1"/>
  <c r="BT23" i="11"/>
  <c r="BT24" i="11" s="1"/>
  <c r="BT14" i="11"/>
  <c r="BT15" i="11" s="1"/>
  <c r="BS22" i="11" a="1"/>
  <c r="BS22" i="11" s="1"/>
  <c r="BR37" i="11"/>
  <c r="BS49" i="11" a="1"/>
  <c r="BS49" i="11" s="1"/>
  <c r="BS13" i="11" a="1"/>
  <c r="BS13" i="11" s="1"/>
  <c r="BS40" i="11" a="1"/>
  <c r="BS40" i="11" s="1"/>
  <c r="BR55" i="11"/>
  <c r="BS4" i="11" a="1"/>
  <c r="BS4" i="11" s="1"/>
  <c r="BR61" i="11"/>
  <c r="BS6" i="11"/>
  <c r="BS63" i="11" s="1"/>
  <c r="BS62" i="11"/>
  <c r="BP9" i="11"/>
  <c r="BO66" i="11"/>
  <c r="BT5" i="11"/>
  <c r="BU1" i="11"/>
  <c r="E82" i="20" l="1"/>
  <c r="D82" i="20"/>
  <c r="A84" i="20"/>
  <c r="B83" i="20"/>
  <c r="E83" i="20" s="1"/>
  <c r="C83" i="20"/>
  <c r="F83" i="20"/>
  <c r="G83" i="20" s="1"/>
  <c r="BS55" i="11"/>
  <c r="BS37" i="11"/>
  <c r="BT13" i="11" a="1"/>
  <c r="BT13" i="11" s="1"/>
  <c r="BU74" i="11"/>
  <c r="BU75" i="11" s="1"/>
  <c r="BU32" i="11"/>
  <c r="BU33" i="11" s="1"/>
  <c r="BU41" i="11"/>
  <c r="BU42" i="11" s="1"/>
  <c r="BU50" i="11"/>
  <c r="BU51" i="11" s="1"/>
  <c r="BU14" i="11"/>
  <c r="BU15" i="11" s="1"/>
  <c r="BU23" i="11"/>
  <c r="BU24" i="11" s="1"/>
  <c r="BR67" i="11"/>
  <c r="BS10" i="11"/>
  <c r="BT4" i="11" a="1"/>
  <c r="BT4" i="11" s="1"/>
  <c r="BS61" i="11"/>
  <c r="BT31" i="11" a="1"/>
  <c r="BT31" i="11" s="1"/>
  <c r="BT49" i="11" a="1"/>
  <c r="BT49" i="11" s="1"/>
  <c r="BT22" i="11" a="1"/>
  <c r="BT22" i="11" s="1"/>
  <c r="BT40" i="11" a="1"/>
  <c r="BT40" i="11" s="1"/>
  <c r="BS28" i="11"/>
  <c r="BS19" i="11"/>
  <c r="BS46" i="11"/>
  <c r="BT6" i="11"/>
  <c r="BT63" i="11" s="1"/>
  <c r="BT62" i="11"/>
  <c r="BQ9" i="11"/>
  <c r="BP66" i="11"/>
  <c r="BU5" i="11"/>
  <c r="BV1" i="11"/>
  <c r="D83" i="20" l="1"/>
  <c r="A85" i="20"/>
  <c r="F84" i="20"/>
  <c r="G84" i="20" s="1"/>
  <c r="C84" i="20"/>
  <c r="B84" i="20"/>
  <c r="BT37" i="11"/>
  <c r="BT28" i="11"/>
  <c r="BU4" i="11" a="1"/>
  <c r="BU4" i="11" s="1"/>
  <c r="BT61" i="11"/>
  <c r="BU22" i="11" a="1"/>
  <c r="BU22" i="11" s="1"/>
  <c r="BT10" i="11"/>
  <c r="BS67" i="11"/>
  <c r="BU13" i="11" a="1"/>
  <c r="BU13" i="11" s="1"/>
  <c r="BV74" i="11"/>
  <c r="BV75" i="11" s="1"/>
  <c r="BV32" i="11"/>
  <c r="BV33" i="11" s="1"/>
  <c r="BV41" i="11"/>
  <c r="BV42" i="11" s="1"/>
  <c r="BV50" i="11"/>
  <c r="BV51" i="11" s="1"/>
  <c r="BV23" i="11"/>
  <c r="BV24" i="11" s="1"/>
  <c r="BV14" i="11"/>
  <c r="BV15" i="11" s="1"/>
  <c r="BT46" i="11"/>
  <c r="BU49" i="11" a="1"/>
  <c r="BU49" i="11" s="1"/>
  <c r="BU40" i="11" a="1"/>
  <c r="BU40" i="11" s="1"/>
  <c r="BU31" i="11" a="1"/>
  <c r="BU31" i="11" s="1"/>
  <c r="BT19" i="11"/>
  <c r="BT55" i="11"/>
  <c r="BU6" i="11"/>
  <c r="BU63" i="11" s="1"/>
  <c r="BU62" i="11"/>
  <c r="BR9" i="11"/>
  <c r="BQ66" i="11"/>
  <c r="BV5" i="11"/>
  <c r="BW1" i="11"/>
  <c r="E84" i="20" l="1"/>
  <c r="D84" i="20"/>
  <c r="A86" i="20"/>
  <c r="B85" i="20"/>
  <c r="C85" i="20"/>
  <c r="D85" i="20" s="1"/>
  <c r="F85" i="20"/>
  <c r="G85" i="20" s="1"/>
  <c r="BU55" i="11"/>
  <c r="BU19" i="11"/>
  <c r="BV40" i="11" a="1"/>
  <c r="BV40" i="11" s="1"/>
  <c r="BU46" i="11"/>
  <c r="BU10" i="11"/>
  <c r="BT67" i="11"/>
  <c r="BV4" i="11" a="1"/>
  <c r="BV4" i="11" s="1"/>
  <c r="BU61" i="11"/>
  <c r="BV22" i="11" a="1"/>
  <c r="BV22" i="11" s="1"/>
  <c r="BU28" i="11"/>
  <c r="BW74" i="11"/>
  <c r="BW75" i="11" s="1"/>
  <c r="BW41" i="11"/>
  <c r="BW42" i="11" s="1"/>
  <c r="BW32" i="11"/>
  <c r="BW33" i="11" s="1"/>
  <c r="BW50" i="11"/>
  <c r="BW51" i="11" s="1"/>
  <c r="BW23" i="11"/>
  <c r="BW24" i="11" s="1"/>
  <c r="BW14" i="11"/>
  <c r="BW15" i="11" s="1"/>
  <c r="BV31" i="11" a="1"/>
  <c r="BV31" i="11" s="1"/>
  <c r="BV49" i="11" a="1"/>
  <c r="BV49" i="11" s="1"/>
  <c r="BV13" i="11" a="1"/>
  <c r="BV13" i="11" s="1"/>
  <c r="BU37" i="11"/>
  <c r="BV6" i="11"/>
  <c r="BV63" i="11" s="1"/>
  <c r="BV62" i="11"/>
  <c r="BS9" i="11"/>
  <c r="BR66" i="11"/>
  <c r="BW5" i="11"/>
  <c r="BX1" i="11"/>
  <c r="E85" i="20" l="1"/>
  <c r="A87" i="20"/>
  <c r="B86" i="20"/>
  <c r="C86" i="20"/>
  <c r="F86" i="20"/>
  <c r="G86" i="20" s="1"/>
  <c r="BV37" i="11"/>
  <c r="BW13" i="11" a="1"/>
  <c r="BW13" i="11" s="1"/>
  <c r="BV19" i="11"/>
  <c r="BV10" i="11"/>
  <c r="BU67" i="11"/>
  <c r="BW49" i="11" a="1"/>
  <c r="BW49" i="11" s="1"/>
  <c r="BV28" i="11"/>
  <c r="BV46" i="11"/>
  <c r="BW4" i="11" a="1"/>
  <c r="BW4" i="11" s="1"/>
  <c r="BV61" i="11"/>
  <c r="BW40" i="11" a="1"/>
  <c r="BW40" i="11" s="1"/>
  <c r="BV55" i="11"/>
  <c r="BX74" i="11"/>
  <c r="BX75" i="11" s="1"/>
  <c r="BX41" i="11"/>
  <c r="BX42" i="11" s="1"/>
  <c r="BX32" i="11"/>
  <c r="BX33" i="11" s="1"/>
  <c r="BX50" i="11"/>
  <c r="BX51" i="11" s="1"/>
  <c r="BX14" i="11"/>
  <c r="BX15" i="11" s="1"/>
  <c r="BX23" i="11"/>
  <c r="BX24" i="11" s="1"/>
  <c r="BW31" i="11" a="1"/>
  <c r="BW31" i="11" s="1"/>
  <c r="BW22" i="11" a="1"/>
  <c r="BW22" i="11" s="1"/>
  <c r="BW6" i="11"/>
  <c r="BW63" i="11" s="1"/>
  <c r="BW62" i="11"/>
  <c r="BT9" i="11"/>
  <c r="BS66" i="11"/>
  <c r="BX5" i="11"/>
  <c r="BY1" i="11"/>
  <c r="E86" i="20" l="1"/>
  <c r="D86" i="20"/>
  <c r="A88" i="20"/>
  <c r="B87" i="20"/>
  <c r="C87" i="20"/>
  <c r="F87" i="20"/>
  <c r="G87" i="20" s="1"/>
  <c r="BW37" i="11"/>
  <c r="BX49" i="11" a="1"/>
  <c r="BX49" i="11" s="1"/>
  <c r="BW19" i="11"/>
  <c r="BX31" i="11" a="1"/>
  <c r="BX31" i="11" s="1"/>
  <c r="BX4" i="11" a="1"/>
  <c r="BX4" i="11" s="1"/>
  <c r="BW61" i="11"/>
  <c r="BX13" i="11" a="1"/>
  <c r="BX13" i="11" s="1"/>
  <c r="BY74" i="11"/>
  <c r="BY75" i="11" s="1"/>
  <c r="BY50" i="11"/>
  <c r="BY51" i="11" s="1"/>
  <c r="BY41" i="11"/>
  <c r="BY42" i="11" s="1"/>
  <c r="BY32" i="11"/>
  <c r="BY33" i="11" s="1"/>
  <c r="BY14" i="11"/>
  <c r="BY15" i="11" s="1"/>
  <c r="BY23" i="11"/>
  <c r="BY24" i="11" s="1"/>
  <c r="BX22" i="11" a="1"/>
  <c r="BX22" i="11" s="1"/>
  <c r="BW55" i="11"/>
  <c r="BW46" i="11"/>
  <c r="BX40" i="11" a="1"/>
  <c r="BX40" i="11" s="1"/>
  <c r="BW28" i="11"/>
  <c r="BW10" i="11"/>
  <c r="BV67" i="11"/>
  <c r="BX6" i="11"/>
  <c r="BX63" i="11" s="1"/>
  <c r="BX62" i="11"/>
  <c r="BU9" i="11"/>
  <c r="BT66" i="11"/>
  <c r="BY5" i="11"/>
  <c r="BZ1" i="11"/>
  <c r="E87" i="20" l="1"/>
  <c r="A89" i="20"/>
  <c r="B88" i="20"/>
  <c r="C88" i="20"/>
  <c r="F88" i="20"/>
  <c r="G88" i="20" s="1"/>
  <c r="D87" i="20"/>
  <c r="BX46" i="11"/>
  <c r="BX28" i="11"/>
  <c r="BX55" i="11"/>
  <c r="BY13" i="11" a="1"/>
  <c r="BY13" i="11" s="1"/>
  <c r="BY49" i="11" a="1"/>
  <c r="BY49" i="11" s="1"/>
  <c r="BY40" i="11" a="1"/>
  <c r="BY40" i="11" s="1"/>
  <c r="BY22" i="11" a="1"/>
  <c r="BY22" i="11" s="1"/>
  <c r="BY31" i="11" a="1"/>
  <c r="BY31" i="11" s="1"/>
  <c r="BX37" i="11"/>
  <c r="BZ74" i="11"/>
  <c r="BZ75" i="11" s="1"/>
  <c r="BZ41" i="11"/>
  <c r="BZ42" i="11" s="1"/>
  <c r="BZ50" i="11"/>
  <c r="BZ51" i="11" s="1"/>
  <c r="BZ32" i="11"/>
  <c r="BZ33" i="11" s="1"/>
  <c r="BZ23" i="11"/>
  <c r="BZ24" i="11" s="1"/>
  <c r="BZ14" i="11"/>
  <c r="BZ15" i="11" s="1"/>
  <c r="BX10" i="11"/>
  <c r="BW67" i="11"/>
  <c r="BY4" i="11" a="1"/>
  <c r="BY4" i="11" s="1"/>
  <c r="BX61" i="11"/>
  <c r="BX19" i="11"/>
  <c r="BV9" i="11"/>
  <c r="BU66" i="11"/>
  <c r="BY6" i="11"/>
  <c r="BY63" i="11" s="1"/>
  <c r="BY62" i="11"/>
  <c r="BZ5" i="11"/>
  <c r="CA1" i="11"/>
  <c r="E88" i="20" l="1"/>
  <c r="BY37" i="11"/>
  <c r="D88" i="20"/>
  <c r="A90" i="20"/>
  <c r="C89" i="20"/>
  <c r="F89" i="20"/>
  <c r="G89" i="20" s="1"/>
  <c r="B89" i="20"/>
  <c r="BY19" i="11"/>
  <c r="BY46" i="11"/>
  <c r="BY55" i="11"/>
  <c r="CA74" i="11"/>
  <c r="CA75" i="11" s="1"/>
  <c r="CA50" i="11"/>
  <c r="CA51" i="11" s="1"/>
  <c r="CA32" i="11"/>
  <c r="CA33" i="11" s="1"/>
  <c r="CA41" i="11"/>
  <c r="CA42" i="11" s="1"/>
  <c r="CA14" i="11"/>
  <c r="CA15" i="11" s="1"/>
  <c r="CA23" i="11"/>
  <c r="CA24" i="11" s="1"/>
  <c r="BZ4" i="11" a="1"/>
  <c r="BZ4" i="11" s="1"/>
  <c r="BY61" i="11"/>
  <c r="BZ22" i="11" a="1"/>
  <c r="BZ22" i="11" s="1"/>
  <c r="BZ40" i="11" a="1"/>
  <c r="BZ40" i="11" s="1"/>
  <c r="BY28" i="11"/>
  <c r="BZ31" i="11" a="1"/>
  <c r="BZ31" i="11" s="1"/>
  <c r="BZ49" i="11" a="1"/>
  <c r="BZ49" i="11" s="1"/>
  <c r="BY10" i="11"/>
  <c r="BX67" i="11"/>
  <c r="BZ13" i="11" a="1"/>
  <c r="BZ13" i="11" s="1"/>
  <c r="BZ6" i="11"/>
  <c r="BZ63" i="11" s="1"/>
  <c r="BZ62" i="11"/>
  <c r="BW9" i="11"/>
  <c r="BV66" i="11"/>
  <c r="CA5" i="11"/>
  <c r="CB1" i="11"/>
  <c r="E89" i="20" l="1"/>
  <c r="A91" i="20"/>
  <c r="B90" i="20"/>
  <c r="C90" i="20"/>
  <c r="F90" i="20"/>
  <c r="G90" i="20" s="1"/>
  <c r="D89" i="20"/>
  <c r="CA49" i="11" a="1"/>
  <c r="CA49" i="11" s="1"/>
  <c r="CA40" i="11" a="1"/>
  <c r="CA40" i="11" s="1"/>
  <c r="CA22" i="11" a="1"/>
  <c r="CA22" i="11" s="1"/>
  <c r="CA31" i="11" a="1"/>
  <c r="CA31" i="11" s="1"/>
  <c r="BZ55" i="11"/>
  <c r="BZ37" i="11"/>
  <c r="CA4" i="11" a="1"/>
  <c r="CA4" i="11" s="1"/>
  <c r="BZ61" i="11"/>
  <c r="CB74" i="11"/>
  <c r="CB75" i="11" s="1"/>
  <c r="CB41" i="11"/>
  <c r="CB42" i="11" s="1"/>
  <c r="CB32" i="11"/>
  <c r="CB33" i="11" s="1"/>
  <c r="CB50" i="11"/>
  <c r="CB51" i="11" s="1"/>
  <c r="CB23" i="11"/>
  <c r="CB24" i="11" s="1"/>
  <c r="CB14" i="11"/>
  <c r="CB15" i="11" s="1"/>
  <c r="CA13" i="11" a="1"/>
  <c r="CA13" i="11" s="1"/>
  <c r="BZ10" i="11"/>
  <c r="BY67" i="11"/>
  <c r="BZ28" i="11"/>
  <c r="BZ46" i="11"/>
  <c r="BZ19" i="11"/>
  <c r="CA6" i="11"/>
  <c r="CA63" i="11" s="1"/>
  <c r="CA62" i="11"/>
  <c r="BX9" i="11"/>
  <c r="BW66" i="11"/>
  <c r="CB5" i="11"/>
  <c r="CC1" i="11"/>
  <c r="E90" i="20" l="1"/>
  <c r="D90" i="20"/>
  <c r="A92" i="20"/>
  <c r="C91" i="20"/>
  <c r="F91" i="20"/>
  <c r="G91" i="20" s="1"/>
  <c r="B91" i="20"/>
  <c r="CA28" i="11"/>
  <c r="CA37" i="11"/>
  <c r="CA46" i="11"/>
  <c r="CA55" i="11"/>
  <c r="CA19" i="11"/>
  <c r="CB13" i="11" a="1"/>
  <c r="CB13" i="11" s="1"/>
  <c r="CB4" i="11" a="1"/>
  <c r="CB4" i="11" s="1"/>
  <c r="CA61" i="11"/>
  <c r="CB40" i="11" a="1"/>
  <c r="CB40" i="11" s="1"/>
  <c r="CB31" i="11" a="1"/>
  <c r="CB31" i="11" s="1"/>
  <c r="CB49" i="11" a="1"/>
  <c r="CB49" i="11" s="1"/>
  <c r="CC74" i="11"/>
  <c r="CC75" i="11" s="1"/>
  <c r="CC41" i="11"/>
  <c r="CC42" i="11" s="1"/>
  <c r="CC32" i="11"/>
  <c r="CC33" i="11" s="1"/>
  <c r="CC50" i="11"/>
  <c r="CC51" i="11" s="1"/>
  <c r="CC23" i="11"/>
  <c r="CC24" i="11" s="1"/>
  <c r="CC14" i="11"/>
  <c r="CC15" i="11" s="1"/>
  <c r="CA10" i="11"/>
  <c r="BZ67" i="11"/>
  <c r="CB22" i="11" a="1"/>
  <c r="CB22" i="11" s="1"/>
  <c r="CB6" i="11"/>
  <c r="CB63" i="11" s="1"/>
  <c r="CB62" i="11"/>
  <c r="BY9" i="11"/>
  <c r="BX66" i="11"/>
  <c r="CC5" i="11"/>
  <c r="CD1" i="11"/>
  <c r="E91" i="20" l="1"/>
  <c r="A93" i="20"/>
  <c r="B92" i="20"/>
  <c r="C92" i="20"/>
  <c r="F92" i="20"/>
  <c r="G92" i="20" s="1"/>
  <c r="D91" i="20"/>
  <c r="CB55" i="11"/>
  <c r="CB28" i="11"/>
  <c r="CB37" i="11"/>
  <c r="CB19" i="11"/>
  <c r="CD74" i="11"/>
  <c r="CD75" i="11" s="1"/>
  <c r="CD32" i="11"/>
  <c r="CD33" i="11" s="1"/>
  <c r="CD41" i="11"/>
  <c r="CD42" i="11" s="1"/>
  <c r="CD50" i="11"/>
  <c r="CD51" i="11" s="1"/>
  <c r="CD14" i="11"/>
  <c r="CD15" i="11" s="1"/>
  <c r="CD23" i="11"/>
  <c r="CD24" i="11" s="1"/>
  <c r="CC49" i="11" a="1"/>
  <c r="CC49" i="11" s="1"/>
  <c r="CC4" i="11" a="1"/>
  <c r="CC4" i="11" s="1"/>
  <c r="CB61" i="11"/>
  <c r="CB10" i="11"/>
  <c r="CA67" i="11"/>
  <c r="CC31" i="11" a="1"/>
  <c r="CC31" i="11" s="1"/>
  <c r="CC40" i="11" a="1"/>
  <c r="CC40" i="11" s="1"/>
  <c r="CC13" i="11" a="1"/>
  <c r="CC13" i="11" s="1"/>
  <c r="CC22" i="11" a="1"/>
  <c r="CC22" i="11" s="1"/>
  <c r="CB46" i="11"/>
  <c r="CC6" i="11"/>
  <c r="CC63" i="11" s="1"/>
  <c r="CC62" i="11"/>
  <c r="BZ9" i="11"/>
  <c r="BY66" i="11"/>
  <c r="CD5" i="11"/>
  <c r="CE1" i="11"/>
  <c r="E92" i="20" l="1"/>
  <c r="CC55" i="11"/>
  <c r="A94" i="20"/>
  <c r="C93" i="20"/>
  <c r="F93" i="20"/>
  <c r="G93" i="20" s="1"/>
  <c r="B93" i="20"/>
  <c r="E93" i="20" s="1"/>
  <c r="D92" i="20"/>
  <c r="CC19" i="11"/>
  <c r="CC37" i="11"/>
  <c r="CC46" i="11"/>
  <c r="CD40" i="11" a="1"/>
  <c r="CD40" i="11" s="1"/>
  <c r="CC10" i="11"/>
  <c r="CB67" i="11"/>
  <c r="CD31" i="11" a="1"/>
  <c r="CD31" i="11" s="1"/>
  <c r="CE74" i="11"/>
  <c r="CE75" i="11" s="1"/>
  <c r="CE41" i="11"/>
  <c r="CE42" i="11" s="1"/>
  <c r="CE32" i="11"/>
  <c r="CE33" i="11" s="1"/>
  <c r="CE50" i="11"/>
  <c r="CE51" i="11" s="1"/>
  <c r="CE14" i="11"/>
  <c r="CE15" i="11" s="1"/>
  <c r="CE23" i="11"/>
  <c r="CE24" i="11" s="1"/>
  <c r="CD22" i="11" a="1"/>
  <c r="CD22" i="11" s="1"/>
  <c r="CD4" i="11" a="1"/>
  <c r="CD4" i="11" s="1"/>
  <c r="CC61" i="11"/>
  <c r="CD13" i="11" a="1"/>
  <c r="CD13" i="11" s="1"/>
  <c r="CD49" i="11" a="1"/>
  <c r="CD49" i="11" s="1"/>
  <c r="CC28" i="11"/>
  <c r="CD6" i="11"/>
  <c r="CD63" i="11" s="1"/>
  <c r="CD62" i="11"/>
  <c r="CA9" i="11"/>
  <c r="BZ66" i="11"/>
  <c r="CE5" i="11"/>
  <c r="CF1" i="11"/>
  <c r="CD55" i="11" l="1"/>
  <c r="D93" i="20"/>
  <c r="A95" i="20"/>
  <c r="B94" i="20"/>
  <c r="E94" i="20" s="1"/>
  <c r="C94" i="20"/>
  <c r="F94" i="20"/>
  <c r="G94" i="20" s="1"/>
  <c r="CD37" i="11"/>
  <c r="CD28" i="11"/>
  <c r="CD46" i="11"/>
  <c r="CE13" i="11" a="1"/>
  <c r="CE13" i="11" s="1"/>
  <c r="CE4" i="11" a="1"/>
  <c r="CE4" i="11" s="1"/>
  <c r="CD61" i="11"/>
  <c r="CF74" i="11"/>
  <c r="CF75" i="11" s="1"/>
  <c r="CF50" i="11"/>
  <c r="CF51" i="11" s="1"/>
  <c r="CF41" i="11"/>
  <c r="CF42" i="11" s="1"/>
  <c r="CF32" i="11"/>
  <c r="CF33" i="11" s="1"/>
  <c r="CF23" i="11"/>
  <c r="CF24" i="11" s="1"/>
  <c r="CF14" i="11"/>
  <c r="CF15" i="11" s="1"/>
  <c r="CE22" i="11" a="1"/>
  <c r="CE22" i="11" s="1"/>
  <c r="CE31" i="11" a="1"/>
  <c r="CE31" i="11" s="1"/>
  <c r="CD10" i="11"/>
  <c r="CC67" i="11"/>
  <c r="CE49" i="11" a="1"/>
  <c r="CE49" i="11" s="1"/>
  <c r="CE40" i="11" a="1"/>
  <c r="CE40" i="11" s="1"/>
  <c r="CD19" i="11"/>
  <c r="CE6" i="11"/>
  <c r="CE63" i="11" s="1"/>
  <c r="CE62" i="11"/>
  <c r="CB9" i="11"/>
  <c r="CA66" i="11"/>
  <c r="CF5" i="11"/>
  <c r="CG1" i="11"/>
  <c r="CE55" i="11" l="1"/>
  <c r="D94" i="20"/>
  <c r="A96" i="20"/>
  <c r="B95" i="20"/>
  <c r="C95" i="20"/>
  <c r="F95" i="20"/>
  <c r="G95" i="20" s="1"/>
  <c r="CE28" i="11"/>
  <c r="CE19" i="11"/>
  <c r="CE46" i="11"/>
  <c r="CE10" i="11"/>
  <c r="CD67" i="11"/>
  <c r="CF13" i="11" a="1"/>
  <c r="CF13" i="11" s="1"/>
  <c r="CF31" i="11" a="1"/>
  <c r="CF31" i="11" s="1"/>
  <c r="CF49" i="11" a="1"/>
  <c r="CF49" i="11" s="1"/>
  <c r="CF22" i="11" a="1"/>
  <c r="CF22" i="11" s="1"/>
  <c r="CG74" i="11"/>
  <c r="CG75" i="11" s="1"/>
  <c r="CG41" i="11"/>
  <c r="CG42" i="11" s="1"/>
  <c r="CG50" i="11"/>
  <c r="CG51" i="11" s="1"/>
  <c r="CG32" i="11"/>
  <c r="CG33" i="11" s="1"/>
  <c r="CG23" i="11"/>
  <c r="CG24" i="11" s="1"/>
  <c r="CG14" i="11"/>
  <c r="CG15" i="11" s="1"/>
  <c r="CF40" i="11" a="1"/>
  <c r="CF40" i="11" s="1"/>
  <c r="CE37" i="11"/>
  <c r="CF4" i="11" a="1"/>
  <c r="CF4" i="11" s="1"/>
  <c r="CE61" i="11"/>
  <c r="CF6" i="11"/>
  <c r="CF63" i="11" s="1"/>
  <c r="CF62" i="11"/>
  <c r="CC9" i="11"/>
  <c r="CB66" i="11"/>
  <c r="CG5" i="11"/>
  <c r="CH1" i="11"/>
  <c r="E95" i="20" l="1"/>
  <c r="CF55" i="11"/>
  <c r="D95" i="20"/>
  <c r="A97" i="20"/>
  <c r="C96" i="20"/>
  <c r="F96" i="20"/>
  <c r="G96" i="20" s="1"/>
  <c r="B96" i="20"/>
  <c r="E96" i="20" s="1"/>
  <c r="CF46" i="11"/>
  <c r="CF37" i="11"/>
  <c r="CF19" i="11"/>
  <c r="CG4" i="11" a="1"/>
  <c r="CG4" i="11" s="1"/>
  <c r="CF61" i="11"/>
  <c r="CG13" i="11" a="1"/>
  <c r="CG13" i="11" s="1"/>
  <c r="CF10" i="11"/>
  <c r="CE67" i="11"/>
  <c r="CH74" i="11"/>
  <c r="CH75" i="11" s="1"/>
  <c r="CH41" i="11"/>
  <c r="CH42" i="11" s="1"/>
  <c r="CH50" i="11"/>
  <c r="CH51" i="11" s="1"/>
  <c r="CH32" i="11"/>
  <c r="CH33" i="11" s="1"/>
  <c r="CH23" i="11"/>
  <c r="CH24" i="11" s="1"/>
  <c r="CH14" i="11"/>
  <c r="CH15" i="11" s="1"/>
  <c r="CG22" i="11" a="1"/>
  <c r="CG22" i="11" s="1"/>
  <c r="CG31" i="11" a="1"/>
  <c r="CG31" i="11" s="1"/>
  <c r="CF28" i="11"/>
  <c r="CG40" i="11" a="1"/>
  <c r="CG40" i="11" s="1"/>
  <c r="CG49" i="11" a="1"/>
  <c r="CG49" i="11" s="1"/>
  <c r="CG55" i="11" s="1"/>
  <c r="CD9" i="11"/>
  <c r="CC66" i="11"/>
  <c r="CG6" i="11"/>
  <c r="CG63" i="11" s="1"/>
  <c r="CG62" i="11"/>
  <c r="CH5" i="11"/>
  <c r="CI1" i="11"/>
  <c r="A98" i="20" l="1"/>
  <c r="B97" i="20"/>
  <c r="F97" i="20"/>
  <c r="G97" i="20" s="1"/>
  <c r="C97" i="20"/>
  <c r="D97" i="20" s="1"/>
  <c r="D96" i="20"/>
  <c r="CG28" i="11"/>
  <c r="CH40" i="11" a="1"/>
  <c r="CH40" i="11" s="1"/>
  <c r="CG10" i="11"/>
  <c r="CF67" i="11"/>
  <c r="CH4" i="11" a="1"/>
  <c r="CH4" i="11" s="1"/>
  <c r="CG61" i="11"/>
  <c r="CI74" i="11"/>
  <c r="CI75" i="11" s="1"/>
  <c r="CI41" i="11"/>
  <c r="CI42" i="11" s="1"/>
  <c r="CI32" i="11"/>
  <c r="CI33" i="11" s="1"/>
  <c r="CI50" i="11"/>
  <c r="CI51" i="11" s="1"/>
  <c r="CI14" i="11"/>
  <c r="CI15" i="11" s="1"/>
  <c r="CI23" i="11"/>
  <c r="CI24" i="11" s="1"/>
  <c r="CH13" i="11" a="1"/>
  <c r="CH13" i="11" s="1"/>
  <c r="CH31" i="11" a="1"/>
  <c r="CH31" i="11" s="1"/>
  <c r="CG37" i="11"/>
  <c r="CG19" i="11"/>
  <c r="CG46" i="11"/>
  <c r="CH49" i="11" a="1"/>
  <c r="CH49" i="11" s="1"/>
  <c r="CH22" i="11" a="1"/>
  <c r="CH22" i="11" s="1"/>
  <c r="CH6" i="11"/>
  <c r="CH63" i="11" s="1"/>
  <c r="CH62" i="11"/>
  <c r="CE9" i="11"/>
  <c r="CD66" i="11"/>
  <c r="CI5" i="11"/>
  <c r="CJ1" i="11"/>
  <c r="CH46" i="11" l="1"/>
  <c r="E97" i="20"/>
  <c r="A99" i="20"/>
  <c r="B98" i="20"/>
  <c r="C98" i="20"/>
  <c r="F98" i="20"/>
  <c r="G98" i="20" s="1"/>
  <c r="CH28" i="11"/>
  <c r="CH19" i="11"/>
  <c r="CH37" i="11"/>
  <c r="CI49" i="11" a="1"/>
  <c r="CI49" i="11" s="1"/>
  <c r="CI31" i="11" a="1"/>
  <c r="CI31" i="11" s="1"/>
  <c r="CI4" i="11" a="1"/>
  <c r="CI4" i="11" s="1"/>
  <c r="CH61" i="11"/>
  <c r="CI40" i="11" a="1"/>
  <c r="CI40" i="11" s="1"/>
  <c r="CI13" i="11" a="1"/>
  <c r="CI13" i="11" s="1"/>
  <c r="CH10" i="11"/>
  <c r="CG67" i="11"/>
  <c r="CJ74" i="11"/>
  <c r="CJ75" i="11" s="1"/>
  <c r="CJ41" i="11"/>
  <c r="CJ42" i="11" s="1"/>
  <c r="CJ32" i="11"/>
  <c r="CJ33" i="11" s="1"/>
  <c r="CJ50" i="11"/>
  <c r="CJ51" i="11" s="1"/>
  <c r="CJ14" i="11"/>
  <c r="CJ15" i="11" s="1"/>
  <c r="CJ23" i="11"/>
  <c r="CJ24" i="11" s="1"/>
  <c r="CI22" i="11" a="1"/>
  <c r="CI22" i="11" s="1"/>
  <c r="CH55" i="11"/>
  <c r="CI6" i="11"/>
  <c r="CI63" i="11" s="1"/>
  <c r="CI62" i="11"/>
  <c r="CF9" i="11"/>
  <c r="CE66" i="11"/>
  <c r="CJ5" i="11"/>
  <c r="CK1" i="11"/>
  <c r="E98" i="20" l="1"/>
  <c r="CI46" i="11"/>
  <c r="A100" i="20"/>
  <c r="B99" i="20"/>
  <c r="C99" i="20"/>
  <c r="F99" i="20"/>
  <c r="G99" i="20" s="1"/>
  <c r="D98" i="20"/>
  <c r="CI55" i="11"/>
  <c r="CI19" i="11"/>
  <c r="CJ31" i="11" a="1"/>
  <c r="CJ31" i="11" s="1"/>
  <c r="CJ22" i="11" a="1"/>
  <c r="CJ22" i="11" s="1"/>
  <c r="CI37" i="11"/>
  <c r="CJ13" i="11" a="1"/>
  <c r="CJ13" i="11" s="1"/>
  <c r="CJ49" i="11" a="1"/>
  <c r="CJ49" i="11" s="1"/>
  <c r="CK74" i="11"/>
  <c r="CK75" i="11" s="1"/>
  <c r="CK41" i="11"/>
  <c r="CK42" i="11" s="1"/>
  <c r="CK32" i="11"/>
  <c r="CK33" i="11" s="1"/>
  <c r="CK50" i="11"/>
  <c r="CK51" i="11" s="1"/>
  <c r="CK23" i="11"/>
  <c r="CK24" i="11" s="1"/>
  <c r="CK14" i="11"/>
  <c r="CK15" i="11" s="1"/>
  <c r="CJ40" i="11" a="1"/>
  <c r="CJ40" i="11" s="1"/>
  <c r="CJ4" i="11" a="1"/>
  <c r="CJ4" i="11" s="1"/>
  <c r="CI61" i="11"/>
  <c r="CI10" i="11"/>
  <c r="CH67" i="11"/>
  <c r="CI28" i="11"/>
  <c r="CJ6" i="11"/>
  <c r="CJ63" i="11" s="1"/>
  <c r="CJ62" i="11"/>
  <c r="CG9" i="11"/>
  <c r="CF66" i="11"/>
  <c r="CK5" i="11"/>
  <c r="CL1" i="11"/>
  <c r="CJ46" i="11" l="1"/>
  <c r="E99" i="20"/>
  <c r="D99" i="20"/>
  <c r="A101" i="20"/>
  <c r="B100" i="20"/>
  <c r="C100" i="20"/>
  <c r="F100" i="20"/>
  <c r="G100" i="20" s="1"/>
  <c r="CJ55" i="11"/>
  <c r="CJ19" i="11"/>
  <c r="CJ37" i="11"/>
  <c r="CJ28" i="11"/>
  <c r="CK22" i="11" a="1"/>
  <c r="CK22" i="11" s="1"/>
  <c r="CK49" i="11" a="1"/>
  <c r="CK49" i="11" s="1"/>
  <c r="CI67" i="11"/>
  <c r="CJ10" i="11"/>
  <c r="CK4" i="11" a="1"/>
  <c r="CK4" i="11" s="1"/>
  <c r="CJ61" i="11"/>
  <c r="CK13" i="11" a="1"/>
  <c r="CK13" i="11" s="1"/>
  <c r="CL74" i="11"/>
  <c r="CL75" i="11" s="1"/>
  <c r="CL41" i="11"/>
  <c r="CL42" i="11" s="1"/>
  <c r="CL32" i="11"/>
  <c r="CL33" i="11" s="1"/>
  <c r="CL50" i="11"/>
  <c r="CL51" i="11" s="1"/>
  <c r="CL23" i="11"/>
  <c r="CL24" i="11" s="1"/>
  <c r="CL14" i="11"/>
  <c r="CL15" i="11" s="1"/>
  <c r="CK31" i="11" a="1"/>
  <c r="CK31" i="11" s="1"/>
  <c r="CK40" i="11" a="1"/>
  <c r="CK40" i="11" s="1"/>
  <c r="CK6" i="11"/>
  <c r="CK63" i="11" s="1"/>
  <c r="CK62" i="11"/>
  <c r="CH9" i="11"/>
  <c r="CG66" i="11"/>
  <c r="CL5" i="11"/>
  <c r="CM1" i="11"/>
  <c r="E100" i="20" l="1"/>
  <c r="D100" i="20"/>
  <c r="A102" i="20"/>
  <c r="F101" i="20"/>
  <c r="G101" i="20" s="1"/>
  <c r="C101" i="20"/>
  <c r="B101" i="20"/>
  <c r="CK55" i="11"/>
  <c r="CK28" i="11"/>
  <c r="CL22" i="11" a="1"/>
  <c r="CL22" i="11" s="1"/>
  <c r="CM74" i="11"/>
  <c r="CM75" i="11" s="1"/>
  <c r="CM41" i="11"/>
  <c r="CM42" i="11" s="1"/>
  <c r="CM50" i="11"/>
  <c r="CM51" i="11" s="1"/>
  <c r="CM32" i="11"/>
  <c r="CM33" i="11" s="1"/>
  <c r="CM14" i="11"/>
  <c r="CM15" i="11" s="1"/>
  <c r="CM23" i="11"/>
  <c r="CM24" i="11" s="1"/>
  <c r="CL4" i="11" a="1"/>
  <c r="CL4" i="11" s="1"/>
  <c r="CK61" i="11"/>
  <c r="CL40" i="11" a="1"/>
  <c r="CL40" i="11" s="1"/>
  <c r="CL13" i="11" a="1"/>
  <c r="CL13" i="11" s="1"/>
  <c r="CK10" i="11"/>
  <c r="CJ67" i="11"/>
  <c r="CL49" i="11" a="1"/>
  <c r="CL49" i="11" s="1"/>
  <c r="CK19" i="11"/>
  <c r="CL31" i="11" a="1"/>
  <c r="CL31" i="11" s="1"/>
  <c r="CK37" i="11"/>
  <c r="CK46" i="11"/>
  <c r="CL6" i="11"/>
  <c r="CL63" i="11" s="1"/>
  <c r="CL62" i="11"/>
  <c r="CI9" i="11"/>
  <c r="CH66" i="11"/>
  <c r="CM5" i="11"/>
  <c r="CN1" i="11"/>
  <c r="E101" i="20" l="1"/>
  <c r="D101" i="20"/>
  <c r="A103" i="20"/>
  <c r="B102" i="20"/>
  <c r="E102" i="20" s="1"/>
  <c r="C102" i="20"/>
  <c r="F102" i="20"/>
  <c r="G102" i="20" s="1"/>
  <c r="CL19" i="11"/>
  <c r="CL28" i="11"/>
  <c r="CM49" i="11" a="1"/>
  <c r="CM49" i="11" s="1"/>
  <c r="CM22" i="11" a="1"/>
  <c r="CM22" i="11" s="1"/>
  <c r="CM40" i="11" a="1"/>
  <c r="CM40" i="11" s="1"/>
  <c r="CM31" i="11" a="1"/>
  <c r="CM31" i="11" s="1"/>
  <c r="CL46" i="11"/>
  <c r="CM13" i="11" a="1"/>
  <c r="CM13" i="11" s="1"/>
  <c r="CL37" i="11"/>
  <c r="CL10" i="11"/>
  <c r="CK67" i="11"/>
  <c r="CM4" i="11" a="1"/>
  <c r="CM4" i="11" s="1"/>
  <c r="CL61" i="11"/>
  <c r="CN74" i="11"/>
  <c r="CN75" i="11" s="1"/>
  <c r="CN41" i="11"/>
  <c r="CN42" i="11" s="1"/>
  <c r="CN32" i="11"/>
  <c r="CN33" i="11" s="1"/>
  <c r="CN50" i="11"/>
  <c r="CN51" i="11" s="1"/>
  <c r="CN23" i="11"/>
  <c r="CN24" i="11" s="1"/>
  <c r="CN14" i="11"/>
  <c r="CN15" i="11" s="1"/>
  <c r="CL55" i="11"/>
  <c r="CM6" i="11"/>
  <c r="CM63" i="11" s="1"/>
  <c r="CM62" i="11"/>
  <c r="CJ9" i="11"/>
  <c r="CI66" i="11"/>
  <c r="CN5" i="11"/>
  <c r="CO1" i="11"/>
  <c r="D102" i="20" l="1"/>
  <c r="A104" i="20"/>
  <c r="B103" i="20"/>
  <c r="C103" i="20"/>
  <c r="F103" i="20"/>
  <c r="G103" i="20" s="1"/>
  <c r="CM19" i="11"/>
  <c r="CM55" i="11"/>
  <c r="CM28" i="11"/>
  <c r="CM46" i="11"/>
  <c r="CN31" i="11" a="1"/>
  <c r="CN31" i="11" s="1"/>
  <c r="CN49" i="11" a="1"/>
  <c r="CN49" i="11" s="1"/>
  <c r="CN40" i="11" a="1"/>
  <c r="CN40" i="11" s="1"/>
  <c r="CM37" i="11"/>
  <c r="CN13" i="11" a="1"/>
  <c r="CN13" i="11" s="1"/>
  <c r="CN22" i="11" a="1"/>
  <c r="CN22" i="11" s="1"/>
  <c r="CO74" i="11"/>
  <c r="CO75" i="11" s="1"/>
  <c r="CO41" i="11"/>
  <c r="CO42" i="11" s="1"/>
  <c r="CO50" i="11"/>
  <c r="CO51" i="11" s="1"/>
  <c r="CO32" i="11"/>
  <c r="CO33" i="11" s="1"/>
  <c r="CO14" i="11"/>
  <c r="CO15" i="11" s="1"/>
  <c r="CO23" i="11"/>
  <c r="CO24" i="11" s="1"/>
  <c r="CM10" i="11"/>
  <c r="CL67" i="11"/>
  <c r="CN4" i="11" a="1"/>
  <c r="CN4" i="11" s="1"/>
  <c r="CM61" i="11"/>
  <c r="CN6" i="11"/>
  <c r="CN63" i="11" s="1"/>
  <c r="CN62" i="11"/>
  <c r="CK9" i="11"/>
  <c r="CJ66" i="11"/>
  <c r="CO5" i="11"/>
  <c r="CP1" i="11"/>
  <c r="E103" i="20" l="1"/>
  <c r="D103" i="20"/>
  <c r="A105" i="20"/>
  <c r="B104" i="20"/>
  <c r="E104" i="20" s="1"/>
  <c r="C104" i="20"/>
  <c r="F104" i="20"/>
  <c r="G104" i="20" s="1"/>
  <c r="CN55" i="11"/>
  <c r="CN46" i="11"/>
  <c r="CN37" i="11"/>
  <c r="CO4" i="11" a="1"/>
  <c r="CO4" i="11" s="1"/>
  <c r="CN61" i="11"/>
  <c r="CO13" i="11" a="1"/>
  <c r="CO13" i="11" s="1"/>
  <c r="CN19" i="11"/>
  <c r="CP74" i="11"/>
  <c r="CP75" i="11" s="1"/>
  <c r="CP41" i="11"/>
  <c r="CP42" i="11" s="1"/>
  <c r="CP32" i="11"/>
  <c r="CP33" i="11" s="1"/>
  <c r="CP50" i="11"/>
  <c r="CP51" i="11" s="1"/>
  <c r="CP23" i="11"/>
  <c r="CP24" i="11" s="1"/>
  <c r="CP14" i="11"/>
  <c r="CP15" i="11" s="1"/>
  <c r="CN10" i="11"/>
  <c r="CM67" i="11"/>
  <c r="CO40" i="11" a="1"/>
  <c r="CO40" i="11" s="1"/>
  <c r="CO49" i="11" a="1"/>
  <c r="CO49" i="11" s="1"/>
  <c r="CO31" i="11" a="1"/>
  <c r="CO31" i="11" s="1"/>
  <c r="CO22" i="11" a="1"/>
  <c r="CO22" i="11" s="1"/>
  <c r="CN28" i="11"/>
  <c r="CL9" i="11"/>
  <c r="CK66" i="11"/>
  <c r="CO6" i="11"/>
  <c r="CO63" i="11" s="1"/>
  <c r="CO62" i="11"/>
  <c r="CP5" i="11"/>
  <c r="CQ1" i="11"/>
  <c r="D104" i="20" l="1"/>
  <c r="CP31" i="11" a="1"/>
  <c r="CP31" i="11" s="1"/>
  <c r="A106" i="20"/>
  <c r="C105" i="20"/>
  <c r="F105" i="20"/>
  <c r="G105" i="20" s="1"/>
  <c r="B105" i="20"/>
  <c r="E105" i="20" s="1"/>
  <c r="CO55" i="11"/>
  <c r="CO46" i="11"/>
  <c r="CO28" i="11"/>
  <c r="CO19" i="11"/>
  <c r="CP22" i="11" a="1"/>
  <c r="CP22" i="11" s="1"/>
  <c r="CP49" i="11" a="1"/>
  <c r="CP49" i="11" s="1"/>
  <c r="CP40" i="11" a="1"/>
  <c r="CP40" i="11" s="1"/>
  <c r="CP13" i="11" a="1"/>
  <c r="CP13" i="11" s="1"/>
  <c r="CQ74" i="11"/>
  <c r="CQ75" i="11" s="1"/>
  <c r="CQ50" i="11"/>
  <c r="CQ51" i="11" s="1"/>
  <c r="CQ32" i="11"/>
  <c r="CQ33" i="11" s="1"/>
  <c r="CQ41" i="11"/>
  <c r="CQ42" i="11" s="1"/>
  <c r="CQ23" i="11"/>
  <c r="CQ24" i="11" s="1"/>
  <c r="CQ14" i="11"/>
  <c r="CQ15" i="11" s="1"/>
  <c r="CP4" i="11" a="1"/>
  <c r="CP4" i="11" s="1"/>
  <c r="CO61" i="11"/>
  <c r="CO10" i="11"/>
  <c r="CN67" i="11"/>
  <c r="CO37" i="11"/>
  <c r="CP37" i="11" s="1"/>
  <c r="CP6" i="11"/>
  <c r="CP63" i="11" s="1"/>
  <c r="CP62" i="11"/>
  <c r="CM9" i="11"/>
  <c r="CL66" i="11"/>
  <c r="CQ5" i="11"/>
  <c r="CR1" i="11"/>
  <c r="CP55" i="11" l="1"/>
  <c r="D105" i="20"/>
  <c r="A107" i="20"/>
  <c r="C106" i="20"/>
  <c r="B106" i="20"/>
  <c r="E106" i="20" s="1"/>
  <c r="F106" i="20"/>
  <c r="G106" i="20" s="1"/>
  <c r="CP46" i="11"/>
  <c r="CP19" i="11"/>
  <c r="CQ31" i="11" a="1"/>
  <c r="CQ31" i="11" s="1"/>
  <c r="CQ37" i="11" s="1"/>
  <c r="CQ40" i="11" a="1"/>
  <c r="CQ40" i="11" s="1"/>
  <c r="CP10" i="11"/>
  <c r="CO67" i="11"/>
  <c r="CQ4" i="11" a="1"/>
  <c r="CQ4" i="11" s="1"/>
  <c r="CP61" i="11"/>
  <c r="CQ49" i="11" a="1"/>
  <c r="CQ49" i="11" s="1"/>
  <c r="CQ13" i="11" a="1"/>
  <c r="CQ13" i="11" s="1"/>
  <c r="CQ22" i="11" a="1"/>
  <c r="CQ22" i="11" s="1"/>
  <c r="CR74" i="11"/>
  <c r="CR75" i="11" s="1"/>
  <c r="CR41" i="11"/>
  <c r="CR42" i="11" s="1"/>
  <c r="CR50" i="11"/>
  <c r="CR51" i="11" s="1"/>
  <c r="CR32" i="11"/>
  <c r="CR33" i="11" s="1"/>
  <c r="CR23" i="11"/>
  <c r="CR24" i="11" s="1"/>
  <c r="CR14" i="11"/>
  <c r="CR15" i="11" s="1"/>
  <c r="CP28" i="11"/>
  <c r="CQ6" i="11"/>
  <c r="CQ63" i="11" s="1"/>
  <c r="CQ62" i="11"/>
  <c r="CN9" i="11"/>
  <c r="CM66" i="11"/>
  <c r="CR5" i="11"/>
  <c r="CS1" i="11"/>
  <c r="CQ55" i="11" l="1"/>
  <c r="D106" i="20"/>
  <c r="A108" i="20"/>
  <c r="B107" i="20"/>
  <c r="C107" i="20"/>
  <c r="D107" i="20" s="1"/>
  <c r="F107" i="20"/>
  <c r="G107" i="20" s="1"/>
  <c r="CQ46" i="11"/>
  <c r="CQ19" i="11"/>
  <c r="CQ28" i="11"/>
  <c r="CR22" i="11" a="1"/>
  <c r="CR22" i="11" s="1"/>
  <c r="CR4" i="11" a="1"/>
  <c r="CR4" i="11" s="1"/>
  <c r="CQ61" i="11"/>
  <c r="CR13" i="11" a="1"/>
  <c r="CR13" i="11" s="1"/>
  <c r="CR49" i="11" a="1"/>
  <c r="CR49" i="11" s="1"/>
  <c r="CQ10" i="11"/>
  <c r="CP67" i="11"/>
  <c r="CR31" i="11" a="1"/>
  <c r="CR31" i="11" s="1"/>
  <c r="CS74" i="11"/>
  <c r="CS75" i="11" s="1"/>
  <c r="CS41" i="11"/>
  <c r="CS42" i="11" s="1"/>
  <c r="CS32" i="11"/>
  <c r="CS33" i="11" s="1"/>
  <c r="CS50" i="11"/>
  <c r="CS51" i="11" s="1"/>
  <c r="CS23" i="11"/>
  <c r="CS24" i="11" s="1"/>
  <c r="CS14" i="11"/>
  <c r="CS15" i="11" s="1"/>
  <c r="CR40" i="11" a="1"/>
  <c r="CR40" i="11" s="1"/>
  <c r="CO9" i="11"/>
  <c r="CN66" i="11"/>
  <c r="CR6" i="11"/>
  <c r="CR63" i="11" s="1"/>
  <c r="CR62" i="11"/>
  <c r="CS5" i="11"/>
  <c r="CT1" i="11"/>
  <c r="E107" i="20" l="1"/>
  <c r="A109" i="20"/>
  <c r="C108" i="20"/>
  <c r="F108" i="20"/>
  <c r="G108" i="20" s="1"/>
  <c r="B108" i="20"/>
  <c r="E108" i="20" s="1"/>
  <c r="CR19" i="11"/>
  <c r="CR28" i="11"/>
  <c r="CR10" i="11"/>
  <c r="CQ67" i="11"/>
  <c r="CS13" i="11" a="1"/>
  <c r="CS13" i="11" s="1"/>
  <c r="CS22" i="11" a="1"/>
  <c r="CS22" i="11" s="1"/>
  <c r="CT74" i="11"/>
  <c r="CT75" i="11" s="1"/>
  <c r="CT41" i="11"/>
  <c r="CT42" i="11" s="1"/>
  <c r="CT32" i="11"/>
  <c r="CT33" i="11" s="1"/>
  <c r="CT50" i="11"/>
  <c r="CT51" i="11" s="1"/>
  <c r="CT14" i="11"/>
  <c r="CT15" i="11" s="1"/>
  <c r="CT23" i="11"/>
  <c r="CT24" i="11" s="1"/>
  <c r="CS40" i="11" a="1"/>
  <c r="CS40" i="11" s="1"/>
  <c r="CS49" i="11" a="1"/>
  <c r="CS49" i="11" s="1"/>
  <c r="CS4" i="11" a="1"/>
  <c r="CS4" i="11" s="1"/>
  <c r="CR61" i="11"/>
  <c r="CS31" i="11" a="1"/>
  <c r="CS31" i="11" s="1"/>
  <c r="CR55" i="11"/>
  <c r="CR37" i="11"/>
  <c r="CR46" i="11"/>
  <c r="CS6" i="11"/>
  <c r="CS63" i="11" s="1"/>
  <c r="CS62" i="11"/>
  <c r="CP9" i="11"/>
  <c r="CO66" i="11"/>
  <c r="CT5" i="11"/>
  <c r="CU1" i="11"/>
  <c r="D108" i="20" l="1"/>
  <c r="A110" i="20"/>
  <c r="B109" i="20"/>
  <c r="C109" i="20"/>
  <c r="F109" i="20"/>
  <c r="G109" i="20" s="1"/>
  <c r="CS19" i="11"/>
  <c r="CS55" i="11"/>
  <c r="CS37" i="11"/>
  <c r="CT40" i="11" a="1"/>
  <c r="CT40" i="11" s="1"/>
  <c r="CT4" i="11" a="1"/>
  <c r="CT4" i="11" s="1"/>
  <c r="CS61" i="11"/>
  <c r="CT31" i="11" a="1"/>
  <c r="CT31" i="11" s="1"/>
  <c r="CU74" i="11"/>
  <c r="CU75" i="11" s="1"/>
  <c r="CU32" i="11"/>
  <c r="CU33" i="11" s="1"/>
  <c r="CU41" i="11"/>
  <c r="CU42" i="11" s="1"/>
  <c r="CU50" i="11"/>
  <c r="CU51" i="11" s="1"/>
  <c r="CU14" i="11"/>
  <c r="CU15" i="11" s="1"/>
  <c r="CU23" i="11"/>
  <c r="CU24" i="11" s="1"/>
  <c r="CS46" i="11"/>
  <c r="CT49" i="11" a="1"/>
  <c r="CT49" i="11" s="1"/>
  <c r="CT22" i="11" a="1"/>
  <c r="CT22" i="11" s="1"/>
  <c r="CS10" i="11"/>
  <c r="CR67" i="11"/>
  <c r="CS28" i="11"/>
  <c r="CT13" i="11" a="1"/>
  <c r="CT13" i="11" s="1"/>
  <c r="CT6" i="11"/>
  <c r="CT63" i="11" s="1"/>
  <c r="CT62" i="11"/>
  <c r="CQ9" i="11"/>
  <c r="CP66" i="11"/>
  <c r="CU5" i="11"/>
  <c r="CV1" i="11"/>
  <c r="E109" i="20" l="1"/>
  <c r="D109" i="20"/>
  <c r="A111" i="20"/>
  <c r="F110" i="20"/>
  <c r="G110" i="20" s="1"/>
  <c r="B110" i="20"/>
  <c r="C110" i="20"/>
  <c r="CT55" i="11"/>
  <c r="CT46" i="11"/>
  <c r="CT28" i="11"/>
  <c r="CT37" i="11"/>
  <c r="CU40" i="11" a="1"/>
  <c r="CU40" i="11" s="1"/>
  <c r="CU31" i="11" a="1"/>
  <c r="CU31" i="11" s="1"/>
  <c r="CU4" i="11" a="1"/>
  <c r="CU4" i="11" s="1"/>
  <c r="CT61" i="11"/>
  <c r="CU13" i="11" a="1"/>
  <c r="CU13" i="11" s="1"/>
  <c r="CV74" i="11"/>
  <c r="CV75" i="11" s="1"/>
  <c r="CV50" i="11"/>
  <c r="CV51" i="11" s="1"/>
  <c r="CV32" i="11"/>
  <c r="CV33" i="11" s="1"/>
  <c r="CV41" i="11"/>
  <c r="CV42" i="11" s="1"/>
  <c r="CV23" i="11"/>
  <c r="CV24" i="11" s="1"/>
  <c r="CV14" i="11"/>
  <c r="CV15" i="11" s="1"/>
  <c r="CU22" i="11" a="1"/>
  <c r="CU22" i="11" s="1"/>
  <c r="CT10" i="11"/>
  <c r="CS67" i="11"/>
  <c r="CU49" i="11" a="1"/>
  <c r="CU49" i="11" s="1"/>
  <c r="CT19" i="11"/>
  <c r="CU6" i="11"/>
  <c r="CU63" i="11" s="1"/>
  <c r="CU62" i="11"/>
  <c r="CR9" i="11"/>
  <c r="CQ66" i="11"/>
  <c r="CV5" i="11"/>
  <c r="CW1" i="11"/>
  <c r="E110" i="20" l="1"/>
  <c r="A112" i="20"/>
  <c r="B111" i="20"/>
  <c r="C111" i="20"/>
  <c r="D111" i="20" s="1"/>
  <c r="F111" i="20"/>
  <c r="G111" i="20" s="1"/>
  <c r="D110" i="20"/>
  <c r="CU55" i="11"/>
  <c r="CU28" i="11"/>
  <c r="CU19" i="11"/>
  <c r="CU46" i="11"/>
  <c r="CU37" i="11"/>
  <c r="CV22" i="11" a="1"/>
  <c r="CV22" i="11" s="1"/>
  <c r="CV4" i="11" a="1"/>
  <c r="CV4" i="11" s="1"/>
  <c r="CU61" i="11"/>
  <c r="CV40" i="11" a="1"/>
  <c r="CV40" i="11" s="1"/>
  <c r="CW74" i="11"/>
  <c r="CW75" i="11" s="1"/>
  <c r="CW41" i="11"/>
  <c r="CW42" i="11" s="1"/>
  <c r="CW32" i="11"/>
  <c r="CW33" i="11" s="1"/>
  <c r="CW50" i="11"/>
  <c r="CW51" i="11" s="1"/>
  <c r="CW23" i="11"/>
  <c r="CW24" i="11" s="1"/>
  <c r="CW14" i="11"/>
  <c r="CW15" i="11" s="1"/>
  <c r="CV31" i="11" a="1"/>
  <c r="CV31" i="11" s="1"/>
  <c r="CV49" i="11" a="1"/>
  <c r="CV49" i="11" s="1"/>
  <c r="CU10" i="11"/>
  <c r="CT67" i="11"/>
  <c r="CV13" i="11" a="1"/>
  <c r="CV13" i="11" s="1"/>
  <c r="CV6" i="11"/>
  <c r="CV63" i="11" s="1"/>
  <c r="CV62" i="11"/>
  <c r="CS9" i="11"/>
  <c r="CR66" i="11"/>
  <c r="CW5" i="11"/>
  <c r="CX1" i="11"/>
  <c r="E111" i="20" l="1"/>
  <c r="A113" i="20"/>
  <c r="C112" i="20"/>
  <c r="F112" i="20"/>
  <c r="G112" i="20" s="1"/>
  <c r="B112" i="20"/>
  <c r="E112" i="20" s="1"/>
  <c r="CV28" i="11"/>
  <c r="CV19" i="11"/>
  <c r="CV46" i="11"/>
  <c r="CW4" i="11" a="1"/>
  <c r="CW4" i="11" s="1"/>
  <c r="CV61" i="11"/>
  <c r="CW31" i="11" a="1"/>
  <c r="CW31" i="11" s="1"/>
  <c r="CU67" i="11"/>
  <c r="CV10" i="11"/>
  <c r="CW40" i="11" a="1"/>
  <c r="CW40" i="11" s="1"/>
  <c r="CW22" i="11" a="1"/>
  <c r="CW22" i="11" s="1"/>
  <c r="CX74" i="11"/>
  <c r="CX75" i="11" s="1"/>
  <c r="CX41" i="11"/>
  <c r="CX42" i="11" s="1"/>
  <c r="CX50" i="11"/>
  <c r="CX51" i="11" s="1"/>
  <c r="CX32" i="11"/>
  <c r="CX33" i="11" s="1"/>
  <c r="CX23" i="11"/>
  <c r="CX24" i="11" s="1"/>
  <c r="CX14" i="11"/>
  <c r="CX15" i="11" s="1"/>
  <c r="CW13" i="11" a="1"/>
  <c r="CW13" i="11" s="1"/>
  <c r="CW49" i="11" a="1"/>
  <c r="CW49" i="11" s="1"/>
  <c r="CV37" i="11"/>
  <c r="CV55" i="11"/>
  <c r="CW6" i="11"/>
  <c r="CW63" i="11" s="1"/>
  <c r="CW62" i="11"/>
  <c r="CT9" i="11"/>
  <c r="CS66" i="11"/>
  <c r="CX5" i="11"/>
  <c r="CY1" i="11"/>
  <c r="CW37" i="11" l="1"/>
  <c r="A114" i="20"/>
  <c r="B113" i="20"/>
  <c r="C113" i="20"/>
  <c r="D113" i="20" s="1"/>
  <c r="F113" i="20"/>
  <c r="G113" i="20" s="1"/>
  <c r="D112" i="20"/>
  <c r="CW28" i="11"/>
  <c r="CW46" i="11"/>
  <c r="CW19" i="11"/>
  <c r="CX49" i="11" a="1"/>
  <c r="CX49" i="11" s="1"/>
  <c r="CX13" i="11" a="1"/>
  <c r="CX13" i="11" s="1"/>
  <c r="CX31" i="11" a="1"/>
  <c r="CX31" i="11" s="1"/>
  <c r="CY74" i="11"/>
  <c r="CY75" i="11" s="1"/>
  <c r="CY41" i="11"/>
  <c r="CY42" i="11" s="1"/>
  <c r="CY32" i="11"/>
  <c r="CY33" i="11" s="1"/>
  <c r="CY50" i="11"/>
  <c r="CY51" i="11" s="1"/>
  <c r="CY23" i="11"/>
  <c r="CY24" i="11" s="1"/>
  <c r="CY14" i="11"/>
  <c r="CY15" i="11" s="1"/>
  <c r="CW55" i="11"/>
  <c r="CX40" i="11" a="1"/>
  <c r="CX40" i="11" s="1"/>
  <c r="CX22" i="11" a="1"/>
  <c r="CX22" i="11" s="1"/>
  <c r="CV67" i="11"/>
  <c r="CW10" i="11"/>
  <c r="CX4" i="11" a="1"/>
  <c r="CX4" i="11" s="1"/>
  <c r="CW61" i="11"/>
  <c r="CU9" i="11"/>
  <c r="CT66" i="11"/>
  <c r="CX6" i="11"/>
  <c r="CX63" i="11" s="1"/>
  <c r="CX62" i="11"/>
  <c r="CY5" i="11"/>
  <c r="CZ1" i="11"/>
  <c r="CX37" i="11" l="1"/>
  <c r="E113" i="20"/>
  <c r="A115" i="20"/>
  <c r="B114" i="20"/>
  <c r="E114" i="20" s="1"/>
  <c r="C114" i="20"/>
  <c r="F114" i="20"/>
  <c r="G114" i="20" s="1"/>
  <c r="CX28" i="11"/>
  <c r="CX55" i="11"/>
  <c r="CY13" i="11" a="1"/>
  <c r="CY13" i="11" s="1"/>
  <c r="CX10" i="11"/>
  <c r="CW67" i="11"/>
  <c r="CX19" i="11"/>
  <c r="CY49" i="11" a="1"/>
  <c r="CY49" i="11" s="1"/>
  <c r="CZ74" i="11"/>
  <c r="CZ75" i="11" s="1"/>
  <c r="CZ41" i="11"/>
  <c r="CZ42" i="11" s="1"/>
  <c r="CZ32" i="11"/>
  <c r="CZ33" i="11" s="1"/>
  <c r="CZ50" i="11"/>
  <c r="CZ51" i="11" s="1"/>
  <c r="CZ14" i="11"/>
  <c r="CZ15" i="11" s="1"/>
  <c r="CZ23" i="11"/>
  <c r="CZ24" i="11" s="1"/>
  <c r="CY40" i="11" a="1"/>
  <c r="CY40" i="11" s="1"/>
  <c r="CY31" i="11" a="1"/>
  <c r="CY31" i="11" s="1"/>
  <c r="CY4" i="11" a="1"/>
  <c r="CY4" i="11" s="1"/>
  <c r="CX61" i="11"/>
  <c r="CY22" i="11" a="1"/>
  <c r="CY22" i="11" s="1"/>
  <c r="CX46" i="11"/>
  <c r="CY6" i="11"/>
  <c r="CY63" i="11" s="1"/>
  <c r="CY62" i="11"/>
  <c r="CV9" i="11"/>
  <c r="CU66" i="11"/>
  <c r="CZ5" i="11"/>
  <c r="DA1" i="11"/>
  <c r="D114" i="20" l="1"/>
  <c r="A116" i="20"/>
  <c r="C115" i="20"/>
  <c r="F115" i="20"/>
  <c r="G115" i="20" s="1"/>
  <c r="B115" i="20"/>
  <c r="E115" i="20" s="1"/>
  <c r="CY46" i="11"/>
  <c r="CZ31" i="11" a="1"/>
  <c r="CZ31" i="11" s="1"/>
  <c r="CZ49" i="11" a="1"/>
  <c r="CZ49" i="11" s="1"/>
  <c r="CY37" i="11"/>
  <c r="CZ22" i="11" a="1"/>
  <c r="CZ22" i="11" s="1"/>
  <c r="CY55" i="11"/>
  <c r="CY10" i="11"/>
  <c r="CX67" i="11"/>
  <c r="DA74" i="11"/>
  <c r="DA75" i="11" s="1"/>
  <c r="DA32" i="11"/>
  <c r="DA33" i="11" s="1"/>
  <c r="DA50" i="11"/>
  <c r="DA51" i="11" s="1"/>
  <c r="DA41" i="11"/>
  <c r="DA42" i="11" s="1"/>
  <c r="DA23" i="11"/>
  <c r="DA24" i="11" s="1"/>
  <c r="DA14" i="11"/>
  <c r="DA15" i="11" s="1"/>
  <c r="CZ40" i="11" a="1"/>
  <c r="CZ40" i="11" s="1"/>
  <c r="CZ13" i="11" a="1"/>
  <c r="CZ13" i="11" s="1"/>
  <c r="CY28" i="11"/>
  <c r="CZ4" i="11" a="1"/>
  <c r="CZ4" i="11" s="1"/>
  <c r="CY61" i="11"/>
  <c r="CY19" i="11"/>
  <c r="CZ6" i="11"/>
  <c r="CZ63" i="11" s="1"/>
  <c r="CZ62" i="11"/>
  <c r="CW9" i="11"/>
  <c r="CV66" i="11"/>
  <c r="DA5" i="11"/>
  <c r="DB1" i="11"/>
  <c r="D115" i="20" l="1"/>
  <c r="A117" i="20"/>
  <c r="B116" i="20"/>
  <c r="C116" i="20"/>
  <c r="D116" i="20" s="1"/>
  <c r="F116" i="20"/>
  <c r="G116" i="20" s="1"/>
  <c r="CZ28" i="11"/>
  <c r="CZ37" i="11"/>
  <c r="CZ19" i="11"/>
  <c r="DA40" i="11" a="1"/>
  <c r="DA40" i="11" s="1"/>
  <c r="CZ10" i="11"/>
  <c r="CY67" i="11"/>
  <c r="CZ46" i="11"/>
  <c r="DA49" i="11" a="1"/>
  <c r="DA49" i="11" s="1"/>
  <c r="DA4" i="11" a="1"/>
  <c r="DA4" i="11" s="1"/>
  <c r="CZ61" i="11"/>
  <c r="DA13" i="11" a="1"/>
  <c r="DA13" i="11" s="1"/>
  <c r="CZ55" i="11"/>
  <c r="DB74" i="11"/>
  <c r="DB75" i="11" s="1"/>
  <c r="DB50" i="11"/>
  <c r="DB51" i="11" s="1"/>
  <c r="DB41" i="11"/>
  <c r="DB42" i="11" s="1"/>
  <c r="DB32" i="11"/>
  <c r="DB33" i="11" s="1"/>
  <c r="DB23" i="11"/>
  <c r="DB24" i="11" s="1"/>
  <c r="DB14" i="11"/>
  <c r="DB15" i="11" s="1"/>
  <c r="DA22" i="11" a="1"/>
  <c r="DA22" i="11" s="1"/>
  <c r="DA31" i="11" a="1"/>
  <c r="DA31" i="11" s="1"/>
  <c r="DA6" i="11"/>
  <c r="DA63" i="11" s="1"/>
  <c r="DA62" i="11"/>
  <c r="CX9" i="11"/>
  <c r="CW66" i="11"/>
  <c r="DB5" i="11"/>
  <c r="DC1" i="11"/>
  <c r="DA55" i="11" l="1"/>
  <c r="E116" i="20"/>
  <c r="A118" i="20"/>
  <c r="B117" i="20"/>
  <c r="C117" i="20"/>
  <c r="F117" i="20"/>
  <c r="G117" i="20" s="1"/>
  <c r="DA28" i="11"/>
  <c r="DA37" i="11"/>
  <c r="DA19" i="11"/>
  <c r="DA46" i="11"/>
  <c r="DB40" i="11" a="1"/>
  <c r="DB40" i="11" s="1"/>
  <c r="DB4" i="11" a="1"/>
  <c r="DB4" i="11" s="1"/>
  <c r="DA61" i="11"/>
  <c r="DB22" i="11" a="1"/>
  <c r="DB22" i="11" s="1"/>
  <c r="DC74" i="11"/>
  <c r="DC75" i="11" s="1"/>
  <c r="DC41" i="11"/>
  <c r="DC42" i="11" s="1"/>
  <c r="DC32" i="11"/>
  <c r="DC33" i="11" s="1"/>
  <c r="DC50" i="11"/>
  <c r="DC51" i="11" s="1"/>
  <c r="DC14" i="11"/>
  <c r="DC15" i="11" s="1"/>
  <c r="DC23" i="11"/>
  <c r="DC24" i="11" s="1"/>
  <c r="DB49" i="11" a="1"/>
  <c r="DB49" i="11" s="1"/>
  <c r="DB31" i="11" a="1"/>
  <c r="DB31" i="11" s="1"/>
  <c r="DB13" i="11" a="1"/>
  <c r="DB13" i="11" s="1"/>
  <c r="CZ67" i="11"/>
  <c r="DA10" i="11"/>
  <c r="DB6" i="11"/>
  <c r="DB63" i="11" s="1"/>
  <c r="DB62" i="11"/>
  <c r="CY9" i="11"/>
  <c r="CX66" i="11"/>
  <c r="DC5" i="11"/>
  <c r="DD1" i="11"/>
  <c r="D117" i="20" l="1"/>
  <c r="DB55" i="11"/>
  <c r="E117" i="20"/>
  <c r="A119" i="20"/>
  <c r="B118" i="20"/>
  <c r="C118" i="20"/>
  <c r="D118" i="20" s="1"/>
  <c r="F118" i="20"/>
  <c r="G118" i="20" s="1"/>
  <c r="DB19" i="11"/>
  <c r="DB46" i="11"/>
  <c r="DC4" i="11" a="1"/>
  <c r="DC4" i="11" s="1"/>
  <c r="DB61" i="11"/>
  <c r="DC49" i="11" a="1"/>
  <c r="DC49" i="11" s="1"/>
  <c r="DC13" i="11" a="1"/>
  <c r="DC13" i="11" s="1"/>
  <c r="DC22" i="11" a="1"/>
  <c r="DC22" i="11" s="1"/>
  <c r="DC31" i="11" a="1"/>
  <c r="DC31" i="11" s="1"/>
  <c r="DB37" i="11"/>
  <c r="DD74" i="11"/>
  <c r="DD75" i="11" s="1"/>
  <c r="DD41" i="11"/>
  <c r="DD42" i="11" s="1"/>
  <c r="DD32" i="11"/>
  <c r="DD33" i="11" s="1"/>
  <c r="DD50" i="11"/>
  <c r="DD51" i="11" s="1"/>
  <c r="DD23" i="11"/>
  <c r="DD24" i="11" s="1"/>
  <c r="DD14" i="11"/>
  <c r="DD15" i="11" s="1"/>
  <c r="DA67" i="11"/>
  <c r="DB10" i="11"/>
  <c r="DC40" i="11" a="1"/>
  <c r="DC40" i="11" s="1"/>
  <c r="DB28" i="11"/>
  <c r="DC6" i="11"/>
  <c r="DC63" i="11" s="1"/>
  <c r="DC62" i="11"/>
  <c r="CZ9" i="11"/>
  <c r="CY66" i="11"/>
  <c r="DD5" i="11"/>
  <c r="DE1" i="11"/>
  <c r="E118" i="20" l="1"/>
  <c r="A120" i="20"/>
  <c r="B119" i="20"/>
  <c r="C119" i="20"/>
  <c r="D119" i="20" s="1"/>
  <c r="F119" i="20"/>
  <c r="G119" i="20" s="1"/>
  <c r="DC19" i="11"/>
  <c r="DC37" i="11"/>
  <c r="DD22" i="11" a="1"/>
  <c r="DD22" i="11" s="1"/>
  <c r="DD4" i="11" a="1"/>
  <c r="DD4" i="11" s="1"/>
  <c r="DC61" i="11"/>
  <c r="DD49" i="11" a="1"/>
  <c r="DD49" i="11" s="1"/>
  <c r="DE74" i="11"/>
  <c r="DE75" i="11" s="1"/>
  <c r="DE50" i="11"/>
  <c r="DE51" i="11" s="1"/>
  <c r="DE41" i="11"/>
  <c r="DE42" i="11" s="1"/>
  <c r="DE32" i="11"/>
  <c r="DE33" i="11" s="1"/>
  <c r="DE23" i="11"/>
  <c r="DE24" i="11" s="1"/>
  <c r="DE14" i="11"/>
  <c r="DE15" i="11" s="1"/>
  <c r="DC28" i="11"/>
  <c r="DB67" i="11"/>
  <c r="DC10" i="11"/>
  <c r="DC55" i="11"/>
  <c r="DD40" i="11" a="1"/>
  <c r="DD40" i="11" s="1"/>
  <c r="DD31" i="11" a="1"/>
  <c r="DD31" i="11" s="1"/>
  <c r="DD13" i="11" a="1"/>
  <c r="DD13" i="11" s="1"/>
  <c r="DC46" i="11"/>
  <c r="DD6" i="11"/>
  <c r="DD63" i="11" s="1"/>
  <c r="DD62" i="11"/>
  <c r="DA9" i="11"/>
  <c r="CZ66" i="11"/>
  <c r="DE5" i="11"/>
  <c r="DF1" i="11"/>
  <c r="E119" i="20" l="1"/>
  <c r="A121" i="20"/>
  <c r="C120" i="20"/>
  <c r="F120" i="20"/>
  <c r="G120" i="20" s="1"/>
  <c r="B120" i="20"/>
  <c r="E120" i="20" s="1"/>
  <c r="DD55" i="11"/>
  <c r="DD19" i="11"/>
  <c r="DD37" i="11"/>
  <c r="DD28" i="11"/>
  <c r="DE40" i="11" a="1"/>
  <c r="DE40" i="11" s="1"/>
  <c r="DF74" i="11"/>
  <c r="DF75" i="11" s="1"/>
  <c r="DF32" i="11"/>
  <c r="DF33" i="11" s="1"/>
  <c r="DF41" i="11"/>
  <c r="DF42" i="11" s="1"/>
  <c r="DF50" i="11"/>
  <c r="DF51" i="11" s="1"/>
  <c r="DF23" i="11"/>
  <c r="DF24" i="11" s="1"/>
  <c r="DF14" i="11"/>
  <c r="DF15" i="11" s="1"/>
  <c r="DD46" i="11"/>
  <c r="DE4" i="11" a="1"/>
  <c r="DE4" i="11" s="1"/>
  <c r="DD61" i="11"/>
  <c r="DE31" i="11" a="1"/>
  <c r="DE31" i="11" s="1"/>
  <c r="DE13" i="11" a="1"/>
  <c r="DE13" i="11" s="1"/>
  <c r="DD10" i="11"/>
  <c r="DC67" i="11"/>
  <c r="DE49" i="11" a="1"/>
  <c r="DE49" i="11" s="1"/>
  <c r="DE22" i="11" a="1"/>
  <c r="DE22" i="11" s="1"/>
  <c r="DE28" i="11" s="1"/>
  <c r="DE6" i="11"/>
  <c r="DE63" i="11" s="1"/>
  <c r="DE62" i="11"/>
  <c r="DB9" i="11"/>
  <c r="DA66" i="11"/>
  <c r="DF5" i="11"/>
  <c r="DG1" i="11"/>
  <c r="D120" i="20" l="1"/>
  <c r="A122" i="20"/>
  <c r="B121" i="20"/>
  <c r="C121" i="20"/>
  <c r="D121" i="20" s="1"/>
  <c r="F121" i="20"/>
  <c r="G121" i="20" s="1"/>
  <c r="DE19" i="11"/>
  <c r="DE55" i="11"/>
  <c r="DE46" i="11"/>
  <c r="DD67" i="11"/>
  <c r="DE10" i="11"/>
  <c r="DF31" i="11" a="1"/>
  <c r="DF31" i="11" s="1"/>
  <c r="DE37" i="11"/>
  <c r="DG74" i="11"/>
  <c r="DG75" i="11" s="1"/>
  <c r="DG32" i="11"/>
  <c r="DG33" i="11" s="1"/>
  <c r="DG50" i="11"/>
  <c r="DG51" i="11" s="1"/>
  <c r="DG41" i="11"/>
  <c r="DG42" i="11" s="1"/>
  <c r="DG23" i="11"/>
  <c r="DG24" i="11" s="1"/>
  <c r="DG14" i="11"/>
  <c r="DG15" i="11" s="1"/>
  <c r="DF22" i="11" a="1"/>
  <c r="DF22" i="11" s="1"/>
  <c r="DF40" i="11" a="1"/>
  <c r="DF40" i="11" s="1"/>
  <c r="DF49" i="11" a="1"/>
  <c r="DF49" i="11" s="1"/>
  <c r="DF13" i="11" a="1"/>
  <c r="DF13" i="11" s="1"/>
  <c r="DF4" i="11" a="1"/>
  <c r="DF4" i="11" s="1"/>
  <c r="DE61" i="11"/>
  <c r="DF6" i="11"/>
  <c r="DF63" i="11" s="1"/>
  <c r="DF62" i="11"/>
  <c r="DC9" i="11"/>
  <c r="DB66" i="11"/>
  <c r="DG5" i="11"/>
  <c r="DH1" i="11"/>
  <c r="E121" i="20" l="1"/>
  <c r="A123" i="20"/>
  <c r="B122" i="20"/>
  <c r="C122" i="20"/>
  <c r="F122" i="20"/>
  <c r="G122" i="20" s="1"/>
  <c r="DF46" i="11"/>
  <c r="DF19" i="11"/>
  <c r="DF37" i="11"/>
  <c r="DG49" i="11" a="1"/>
  <c r="DG49" i="11" s="1"/>
  <c r="DG22" i="11" a="1"/>
  <c r="DG22" i="11" s="1"/>
  <c r="DF28" i="11"/>
  <c r="DH74" i="11"/>
  <c r="DH75" i="11" s="1"/>
  <c r="DH32" i="11"/>
  <c r="DH33" i="11" s="1"/>
  <c r="DH41" i="11"/>
  <c r="DH42" i="11" s="1"/>
  <c r="DH50" i="11"/>
  <c r="DH51" i="11" s="1"/>
  <c r="DH14" i="11"/>
  <c r="DH15" i="11" s="1"/>
  <c r="DH23" i="11"/>
  <c r="DH24" i="11" s="1"/>
  <c r="DG4" i="11" a="1"/>
  <c r="DG4" i="11" s="1"/>
  <c r="DF61" i="11"/>
  <c r="DG31" i="11" a="1"/>
  <c r="DG31" i="11" s="1"/>
  <c r="DG13" i="11" a="1"/>
  <c r="DG13" i="11" s="1"/>
  <c r="DG40" i="11" a="1"/>
  <c r="DG40" i="11" s="1"/>
  <c r="DE67" i="11"/>
  <c r="DF10" i="11"/>
  <c r="DF55" i="11"/>
  <c r="DD9" i="11"/>
  <c r="DC66" i="11"/>
  <c r="DG6" i="11"/>
  <c r="DG63" i="11" s="1"/>
  <c r="DG62" i="11"/>
  <c r="DH5" i="11"/>
  <c r="DI1" i="11"/>
  <c r="E122" i="20" l="1"/>
  <c r="D122" i="20"/>
  <c r="A124" i="20"/>
  <c r="B123" i="20"/>
  <c r="C123" i="20"/>
  <c r="D123" i="20" s="1"/>
  <c r="F123" i="20"/>
  <c r="G123" i="20" s="1"/>
  <c r="DG37" i="11"/>
  <c r="DG55" i="11"/>
  <c r="DG28" i="11"/>
  <c r="DH40" i="11" a="1"/>
  <c r="DH40" i="11" s="1"/>
  <c r="DH31" i="11" a="1"/>
  <c r="DH31" i="11" s="1"/>
  <c r="DI74" i="11"/>
  <c r="DI75" i="11" s="1"/>
  <c r="DI41" i="11"/>
  <c r="DI42" i="11" s="1"/>
  <c r="DI32" i="11"/>
  <c r="DI33" i="11" s="1"/>
  <c r="DI50" i="11"/>
  <c r="DI51" i="11" s="1"/>
  <c r="DI14" i="11"/>
  <c r="DI15" i="11" s="1"/>
  <c r="DI23" i="11"/>
  <c r="DI24" i="11" s="1"/>
  <c r="DH13" i="11" a="1"/>
  <c r="DH13" i="11" s="1"/>
  <c r="DH49" i="11" a="1"/>
  <c r="DH49" i="11" s="1"/>
  <c r="DG19" i="11"/>
  <c r="DF67" i="11"/>
  <c r="DG10" i="11"/>
  <c r="DH4" i="11" a="1"/>
  <c r="DH4" i="11" s="1"/>
  <c r="DG61" i="11"/>
  <c r="DH22" i="11" a="1"/>
  <c r="DH22" i="11" s="1"/>
  <c r="DG46" i="11"/>
  <c r="DH6" i="11"/>
  <c r="DH63" i="11" s="1"/>
  <c r="DH62" i="11"/>
  <c r="DE9" i="11"/>
  <c r="DD66" i="11"/>
  <c r="DI5" i="11"/>
  <c r="DJ1" i="11"/>
  <c r="DH55" i="11" l="1"/>
  <c r="E123" i="20"/>
  <c r="A125" i="20"/>
  <c r="B124" i="20"/>
  <c r="C124" i="20"/>
  <c r="F124" i="20"/>
  <c r="G124" i="20" s="1"/>
  <c r="DH37" i="11"/>
  <c r="DH46" i="11"/>
  <c r="DH19" i="11"/>
  <c r="DI22" i="11" a="1"/>
  <c r="DI22" i="11" s="1"/>
  <c r="DH10" i="11"/>
  <c r="DG67" i="11"/>
  <c r="DH28" i="11"/>
  <c r="DI31" i="11" a="1"/>
  <c r="DI31" i="11" s="1"/>
  <c r="DI13" i="11" a="1"/>
  <c r="DI13" i="11" s="1"/>
  <c r="DI40" i="11" a="1"/>
  <c r="DI40" i="11" s="1"/>
  <c r="DI4" i="11" a="1"/>
  <c r="DI4" i="11" s="1"/>
  <c r="DH61" i="11"/>
  <c r="DJ74" i="11"/>
  <c r="DJ75" i="11" s="1"/>
  <c r="DJ32" i="11"/>
  <c r="DJ33" i="11" s="1"/>
  <c r="DJ41" i="11"/>
  <c r="DJ42" i="11" s="1"/>
  <c r="DJ50" i="11"/>
  <c r="DJ51" i="11" s="1"/>
  <c r="DJ14" i="11"/>
  <c r="DJ15" i="11" s="1"/>
  <c r="DJ23" i="11"/>
  <c r="DJ24" i="11" s="1"/>
  <c r="DI49" i="11" a="1"/>
  <c r="DI49" i="11" s="1"/>
  <c r="DI6" i="11"/>
  <c r="DI63" i="11" s="1"/>
  <c r="DI62" i="11"/>
  <c r="DF9" i="11"/>
  <c r="DE66" i="11"/>
  <c r="DJ5" i="11"/>
  <c r="DK1" i="11"/>
  <c r="E124" i="20" l="1"/>
  <c r="DI37" i="11"/>
  <c r="D124" i="20"/>
  <c r="A126" i="20"/>
  <c r="F125" i="20"/>
  <c r="G125" i="20" s="1"/>
  <c r="C125" i="20"/>
  <c r="B125" i="20"/>
  <c r="E125" i="20" s="1"/>
  <c r="DI46" i="11"/>
  <c r="DI19" i="11"/>
  <c r="DJ49" i="11" a="1"/>
  <c r="DJ49" i="11" s="1"/>
  <c r="DJ40" i="11" a="1"/>
  <c r="DJ40" i="11" s="1"/>
  <c r="DI28" i="11"/>
  <c r="DJ13" i="11" a="1"/>
  <c r="DJ13" i="11" s="1"/>
  <c r="DK74" i="11"/>
  <c r="DK75" i="11" s="1"/>
  <c r="DK32" i="11"/>
  <c r="DK33" i="11" s="1"/>
  <c r="DK41" i="11"/>
  <c r="DK42" i="11" s="1"/>
  <c r="DK50" i="11"/>
  <c r="DK51" i="11" s="1"/>
  <c r="DK14" i="11"/>
  <c r="DK15" i="11" s="1"/>
  <c r="DK23" i="11"/>
  <c r="DK24" i="11" s="1"/>
  <c r="DJ4" i="11" a="1"/>
  <c r="DJ4" i="11" s="1"/>
  <c r="DI61" i="11"/>
  <c r="DJ31" i="11" a="1"/>
  <c r="DJ31" i="11" s="1"/>
  <c r="DI10" i="11"/>
  <c r="DH67" i="11"/>
  <c r="DI55" i="11"/>
  <c r="DJ22" i="11" a="1"/>
  <c r="DJ22" i="11" s="1"/>
  <c r="DJ6" i="11"/>
  <c r="DJ63" i="11" s="1"/>
  <c r="DJ62" i="11"/>
  <c r="DG9" i="11"/>
  <c r="DF66" i="11"/>
  <c r="DK5" i="11"/>
  <c r="DL1" i="11"/>
  <c r="DJ37" i="11" l="1"/>
  <c r="DJ46" i="11"/>
  <c r="D125" i="20"/>
  <c r="A127" i="20"/>
  <c r="B126" i="20"/>
  <c r="C126" i="20"/>
  <c r="F126" i="20"/>
  <c r="G126" i="20" s="1"/>
  <c r="DJ55" i="11"/>
  <c r="DK4" i="11" a="1"/>
  <c r="DK4" i="11" s="1"/>
  <c r="DJ61" i="11"/>
  <c r="DK13" i="11" a="1"/>
  <c r="DK13" i="11" s="1"/>
  <c r="DK40" i="11" a="1"/>
  <c r="DK40" i="11" s="1"/>
  <c r="DJ10" i="11"/>
  <c r="DI67" i="11"/>
  <c r="DK49" i="11" a="1"/>
  <c r="DK49" i="11" s="1"/>
  <c r="DL74" i="11"/>
  <c r="DL75" i="11" s="1"/>
  <c r="DL50" i="11"/>
  <c r="DL51" i="11" s="1"/>
  <c r="DL41" i="11"/>
  <c r="DL42" i="11" s="1"/>
  <c r="DL32" i="11"/>
  <c r="DL33" i="11" s="1"/>
  <c r="DL23" i="11"/>
  <c r="DL24" i="11" s="1"/>
  <c r="DL14" i="11"/>
  <c r="DL15" i="11" s="1"/>
  <c r="DK31" i="11" a="1"/>
  <c r="DK31" i="11" s="1"/>
  <c r="DK22" i="11" a="1"/>
  <c r="DK22" i="11" s="1"/>
  <c r="DJ28" i="11"/>
  <c r="DJ19" i="11"/>
  <c r="DK6" i="11"/>
  <c r="DK63" i="11" s="1"/>
  <c r="DK62" i="11"/>
  <c r="DH9" i="11"/>
  <c r="DG66" i="11"/>
  <c r="DL5" i="11"/>
  <c r="DM1" i="11"/>
  <c r="E126" i="20" l="1"/>
  <c r="DK46" i="11"/>
  <c r="D126" i="20"/>
  <c r="A128" i="20"/>
  <c r="B127" i="20"/>
  <c r="C127" i="20"/>
  <c r="D127" i="20" s="1"/>
  <c r="F127" i="20"/>
  <c r="G127" i="20" s="1"/>
  <c r="DK55" i="11"/>
  <c r="DL31" i="11" a="1"/>
  <c r="DL31" i="11" s="1"/>
  <c r="DL49" i="11" a="1"/>
  <c r="DL49" i="11" s="1"/>
  <c r="DK10" i="11"/>
  <c r="DJ67" i="11"/>
  <c r="DL13" i="11" a="1"/>
  <c r="DL13" i="11" s="1"/>
  <c r="DL22" i="11" a="1"/>
  <c r="DL22" i="11" s="1"/>
  <c r="DM74" i="11"/>
  <c r="DM75" i="11" s="1"/>
  <c r="DM32" i="11"/>
  <c r="DM33" i="11" s="1"/>
  <c r="DM41" i="11"/>
  <c r="DM42" i="11" s="1"/>
  <c r="DM50" i="11"/>
  <c r="DM51" i="11" s="1"/>
  <c r="DM23" i="11"/>
  <c r="DM24" i="11" s="1"/>
  <c r="DM14" i="11"/>
  <c r="DM15" i="11" s="1"/>
  <c r="DK19" i="11"/>
  <c r="DK37" i="11"/>
  <c r="DL4" i="11" a="1"/>
  <c r="DL4" i="11" s="1"/>
  <c r="DK61" i="11"/>
  <c r="DK28" i="11"/>
  <c r="DL40" i="11" a="1"/>
  <c r="DL40" i="11" s="1"/>
  <c r="DL6" i="11"/>
  <c r="DL63" i="11" s="1"/>
  <c r="DL62" i="11"/>
  <c r="DI9" i="11"/>
  <c r="DH66" i="11"/>
  <c r="DM5" i="11"/>
  <c r="DN1" i="11"/>
  <c r="DL46" i="11" l="1"/>
  <c r="E127" i="20"/>
  <c r="A129" i="20"/>
  <c r="C128" i="20"/>
  <c r="F128" i="20"/>
  <c r="G128" i="20" s="1"/>
  <c r="B128" i="20"/>
  <c r="E128" i="20" s="1"/>
  <c r="DL55" i="11"/>
  <c r="DL19" i="11"/>
  <c r="DL37" i="11"/>
  <c r="DL28" i="11"/>
  <c r="DN74" i="11"/>
  <c r="DN75" i="11" s="1"/>
  <c r="DN32" i="11"/>
  <c r="DN33" i="11" s="1"/>
  <c r="DN41" i="11"/>
  <c r="DN42" i="11" s="1"/>
  <c r="DN50" i="11"/>
  <c r="DN51" i="11" s="1"/>
  <c r="DN23" i="11"/>
  <c r="DN24" i="11" s="1"/>
  <c r="DN14" i="11"/>
  <c r="DN15" i="11" s="1"/>
  <c r="DM13" i="11" a="1"/>
  <c r="DM13" i="11" s="1"/>
  <c r="DM31" i="11" a="1"/>
  <c r="DM31" i="11" s="1"/>
  <c r="DL10" i="11"/>
  <c r="DK67" i="11"/>
  <c r="DM40" i="11" a="1"/>
  <c r="DM40" i="11" s="1"/>
  <c r="DM4" i="11" a="1"/>
  <c r="DM4" i="11" s="1"/>
  <c r="DL61" i="11"/>
  <c r="DM22" i="11" a="1"/>
  <c r="DM22" i="11" s="1"/>
  <c r="DM49" i="11" a="1"/>
  <c r="DM49" i="11" s="1"/>
  <c r="DM6" i="11"/>
  <c r="DM63" i="11" s="1"/>
  <c r="DM62" i="11"/>
  <c r="DJ9" i="11"/>
  <c r="DI66" i="11"/>
  <c r="DN5" i="11"/>
  <c r="DO1" i="11"/>
  <c r="D128" i="20" l="1"/>
  <c r="A130" i="20"/>
  <c r="C129" i="20"/>
  <c r="F129" i="20"/>
  <c r="G129" i="20" s="1"/>
  <c r="B129" i="20"/>
  <c r="E129" i="20" s="1"/>
  <c r="DN49" i="11" a="1"/>
  <c r="DN49" i="11" s="1"/>
  <c r="DN31" i="11" a="1"/>
  <c r="DN31" i="11" s="1"/>
  <c r="DN22" i="11" a="1"/>
  <c r="DN22" i="11" s="1"/>
  <c r="DN13" i="11" a="1"/>
  <c r="DN13" i="11" s="1"/>
  <c r="DN40" i="11" a="1"/>
  <c r="DN40" i="11" s="1"/>
  <c r="DO74" i="11"/>
  <c r="DO75" i="11" s="1"/>
  <c r="DO41" i="11"/>
  <c r="DO42" i="11" s="1"/>
  <c r="DO32" i="11"/>
  <c r="DO33" i="11" s="1"/>
  <c r="DO50" i="11"/>
  <c r="DO51" i="11" s="1"/>
  <c r="DO23" i="11"/>
  <c r="DO24" i="11" s="1"/>
  <c r="DO14" i="11"/>
  <c r="DO15" i="11" s="1"/>
  <c r="DM19" i="11"/>
  <c r="DM46" i="11"/>
  <c r="DN4" i="11" a="1"/>
  <c r="DN4" i="11" s="1"/>
  <c r="DM61" i="11"/>
  <c r="DM55" i="11"/>
  <c r="DM37" i="11"/>
  <c r="DL67" i="11"/>
  <c r="DM10" i="11"/>
  <c r="DM28" i="11"/>
  <c r="DN6" i="11"/>
  <c r="DN63" i="11" s="1"/>
  <c r="DN62" i="11"/>
  <c r="DK9" i="11"/>
  <c r="DJ66" i="11"/>
  <c r="DO5" i="11"/>
  <c r="DP1" i="11"/>
  <c r="DN37" i="11" l="1"/>
  <c r="D129" i="20"/>
  <c r="A131" i="20"/>
  <c r="B130" i="20"/>
  <c r="C130" i="20"/>
  <c r="F130" i="20"/>
  <c r="G130" i="20" s="1"/>
  <c r="DN55" i="11"/>
  <c r="DO40" i="11" a="1"/>
  <c r="DO40" i="11" s="1"/>
  <c r="DN46" i="11"/>
  <c r="DN19" i="11"/>
  <c r="DN28" i="11"/>
  <c r="DO22" i="11" a="1"/>
  <c r="DO22" i="11" s="1"/>
  <c r="DO31" i="11" a="1"/>
  <c r="DO31" i="11" s="1"/>
  <c r="DN10" i="11"/>
  <c r="DM67" i="11"/>
  <c r="DO4" i="11" a="1"/>
  <c r="DO4" i="11" s="1"/>
  <c r="DN61" i="11"/>
  <c r="DO49" i="11" a="1"/>
  <c r="DO49" i="11" s="1"/>
  <c r="DP74" i="11"/>
  <c r="DP75" i="11" s="1"/>
  <c r="DP41" i="11"/>
  <c r="DP42" i="11" s="1"/>
  <c r="DP50" i="11"/>
  <c r="DP51" i="11" s="1"/>
  <c r="DP32" i="11"/>
  <c r="DP33" i="11" s="1"/>
  <c r="DP14" i="11"/>
  <c r="DP15" i="11" s="1"/>
  <c r="DP23" i="11"/>
  <c r="DP24" i="11" s="1"/>
  <c r="DO13" i="11" a="1"/>
  <c r="DO13" i="11" s="1"/>
  <c r="DO6" i="11"/>
  <c r="DO63" i="11" s="1"/>
  <c r="DO62" i="11"/>
  <c r="DL9" i="11"/>
  <c r="DK66" i="11"/>
  <c r="DP5" i="11"/>
  <c r="DQ1" i="11"/>
  <c r="DO37" i="11" l="1"/>
  <c r="E130" i="20"/>
  <c r="D130" i="20"/>
  <c r="A132" i="20"/>
  <c r="B131" i="20"/>
  <c r="E131" i="20" s="1"/>
  <c r="C131" i="20"/>
  <c r="F131" i="20"/>
  <c r="G131" i="20" s="1"/>
  <c r="DO55" i="11"/>
  <c r="DO46" i="11"/>
  <c r="DO28" i="11"/>
  <c r="DP40" i="11" a="1"/>
  <c r="DP40" i="11" s="1"/>
  <c r="DP13" i="11" a="1"/>
  <c r="DP13" i="11" s="1"/>
  <c r="DP4" i="11" a="1"/>
  <c r="DP4" i="11" s="1"/>
  <c r="DO61" i="11"/>
  <c r="DP31" i="11" a="1"/>
  <c r="DP31" i="11" s="1"/>
  <c r="DQ74" i="11"/>
  <c r="DQ75" i="11" s="1"/>
  <c r="DQ32" i="11"/>
  <c r="DQ33" i="11" s="1"/>
  <c r="DQ41" i="11"/>
  <c r="DQ42" i="11" s="1"/>
  <c r="DQ50" i="11"/>
  <c r="DQ51" i="11" s="1"/>
  <c r="DQ23" i="11"/>
  <c r="DQ24" i="11" s="1"/>
  <c r="DQ14" i="11"/>
  <c r="DQ15" i="11" s="1"/>
  <c r="DO19" i="11"/>
  <c r="DP22" i="11" a="1"/>
  <c r="DP22" i="11" s="1"/>
  <c r="DP49" i="11" a="1"/>
  <c r="DP49" i="11" s="1"/>
  <c r="DO10" i="11"/>
  <c r="DN67" i="11"/>
  <c r="DP6" i="11"/>
  <c r="DP63" i="11" s="1"/>
  <c r="DP62" i="11"/>
  <c r="DM9" i="11"/>
  <c r="DL66" i="11"/>
  <c r="DQ5" i="11"/>
  <c r="DR1" i="11"/>
  <c r="D131" i="20" l="1"/>
  <c r="A133" i="20"/>
  <c r="F132" i="20"/>
  <c r="G132" i="20" s="1"/>
  <c r="B132" i="20"/>
  <c r="C132" i="20"/>
  <c r="DP46" i="11"/>
  <c r="DP19" i="11"/>
  <c r="DQ49" i="11" a="1"/>
  <c r="DQ49" i="11" s="1"/>
  <c r="DQ31" i="11" a="1"/>
  <c r="DQ31" i="11" s="1"/>
  <c r="DQ13" i="11" a="1"/>
  <c r="DQ13" i="11" s="1"/>
  <c r="DR74" i="11"/>
  <c r="DR75" i="11" s="1"/>
  <c r="DR41" i="11"/>
  <c r="DR42" i="11" s="1"/>
  <c r="DR50" i="11"/>
  <c r="DR51" i="11" s="1"/>
  <c r="DR32" i="11"/>
  <c r="DR33" i="11" s="1"/>
  <c r="DR23" i="11"/>
  <c r="DR24" i="11" s="1"/>
  <c r="DR14" i="11"/>
  <c r="DR15" i="11" s="1"/>
  <c r="DQ22" i="11" a="1"/>
  <c r="DQ22" i="11" s="1"/>
  <c r="DP28" i="11"/>
  <c r="DQ4" i="11" a="1"/>
  <c r="DQ4" i="11" s="1"/>
  <c r="DP61" i="11"/>
  <c r="DQ40" i="11" a="1"/>
  <c r="DQ40" i="11" s="1"/>
  <c r="DP10" i="11"/>
  <c r="DO67" i="11"/>
  <c r="DP55" i="11"/>
  <c r="DP37" i="11"/>
  <c r="DQ6" i="11"/>
  <c r="DQ63" i="11" s="1"/>
  <c r="DQ62" i="11"/>
  <c r="DN9" i="11"/>
  <c r="DM66" i="11"/>
  <c r="DR5" i="11"/>
  <c r="DS1" i="11"/>
  <c r="E132" i="20" l="1"/>
  <c r="A134" i="20"/>
  <c r="B133" i="20"/>
  <c r="C133" i="20"/>
  <c r="F133" i="20"/>
  <c r="G133" i="20" s="1"/>
  <c r="D132" i="20"/>
  <c r="DQ55" i="11"/>
  <c r="DQ19" i="11"/>
  <c r="DQ37" i="11"/>
  <c r="DQ28" i="11"/>
  <c r="DR40" i="11" a="1"/>
  <c r="DR40" i="11" s="1"/>
  <c r="DR22" i="11" a="1"/>
  <c r="DR22" i="11" s="1"/>
  <c r="DS74" i="11"/>
  <c r="DS75" i="11" s="1"/>
  <c r="DS41" i="11"/>
  <c r="DS42" i="11" s="1"/>
  <c r="DS32" i="11"/>
  <c r="DS33" i="11" s="1"/>
  <c r="DS50" i="11"/>
  <c r="DS51" i="11" s="1"/>
  <c r="DS23" i="11"/>
  <c r="DS24" i="11" s="1"/>
  <c r="DS14" i="11"/>
  <c r="DS15" i="11" s="1"/>
  <c r="DR4" i="11" a="1"/>
  <c r="DR4" i="11" s="1"/>
  <c r="DQ61" i="11"/>
  <c r="DQ46" i="11"/>
  <c r="DR13" i="11" a="1"/>
  <c r="DR13" i="11" s="1"/>
  <c r="DR49" i="11" a="1"/>
  <c r="DR49" i="11" s="1"/>
  <c r="DQ10" i="11"/>
  <c r="DP67" i="11"/>
  <c r="DR31" i="11" a="1"/>
  <c r="DR31" i="11" s="1"/>
  <c r="DR6" i="11"/>
  <c r="DR63" i="11" s="1"/>
  <c r="DR62" i="11"/>
  <c r="DO9" i="11"/>
  <c r="DN66" i="11"/>
  <c r="DS5" i="11"/>
  <c r="DT1" i="11"/>
  <c r="E133" i="20" l="1"/>
  <c r="D133" i="20"/>
  <c r="A135" i="20"/>
  <c r="B134" i="20"/>
  <c r="C134" i="20"/>
  <c r="D134" i="20" s="1"/>
  <c r="F134" i="20"/>
  <c r="G134" i="20" s="1"/>
  <c r="DR37" i="11"/>
  <c r="DR19" i="11"/>
  <c r="DR28" i="11"/>
  <c r="DR46" i="11"/>
  <c r="DS49" i="11" a="1"/>
  <c r="DS49" i="11" s="1"/>
  <c r="DS4" i="11" a="1"/>
  <c r="DS4" i="11" s="1"/>
  <c r="DR61" i="11"/>
  <c r="DS31" i="11" a="1"/>
  <c r="DS31" i="11" s="1"/>
  <c r="DR10" i="11"/>
  <c r="DQ67" i="11"/>
  <c r="DS13" i="11" a="1"/>
  <c r="DS13" i="11" s="1"/>
  <c r="DS22" i="11" a="1"/>
  <c r="DS22" i="11" s="1"/>
  <c r="DT74" i="11"/>
  <c r="DT75" i="11" s="1"/>
  <c r="DT41" i="11"/>
  <c r="DT42" i="11" s="1"/>
  <c r="DT32" i="11"/>
  <c r="DT33" i="11" s="1"/>
  <c r="DT50" i="11"/>
  <c r="DT51" i="11" s="1"/>
  <c r="DT14" i="11"/>
  <c r="DT15" i="11" s="1"/>
  <c r="DT23" i="11"/>
  <c r="DT24" i="11" s="1"/>
  <c r="DR55" i="11"/>
  <c r="DS40" i="11" a="1"/>
  <c r="DS40" i="11" s="1"/>
  <c r="DS6" i="11"/>
  <c r="DS63" i="11" s="1"/>
  <c r="DS62" i="11"/>
  <c r="DP9" i="11"/>
  <c r="DO66" i="11"/>
  <c r="DT5" i="11"/>
  <c r="DU1" i="11"/>
  <c r="E134" i="20" l="1"/>
  <c r="A136" i="20"/>
  <c r="C135" i="20"/>
  <c r="F135" i="20"/>
  <c r="G135" i="20" s="1"/>
  <c r="B135" i="20"/>
  <c r="E135" i="20" s="1"/>
  <c r="DS46" i="11"/>
  <c r="DS28" i="11"/>
  <c r="DS37" i="11"/>
  <c r="DS19" i="11"/>
  <c r="DS55" i="11"/>
  <c r="DS10" i="11"/>
  <c r="DR67" i="11"/>
  <c r="DT4" i="11" a="1"/>
  <c r="DT4" i="11" s="1"/>
  <c r="DS61" i="11"/>
  <c r="DU74" i="11"/>
  <c r="DU75" i="11" s="1"/>
  <c r="DU41" i="11"/>
  <c r="DU42" i="11" s="1"/>
  <c r="DU50" i="11"/>
  <c r="DU51" i="11" s="1"/>
  <c r="DU32" i="11"/>
  <c r="DU33" i="11" s="1"/>
  <c r="DU23" i="11"/>
  <c r="DU24" i="11" s="1"/>
  <c r="DU14" i="11"/>
  <c r="DU15" i="11" s="1"/>
  <c r="DT22" i="11" a="1"/>
  <c r="DT22" i="11" s="1"/>
  <c r="DT31" i="11" a="1"/>
  <c r="DT31" i="11" s="1"/>
  <c r="DT49" i="11" a="1"/>
  <c r="DT49" i="11" s="1"/>
  <c r="DT13" i="11" a="1"/>
  <c r="DT13" i="11" s="1"/>
  <c r="DT40" i="11" a="1"/>
  <c r="DT40" i="11" s="1"/>
  <c r="DT6" i="11"/>
  <c r="DT63" i="11" s="1"/>
  <c r="DT62" i="11"/>
  <c r="DQ9" i="11"/>
  <c r="DP66" i="11"/>
  <c r="DU5" i="11"/>
  <c r="DV1" i="11"/>
  <c r="D135" i="20" l="1"/>
  <c r="A137" i="20"/>
  <c r="B136" i="20"/>
  <c r="C136" i="20"/>
  <c r="F136" i="20"/>
  <c r="G136" i="20" s="1"/>
  <c r="DT37" i="11"/>
  <c r="DT55" i="11"/>
  <c r="DV74" i="11"/>
  <c r="DV75" i="11" s="1"/>
  <c r="DV41" i="11"/>
  <c r="DV42" i="11" s="1"/>
  <c r="DV32" i="11"/>
  <c r="DV33" i="11" s="1"/>
  <c r="DV50" i="11"/>
  <c r="DV51" i="11" s="1"/>
  <c r="DV14" i="11"/>
  <c r="DV15" i="11" s="1"/>
  <c r="DV23" i="11"/>
  <c r="DV24" i="11" s="1"/>
  <c r="DU40" i="11" a="1"/>
  <c r="DU40" i="11" s="1"/>
  <c r="DU31" i="11" a="1"/>
  <c r="DU31" i="11" s="1"/>
  <c r="DU4" i="11" a="1"/>
  <c r="DU4" i="11" s="1"/>
  <c r="DT61" i="11"/>
  <c r="DU13" i="11" a="1"/>
  <c r="DU13" i="11" s="1"/>
  <c r="DU22" i="11" a="1"/>
  <c r="DU22" i="11" s="1"/>
  <c r="DT10" i="11"/>
  <c r="DS67" i="11"/>
  <c r="DT19" i="11"/>
  <c r="DU49" i="11" a="1"/>
  <c r="DU49" i="11" s="1"/>
  <c r="DT28" i="11"/>
  <c r="DT46" i="11"/>
  <c r="DU6" i="11"/>
  <c r="DU63" i="11" s="1"/>
  <c r="DU62" i="11"/>
  <c r="DR9" i="11"/>
  <c r="DQ66" i="11"/>
  <c r="DV5" i="11"/>
  <c r="DW1" i="11"/>
  <c r="E136" i="20" l="1"/>
  <c r="DU37" i="11"/>
  <c r="D136" i="20"/>
  <c r="A138" i="20"/>
  <c r="F137" i="20"/>
  <c r="G137" i="20" s="1"/>
  <c r="B137" i="20"/>
  <c r="C137" i="20"/>
  <c r="DU28" i="11"/>
  <c r="DU46" i="11"/>
  <c r="DV49" i="11" a="1"/>
  <c r="DV49" i="11" s="1"/>
  <c r="DU10" i="11"/>
  <c r="DT67" i="11"/>
  <c r="DV13" i="11" a="1"/>
  <c r="DV13" i="11" s="1"/>
  <c r="DV4" i="11" a="1"/>
  <c r="DV4" i="11" s="1"/>
  <c r="DU61" i="11"/>
  <c r="DV31" i="11" a="1"/>
  <c r="DV31" i="11" s="1"/>
  <c r="DW74" i="11"/>
  <c r="DW75" i="11" s="1"/>
  <c r="DW32" i="11"/>
  <c r="DW33" i="11" s="1"/>
  <c r="DW50" i="11"/>
  <c r="DW51" i="11" s="1"/>
  <c r="DW41" i="11"/>
  <c r="DW42" i="11" s="1"/>
  <c r="DW14" i="11"/>
  <c r="DW15" i="11" s="1"/>
  <c r="DW23" i="11"/>
  <c r="DW24" i="11" s="1"/>
  <c r="DU19" i="11"/>
  <c r="DV22" i="11" a="1"/>
  <c r="DV22" i="11" s="1"/>
  <c r="DV40" i="11" a="1"/>
  <c r="DV40" i="11" s="1"/>
  <c r="DU55" i="11"/>
  <c r="DV6" i="11"/>
  <c r="DV63" i="11" s="1"/>
  <c r="DV62" i="11"/>
  <c r="DS9" i="11"/>
  <c r="DR66" i="11"/>
  <c r="DW5" i="11"/>
  <c r="J24" i="11" l="1"/>
  <c r="D137" i="20"/>
  <c r="E137" i="20"/>
  <c r="DV55" i="11"/>
  <c r="A139" i="20"/>
  <c r="B138" i="20"/>
  <c r="C138" i="20"/>
  <c r="D138" i="20" s="1"/>
  <c r="F138" i="20"/>
  <c r="G138" i="20" s="1"/>
  <c r="DW40" i="11" a="1"/>
  <c r="DW40" i="11" s="1"/>
  <c r="DW22" i="11" a="1"/>
  <c r="DW22" i="11" s="1"/>
  <c r="DW31" i="11" a="1"/>
  <c r="DW31" i="11" s="1"/>
  <c r="DW13" i="11" a="1"/>
  <c r="DW13" i="11" s="1"/>
  <c r="DV19" i="11"/>
  <c r="DV37" i="11"/>
  <c r="DV10" i="11"/>
  <c r="DU67" i="11"/>
  <c r="DV46" i="11"/>
  <c r="DW4" i="11" a="1"/>
  <c r="DW4" i="11" s="1"/>
  <c r="DV61" i="11"/>
  <c r="DW49" i="11" a="1"/>
  <c r="DW49" i="11" s="1"/>
  <c r="DV28" i="11"/>
  <c r="DW6" i="11"/>
  <c r="DW62" i="11"/>
  <c r="DT9" i="11"/>
  <c r="DS66" i="11"/>
  <c r="P6" i="11"/>
  <c r="DW55" i="11" l="1"/>
  <c r="DW46" i="11"/>
  <c r="E138" i="20"/>
  <c r="DW28" i="11"/>
  <c r="A140" i="20"/>
  <c r="F139" i="20"/>
  <c r="G139" i="20" s="1"/>
  <c r="B139" i="20"/>
  <c r="C139" i="20"/>
  <c r="D139" i="20" s="1"/>
  <c r="DW19" i="11"/>
  <c r="DW37" i="11"/>
  <c r="DW61" i="11"/>
  <c r="DW10" i="11"/>
  <c r="DV67" i="11"/>
  <c r="W6" i="11"/>
  <c r="Y6" i="11"/>
  <c r="DW63" i="11"/>
  <c r="DU9" i="11"/>
  <c r="DT66" i="11"/>
  <c r="I51" i="11" l="1"/>
  <c r="J51" i="11"/>
  <c r="I15" i="11"/>
  <c r="L51" i="11"/>
  <c r="I33" i="11"/>
  <c r="J33" i="11" s="1"/>
  <c r="E139" i="20"/>
  <c r="A141" i="20"/>
  <c r="B140" i="20"/>
  <c r="C140" i="20"/>
  <c r="F140" i="20"/>
  <c r="G140" i="20" s="1"/>
  <c r="DW67" i="11"/>
  <c r="AF6" i="11"/>
  <c r="AH6" i="11"/>
  <c r="DV9" i="11"/>
  <c r="DU66" i="11"/>
  <c r="K15" i="11" l="1"/>
  <c r="L15" i="11" s="1"/>
  <c r="K33" i="11"/>
  <c r="M33" i="11"/>
  <c r="N15" i="11"/>
  <c r="N33" i="11"/>
  <c r="O15" i="11"/>
  <c r="Q15" i="11"/>
  <c r="D140" i="20"/>
  <c r="E140" i="20"/>
  <c r="A142" i="20"/>
  <c r="B141" i="20"/>
  <c r="C141" i="20"/>
  <c r="D141" i="20" s="1"/>
  <c r="F141" i="20"/>
  <c r="G141" i="20" s="1"/>
  <c r="AO6" i="11"/>
  <c r="AQ6" i="11"/>
  <c r="BB6" i="11"/>
  <c r="DW9" i="11"/>
  <c r="DW66" i="11" s="1"/>
  <c r="DV66" i="11"/>
  <c r="L33" i="11" l="1"/>
  <c r="O33" i="11" s="1"/>
  <c r="M15" i="11"/>
  <c r="S15" i="11" s="1"/>
  <c r="T15" i="11"/>
  <c r="U33" i="11"/>
  <c r="V15" i="11"/>
  <c r="W15" i="11"/>
  <c r="V33" i="11"/>
  <c r="X15" i="11"/>
  <c r="Y15" i="11"/>
  <c r="Z33" i="11"/>
  <c r="AA15" i="11"/>
  <c r="AJ15" i="11" s="1"/>
  <c r="E141" i="20"/>
  <c r="AB51" i="11"/>
  <c r="A143" i="20"/>
  <c r="B142" i="20"/>
  <c r="C142" i="20"/>
  <c r="F142" i="20"/>
  <c r="G142" i="20" s="1"/>
  <c r="AX6" i="11"/>
  <c r="AZ6" i="11"/>
  <c r="BA6" i="11"/>
  <c r="R33" i="11" l="1"/>
  <c r="P33" i="11"/>
  <c r="U15" i="11"/>
  <c r="AB15" i="11" s="1"/>
  <c r="AE15" i="11"/>
  <c r="AF15" i="11"/>
  <c r="AF33" i="11"/>
  <c r="AG15" i="11"/>
  <c r="AH15" i="11"/>
  <c r="AS15" i="11"/>
  <c r="AI51" i="11"/>
  <c r="AI33" i="11"/>
  <c r="D142" i="20"/>
  <c r="AK51" i="11"/>
  <c r="E142" i="20"/>
  <c r="A144" i="20"/>
  <c r="B143" i="20"/>
  <c r="C143" i="20"/>
  <c r="D143" i="20" s="1"/>
  <c r="F143" i="20"/>
  <c r="G143" i="20" s="1"/>
  <c r="AL51" i="11"/>
  <c r="AC15" i="11" l="1"/>
  <c r="S33" i="11"/>
  <c r="AA33" i="11"/>
  <c r="T33" i="11"/>
  <c r="X33" i="11" s="1"/>
  <c r="AJ33" i="11"/>
  <c r="AD15" i="11"/>
  <c r="AK15" i="11" s="1"/>
  <c r="AM15" i="11" s="1"/>
  <c r="AN15" i="11" s="1"/>
  <c r="AL15" i="11"/>
  <c r="AM33" i="11"/>
  <c r="AN33" i="11"/>
  <c r="AO15" i="11"/>
  <c r="AP15" i="11"/>
  <c r="AO33" i="11"/>
  <c r="AQ15" i="11"/>
  <c r="BA15" i="11" s="1"/>
  <c r="AR33" i="11"/>
  <c r="BC15" i="11"/>
  <c r="AS51" i="11"/>
  <c r="AU51" i="11"/>
  <c r="E143" i="20"/>
  <c r="A145" i="20"/>
  <c r="B144" i="20"/>
  <c r="E144" i="20" s="1"/>
  <c r="C144" i="20"/>
  <c r="F144" i="20"/>
  <c r="G144" i="20" s="1"/>
  <c r="AU33" i="11"/>
  <c r="BE42" i="11"/>
  <c r="W33" i="11" l="1"/>
  <c r="AB33" i="11" s="1"/>
  <c r="AC33" i="11"/>
  <c r="AD33" i="11" s="1"/>
  <c r="AE33" i="11" s="1"/>
  <c r="AT33" i="11"/>
  <c r="AT15" i="11"/>
  <c r="AU15" i="11"/>
  <c r="AW15" i="11"/>
  <c r="AW33" i="11"/>
  <c r="BC33" i="11" s="1"/>
  <c r="AX15" i="11"/>
  <c r="BH15" i="11" s="1"/>
  <c r="AY15" i="11"/>
  <c r="AX33" i="11"/>
  <c r="AY33" i="11"/>
  <c r="AZ15" i="11"/>
  <c r="BG15" i="11" s="1"/>
  <c r="AZ33" i="11"/>
  <c r="BF51" i="11"/>
  <c r="BB51" i="11"/>
  <c r="BB33" i="11"/>
  <c r="BD33" i="11"/>
  <c r="BD51" i="11"/>
  <c r="D144" i="20"/>
  <c r="A146" i="20"/>
  <c r="B145" i="20"/>
  <c r="C145" i="20"/>
  <c r="F145" i="20"/>
  <c r="G145" i="20" s="1"/>
  <c r="BE33" i="11"/>
  <c r="BE51" i="11"/>
  <c r="BG33" i="11"/>
  <c r="BD6" i="11"/>
  <c r="AK33" i="11" l="1"/>
  <c r="AV15" i="11"/>
  <c r="AG33" i="11"/>
  <c r="BE15" i="11"/>
  <c r="BE63" i="11" s="1"/>
  <c r="BD15" i="11"/>
  <c r="BF15" i="11"/>
  <c r="BF33" i="11"/>
  <c r="D145" i="20"/>
  <c r="E145" i="20"/>
  <c r="A147" i="20"/>
  <c r="C146" i="20"/>
  <c r="F146" i="20"/>
  <c r="G146" i="20" s="1"/>
  <c r="B146" i="20"/>
  <c r="E146" i="20" s="1"/>
  <c r="AP33" i="11" l="1"/>
  <c r="AL33" i="11"/>
  <c r="AV33" i="11" s="1"/>
  <c r="BF63" i="11"/>
  <c r="A148" i="20"/>
  <c r="B147" i="20"/>
  <c r="C147" i="20"/>
  <c r="F147" i="20"/>
  <c r="G147" i="20" s="1"/>
  <c r="D146" i="20"/>
  <c r="E147" i="20" l="1"/>
  <c r="D147" i="20"/>
  <c r="A149" i="20"/>
  <c r="B148" i="20"/>
  <c r="C148" i="20"/>
  <c r="D148" i="20" s="1"/>
  <c r="F148" i="20"/>
  <c r="G148" i="20" s="1"/>
  <c r="E148" i="20" l="1"/>
  <c r="A150" i="20"/>
  <c r="B149" i="20"/>
  <c r="E149" i="20" s="1"/>
  <c r="C149" i="20"/>
  <c r="F149" i="20"/>
  <c r="G149" i="20" s="1"/>
  <c r="D149" i="20" l="1"/>
  <c r="A151" i="20"/>
  <c r="B150" i="20"/>
  <c r="C150" i="20"/>
  <c r="D150" i="20" s="1"/>
  <c r="F150" i="20"/>
  <c r="G150" i="20" s="1"/>
  <c r="E150" i="20" l="1"/>
  <c r="A152" i="20"/>
  <c r="F151" i="20"/>
  <c r="G151" i="20" s="1"/>
  <c r="B151" i="20"/>
  <c r="C151" i="20"/>
  <c r="D151" i="20" s="1"/>
  <c r="E151" i="20" l="1"/>
  <c r="A153" i="20"/>
  <c r="B152" i="20"/>
  <c r="C152" i="20"/>
  <c r="D152" i="20" s="1"/>
  <c r="F152" i="20"/>
  <c r="G152" i="20" s="1"/>
  <c r="E152" i="20" l="1"/>
  <c r="A154" i="20"/>
  <c r="B153" i="20"/>
  <c r="C153" i="20"/>
  <c r="F153" i="20"/>
  <c r="G153" i="20" s="1"/>
  <c r="E153" i="20" l="1"/>
  <c r="D153" i="20"/>
  <c r="A155" i="20"/>
  <c r="C154" i="20"/>
  <c r="F154" i="20"/>
  <c r="G154" i="20" s="1"/>
  <c r="B154" i="20"/>
  <c r="E154" i="20" s="1"/>
  <c r="A156" i="20" l="1"/>
  <c r="B155" i="20"/>
  <c r="C155" i="20"/>
  <c r="F155" i="20"/>
  <c r="G155" i="20" s="1"/>
  <c r="D154" i="20"/>
  <c r="E155" i="20" l="1"/>
  <c r="D155" i="20"/>
  <c r="A157" i="20"/>
  <c r="B156" i="20"/>
  <c r="C156" i="20"/>
  <c r="F156" i="20"/>
  <c r="G156" i="20" s="1"/>
  <c r="E156" i="20" l="1"/>
  <c r="D156" i="20"/>
  <c r="A158" i="20"/>
  <c r="B157" i="20"/>
  <c r="E157" i="20" s="1"/>
  <c r="C157" i="20"/>
  <c r="F157" i="20"/>
  <c r="G157" i="20" s="1"/>
  <c r="D157" i="20" l="1"/>
  <c r="A159" i="20"/>
  <c r="B158" i="20"/>
  <c r="C158" i="20"/>
  <c r="D158" i="20" s="1"/>
  <c r="F158" i="20"/>
  <c r="G158" i="20" s="1"/>
  <c r="E158" i="20" l="1"/>
  <c r="A160" i="20"/>
  <c r="F159" i="20"/>
  <c r="G159" i="20" s="1"/>
  <c r="B159" i="20"/>
  <c r="C159" i="20"/>
  <c r="E159" i="20" l="1"/>
  <c r="D159" i="20"/>
  <c r="A161" i="20"/>
  <c r="B160" i="20"/>
  <c r="E160" i="20" s="1"/>
  <c r="C160" i="20"/>
  <c r="F160" i="20"/>
  <c r="G160" i="20" s="1"/>
  <c r="D160" i="20" l="1"/>
  <c r="A162" i="20"/>
  <c r="B161" i="20"/>
  <c r="C161" i="20"/>
  <c r="D161" i="20" s="1"/>
  <c r="F161" i="20"/>
  <c r="G161" i="20" s="1"/>
  <c r="E161" i="20" l="1"/>
  <c r="A163" i="20"/>
  <c r="C162" i="20"/>
  <c r="F162" i="20"/>
  <c r="G162" i="20" s="1"/>
  <c r="B162" i="20"/>
  <c r="E162" i="20" s="1"/>
  <c r="D162" i="20" l="1"/>
  <c r="A164" i="20"/>
  <c r="B163" i="20"/>
  <c r="C163" i="20"/>
  <c r="F163" i="20"/>
  <c r="G163" i="20" s="1"/>
  <c r="E163" i="20" l="1"/>
  <c r="D163" i="20"/>
  <c r="A165" i="20"/>
  <c r="F164" i="20"/>
  <c r="G164" i="20" s="1"/>
  <c r="B164" i="20"/>
  <c r="C164" i="20"/>
  <c r="D164" i="20" s="1"/>
  <c r="E164" i="20" l="1"/>
  <c r="A166" i="20"/>
  <c r="B165" i="20"/>
  <c r="C165" i="20"/>
  <c r="F165" i="20"/>
  <c r="G165" i="20" s="1"/>
  <c r="D165" i="20" l="1"/>
  <c r="E165" i="20"/>
  <c r="A167" i="20"/>
  <c r="F166" i="20"/>
  <c r="G166" i="20" s="1"/>
  <c r="B166" i="20"/>
  <c r="C166" i="20"/>
  <c r="E166" i="20" l="1"/>
  <c r="D166" i="20"/>
  <c r="A168" i="20"/>
  <c r="B167" i="20"/>
  <c r="C167" i="20"/>
  <c r="F167" i="20"/>
  <c r="G167" i="20" s="1"/>
  <c r="E167" i="20" l="1"/>
  <c r="D167" i="20"/>
  <c r="A169" i="20"/>
  <c r="B168" i="20"/>
  <c r="C168" i="20"/>
  <c r="D168" i="20" s="1"/>
  <c r="F168" i="20"/>
  <c r="G168" i="20" s="1"/>
  <c r="E168" i="20" l="1"/>
  <c r="A170" i="20"/>
  <c r="B169" i="20"/>
  <c r="C169" i="20"/>
  <c r="D169" i="20" s="1"/>
  <c r="F169" i="20"/>
  <c r="G169" i="20" s="1"/>
  <c r="E169" i="20" l="1"/>
  <c r="A171" i="20"/>
  <c r="B170" i="20"/>
  <c r="C170" i="20"/>
  <c r="D170" i="20" s="1"/>
  <c r="F170" i="20"/>
  <c r="G170" i="20" s="1"/>
  <c r="E170" i="20" l="1"/>
  <c r="A172" i="20"/>
  <c r="B171" i="20"/>
  <c r="C171" i="20"/>
  <c r="D171" i="20" s="1"/>
  <c r="F171" i="20"/>
  <c r="G171" i="20" s="1"/>
  <c r="E171" i="20" l="1"/>
  <c r="A173" i="20"/>
  <c r="B172" i="20"/>
  <c r="C172" i="20"/>
  <c r="F172" i="20"/>
  <c r="G172" i="20" s="1"/>
  <c r="E172" i="20" l="1"/>
  <c r="D172" i="20"/>
  <c r="A174" i="20"/>
  <c r="C173" i="20"/>
  <c r="F173" i="20"/>
  <c r="G173" i="20" s="1"/>
  <c r="B173" i="20"/>
  <c r="E173" i="20" s="1"/>
  <c r="D173" i="20" l="1"/>
  <c r="A175" i="20"/>
  <c r="B174" i="20"/>
  <c r="C174" i="20"/>
  <c r="F174" i="20"/>
  <c r="G174" i="20" s="1"/>
  <c r="E174" i="20" l="1"/>
  <c r="D174" i="20"/>
  <c r="A176" i="20"/>
  <c r="B175" i="20"/>
  <c r="C175" i="20"/>
  <c r="F175" i="20"/>
  <c r="G175" i="20" s="1"/>
  <c r="E175" i="20" l="1"/>
  <c r="D175" i="20"/>
  <c r="A177" i="20"/>
  <c r="B176" i="20"/>
  <c r="C176" i="20"/>
  <c r="D176" i="20" s="1"/>
  <c r="F176" i="20"/>
  <c r="G176" i="20" s="1"/>
  <c r="E176" i="20" l="1"/>
  <c r="A178" i="20"/>
  <c r="F177" i="20"/>
  <c r="G177" i="20" s="1"/>
  <c r="B177" i="20"/>
  <c r="C177" i="20"/>
  <c r="E177" i="20" l="1"/>
  <c r="A179" i="20"/>
  <c r="B178" i="20"/>
  <c r="C178" i="20"/>
  <c r="F178" i="20"/>
  <c r="G178" i="20" s="1"/>
  <c r="D177" i="20"/>
  <c r="D178" i="20" l="1"/>
  <c r="E178" i="20"/>
  <c r="A180" i="20"/>
  <c r="B179" i="20"/>
  <c r="C179" i="20"/>
  <c r="F179" i="20"/>
  <c r="G179" i="20" s="1"/>
  <c r="E179" i="20" l="1"/>
  <c r="A181" i="20"/>
  <c r="B180" i="20"/>
  <c r="C180" i="20"/>
  <c r="D180" i="20" s="1"/>
  <c r="F180" i="20"/>
  <c r="G180" i="20" s="1"/>
  <c r="D179" i="20"/>
  <c r="E180" i="20" l="1"/>
  <c r="A182" i="20"/>
  <c r="B181" i="20"/>
  <c r="C181" i="20"/>
  <c r="D181" i="20" s="1"/>
  <c r="F181" i="20"/>
  <c r="G181" i="20" s="1"/>
  <c r="E181" i="20" l="1"/>
  <c r="A183" i="20"/>
  <c r="B182" i="20"/>
  <c r="C182" i="20"/>
  <c r="D182" i="20" s="1"/>
  <c r="F182" i="20"/>
  <c r="G182" i="20" s="1"/>
  <c r="E182" i="20" l="1"/>
  <c r="A184" i="20"/>
  <c r="B183" i="20"/>
  <c r="C183" i="20"/>
  <c r="F183" i="20"/>
  <c r="G183" i="20" s="1"/>
  <c r="D183" i="20" l="1"/>
  <c r="E183" i="20"/>
  <c r="A185" i="20"/>
  <c r="F184" i="20"/>
  <c r="G184" i="20" s="1"/>
  <c r="B184" i="20"/>
  <c r="C184" i="20"/>
  <c r="D184" i="20" s="1"/>
  <c r="E184" i="20" l="1"/>
  <c r="A186" i="20"/>
  <c r="B185" i="20"/>
  <c r="C185" i="20"/>
  <c r="F185" i="20"/>
  <c r="G185" i="20" s="1"/>
  <c r="E185" i="20" l="1"/>
  <c r="D185" i="20"/>
  <c r="A187" i="20"/>
  <c r="B186" i="20"/>
  <c r="C186" i="20"/>
  <c r="D186" i="20" s="1"/>
  <c r="F186" i="20"/>
  <c r="G186" i="20" s="1"/>
  <c r="E186" i="20" l="1"/>
  <c r="A188" i="20"/>
  <c r="C187" i="20"/>
  <c r="F187" i="20"/>
  <c r="G187" i="20" s="1"/>
  <c r="B187" i="20"/>
  <c r="E187" i="20" s="1"/>
  <c r="D187" i="20" l="1"/>
  <c r="A189" i="20"/>
  <c r="B188" i="20"/>
  <c r="C188" i="20"/>
  <c r="D188" i="20" s="1"/>
  <c r="F188" i="20"/>
  <c r="G188" i="20" s="1"/>
  <c r="E188" i="20" l="1"/>
  <c r="A190" i="20"/>
  <c r="C189" i="20"/>
  <c r="F189" i="20"/>
  <c r="G189" i="20" s="1"/>
  <c r="B189" i="20"/>
  <c r="E189" i="20" s="1"/>
  <c r="D189" i="20" l="1"/>
  <c r="A191" i="20"/>
  <c r="B190" i="20"/>
  <c r="C190" i="20"/>
  <c r="D190" i="20" s="1"/>
  <c r="F190" i="20"/>
  <c r="G190" i="20" s="1"/>
  <c r="E190" i="20" l="1"/>
  <c r="A192" i="20"/>
  <c r="B191" i="20"/>
  <c r="E191" i="20" s="1"/>
  <c r="C191" i="20"/>
  <c r="F191" i="20"/>
  <c r="G191" i="20" s="1"/>
  <c r="D191" i="20" l="1"/>
  <c r="A193" i="20"/>
  <c r="B192" i="20"/>
  <c r="C192" i="20"/>
  <c r="D192" i="20" s="1"/>
  <c r="F192" i="20"/>
  <c r="G192" i="20" s="1"/>
  <c r="E192" i="20" l="1"/>
  <c r="A194" i="20"/>
  <c r="F193" i="20"/>
  <c r="G193" i="20" s="1"/>
  <c r="B193" i="20"/>
  <c r="C193" i="20"/>
  <c r="E193" i="20" l="1"/>
  <c r="D193" i="20"/>
  <c r="A195" i="20"/>
  <c r="B194" i="20"/>
  <c r="C194" i="20"/>
  <c r="F194" i="20"/>
  <c r="G194" i="20" s="1"/>
  <c r="E194" i="20" l="1"/>
  <c r="D194" i="20"/>
  <c r="A196" i="20"/>
  <c r="B195" i="20"/>
  <c r="E195" i="20" s="1"/>
  <c r="C195" i="20"/>
  <c r="D195" i="20" s="1"/>
  <c r="F195" i="20"/>
  <c r="G195" i="20" s="1"/>
  <c r="A197" i="20" l="1"/>
  <c r="B196" i="20"/>
  <c r="C196" i="20"/>
  <c r="F196" i="20"/>
  <c r="G196" i="20" s="1"/>
  <c r="E196" i="20" l="1"/>
  <c r="D196" i="20"/>
  <c r="A198" i="20"/>
  <c r="F197" i="20"/>
  <c r="G197" i="20" s="1"/>
  <c r="B197" i="20"/>
  <c r="C197" i="20"/>
  <c r="D197" i="20" s="1"/>
  <c r="E197" i="20" l="1"/>
  <c r="A199" i="20"/>
  <c r="B198" i="20"/>
  <c r="C198" i="20"/>
  <c r="F198" i="20"/>
  <c r="G198" i="20" s="1"/>
  <c r="D198" i="20" l="1"/>
  <c r="E198" i="20"/>
  <c r="A200" i="20"/>
  <c r="B199" i="20"/>
  <c r="C199" i="20"/>
  <c r="D199" i="20" s="1"/>
  <c r="F199" i="20"/>
  <c r="G199" i="20" s="1"/>
  <c r="E199" i="20" l="1"/>
  <c r="A201" i="20"/>
  <c r="C200" i="20"/>
  <c r="F200" i="20"/>
  <c r="G200" i="20" s="1"/>
  <c r="B200" i="20"/>
  <c r="E200" i="20" s="1"/>
  <c r="D200" i="20" l="1"/>
  <c r="A202" i="20"/>
  <c r="B201" i="20"/>
  <c r="C201" i="20"/>
  <c r="D201" i="20" s="1"/>
  <c r="F201" i="20"/>
  <c r="G201" i="20" s="1"/>
  <c r="E201" i="20" l="1"/>
  <c r="A203" i="20"/>
  <c r="B202" i="20"/>
  <c r="C202" i="20"/>
  <c r="D202" i="20" s="1"/>
  <c r="F202" i="20"/>
  <c r="G202" i="20" s="1"/>
  <c r="E202" i="20" l="1"/>
  <c r="A204" i="20"/>
  <c r="B203" i="20"/>
  <c r="C203" i="20"/>
  <c r="D203" i="20" s="1"/>
  <c r="F203" i="20"/>
  <c r="G203" i="20" s="1"/>
  <c r="E203" i="20" l="1"/>
  <c r="A205" i="20"/>
  <c r="B204" i="20"/>
  <c r="C204" i="20"/>
  <c r="F204" i="20"/>
  <c r="G204" i="20" s="1"/>
  <c r="E204" i="20" l="1"/>
  <c r="D204" i="20"/>
  <c r="A206" i="20"/>
  <c r="B205" i="20"/>
  <c r="C205" i="20"/>
  <c r="D205" i="20" s="1"/>
  <c r="F205" i="20"/>
  <c r="G205" i="20" s="1"/>
  <c r="E205" i="20" l="1"/>
  <c r="A207" i="20"/>
  <c r="F206" i="20"/>
  <c r="G206" i="20" s="1"/>
  <c r="B206" i="20"/>
  <c r="C206" i="20"/>
  <c r="D206" i="20" s="1"/>
  <c r="E206" i="20" l="1"/>
  <c r="A208" i="20"/>
  <c r="B207" i="20"/>
  <c r="C207" i="20"/>
  <c r="D207" i="20" s="1"/>
  <c r="F207" i="20"/>
  <c r="G207" i="20" s="1"/>
  <c r="E207" i="20" l="1"/>
  <c r="A209" i="20"/>
  <c r="B208" i="20"/>
  <c r="C208" i="20"/>
  <c r="F208" i="20"/>
  <c r="G208" i="20" s="1"/>
  <c r="E208" i="20" l="1"/>
  <c r="D208" i="20"/>
  <c r="A210" i="20"/>
  <c r="C209" i="20"/>
  <c r="F209" i="20"/>
  <c r="G209" i="20" s="1"/>
  <c r="B209" i="20"/>
  <c r="E209" i="20" s="1"/>
  <c r="D209" i="20" l="1"/>
  <c r="A211" i="20"/>
  <c r="B210" i="20"/>
  <c r="C210" i="20"/>
  <c r="F210" i="20"/>
  <c r="G210" i="20" s="1"/>
  <c r="E210" i="20" l="1"/>
  <c r="D210" i="20"/>
  <c r="A212" i="20"/>
  <c r="F211" i="20"/>
  <c r="G211" i="20" s="1"/>
  <c r="B211" i="20"/>
  <c r="C211" i="20"/>
  <c r="D211" i="20" s="1"/>
  <c r="E211" i="20" l="1"/>
  <c r="A213" i="20"/>
  <c r="B212" i="20"/>
  <c r="C212" i="20"/>
  <c r="D212" i="20" s="1"/>
  <c r="F212" i="20"/>
  <c r="G212" i="20" s="1"/>
  <c r="E212" i="20" l="1"/>
  <c r="A214" i="20"/>
  <c r="F213" i="20"/>
  <c r="G213" i="20" s="1"/>
  <c r="B213" i="20"/>
  <c r="C213" i="20"/>
  <c r="E213" i="20" l="1"/>
  <c r="D213" i="20"/>
  <c r="A215" i="20"/>
  <c r="C214" i="20"/>
  <c r="B214" i="20"/>
  <c r="E214" i="20" s="1"/>
  <c r="F214" i="20"/>
  <c r="G214" i="20" s="1"/>
  <c r="D214" i="20" l="1"/>
  <c r="A216" i="20"/>
  <c r="F215" i="20"/>
  <c r="G215" i="20" s="1"/>
  <c r="B215" i="20"/>
  <c r="C215" i="20"/>
  <c r="D215" i="20" s="1"/>
  <c r="E215" i="20" l="1"/>
  <c r="A217" i="20"/>
  <c r="B216" i="20"/>
  <c r="C216" i="20"/>
  <c r="D216" i="20" s="1"/>
  <c r="F216" i="20"/>
  <c r="G216" i="20" s="1"/>
  <c r="E216" i="20" l="1"/>
  <c r="A218" i="20"/>
  <c r="B217" i="20"/>
  <c r="E217" i="20" s="1"/>
  <c r="C217" i="20"/>
  <c r="F217" i="20"/>
  <c r="G217" i="20" s="1"/>
  <c r="A219" i="20" l="1"/>
  <c r="C218" i="20"/>
  <c r="F218" i="20"/>
  <c r="G218" i="20" s="1"/>
  <c r="B218" i="20"/>
  <c r="E218" i="20" s="1"/>
  <c r="D217" i="20"/>
  <c r="D218" i="20" l="1"/>
  <c r="A220" i="20"/>
  <c r="C219" i="20"/>
  <c r="F219" i="20"/>
  <c r="G219" i="20" s="1"/>
  <c r="B219" i="20"/>
  <c r="E219" i="20" s="1"/>
  <c r="D219" i="20" l="1"/>
  <c r="A221" i="20"/>
  <c r="F220" i="20"/>
  <c r="G220" i="20" s="1"/>
  <c r="B220" i="20"/>
  <c r="C220" i="20"/>
  <c r="E220" i="20" l="1"/>
  <c r="D220" i="20"/>
  <c r="A222" i="20"/>
  <c r="C221" i="20"/>
  <c r="B221" i="20"/>
  <c r="F221" i="20"/>
  <c r="G221" i="20" s="1"/>
  <c r="E221" i="20" l="1"/>
  <c r="A223" i="20"/>
  <c r="C222" i="20"/>
  <c r="F222" i="20"/>
  <c r="G222" i="20" s="1"/>
  <c r="B222" i="20"/>
  <c r="E222" i="20" s="1"/>
  <c r="D221" i="20"/>
  <c r="A224" i="20" l="1"/>
  <c r="B223" i="20"/>
  <c r="C223" i="20"/>
  <c r="F223" i="20"/>
  <c r="G223" i="20" s="1"/>
  <c r="D222" i="20"/>
  <c r="E223" i="20" l="1"/>
  <c r="D223" i="20"/>
  <c r="A225" i="20"/>
  <c r="B224" i="20"/>
  <c r="E224" i="20" s="1"/>
  <c r="C224" i="20"/>
  <c r="F224" i="20"/>
  <c r="G224" i="20" s="1"/>
  <c r="D224" i="20" l="1"/>
  <c r="A226" i="20"/>
  <c r="B225" i="20"/>
  <c r="F225" i="20"/>
  <c r="G225" i="20" s="1"/>
  <c r="C225" i="20"/>
  <c r="D225" i="20" s="1"/>
  <c r="E225" i="20" l="1"/>
  <c r="A227" i="20"/>
  <c r="B226" i="20"/>
  <c r="C226" i="20"/>
  <c r="D226" i="20" s="1"/>
  <c r="F226" i="20"/>
  <c r="G226" i="20" s="1"/>
  <c r="E226" i="20" l="1"/>
  <c r="A228" i="20"/>
  <c r="C227" i="20"/>
  <c r="F227" i="20"/>
  <c r="G227" i="20" s="1"/>
  <c r="B227" i="20"/>
  <c r="E227" i="20" s="1"/>
  <c r="D227" i="20" l="1"/>
  <c r="A229" i="20"/>
  <c r="F228" i="20"/>
  <c r="G228" i="20" s="1"/>
  <c r="B228" i="20"/>
  <c r="C228" i="20"/>
  <c r="D228" i="20" s="1"/>
  <c r="E228" i="20" l="1"/>
  <c r="A230" i="20"/>
  <c r="F229" i="20"/>
  <c r="G229" i="20" s="1"/>
  <c r="B229" i="20"/>
  <c r="C229" i="20"/>
  <c r="D229" i="20" s="1"/>
  <c r="E229" i="20" l="1"/>
  <c r="A231" i="20"/>
  <c r="B230" i="20"/>
  <c r="C230" i="20"/>
  <c r="D230" i="20" s="1"/>
  <c r="F230" i="20"/>
  <c r="G230" i="20" s="1"/>
  <c r="E230" i="20" l="1"/>
  <c r="A232" i="20"/>
  <c r="F231" i="20"/>
  <c r="G231" i="20" s="1"/>
  <c r="C231" i="20"/>
  <c r="B231" i="20"/>
  <c r="E231" i="20" s="1"/>
  <c r="D231" i="20" l="1"/>
  <c r="A233" i="20"/>
  <c r="C232" i="20"/>
  <c r="B232" i="20"/>
  <c r="E232" i="20" s="1"/>
  <c r="F232" i="20"/>
  <c r="G232" i="20" s="1"/>
  <c r="D232" i="20" l="1"/>
  <c r="A234" i="20"/>
  <c r="B233" i="20"/>
  <c r="C233" i="20"/>
  <c r="F233" i="20"/>
  <c r="G233" i="20" s="1"/>
  <c r="E233" i="20" l="1"/>
  <c r="D233" i="20"/>
  <c r="A235" i="20"/>
  <c r="C234" i="20"/>
  <c r="B234" i="20"/>
  <c r="E234" i="20" s="1"/>
  <c r="F234" i="20"/>
  <c r="G234" i="20" s="1"/>
  <c r="D234" i="20" l="1"/>
  <c r="A236" i="20"/>
  <c r="B235" i="20"/>
  <c r="C235" i="20"/>
  <c r="D235" i="20" s="1"/>
  <c r="F235" i="20"/>
  <c r="G235" i="20" s="1"/>
  <c r="E235" i="20" l="1"/>
  <c r="A237" i="20"/>
  <c r="C236" i="20"/>
  <c r="F236" i="20"/>
  <c r="G236" i="20" s="1"/>
  <c r="B236" i="20"/>
  <c r="E236" i="20" s="1"/>
  <c r="D236" i="20" l="1"/>
  <c r="A238" i="20"/>
  <c r="F237" i="20"/>
  <c r="G237" i="20" s="1"/>
  <c r="B237" i="20"/>
  <c r="C237" i="20"/>
  <c r="D237" i="20" l="1"/>
  <c r="E237" i="20"/>
  <c r="A239" i="20"/>
  <c r="B238" i="20"/>
  <c r="C238" i="20"/>
  <c r="D238" i="20" s="1"/>
  <c r="F238" i="20"/>
  <c r="G238" i="20" s="1"/>
  <c r="E238" i="20" l="1"/>
  <c r="A240" i="20"/>
  <c r="B239" i="20"/>
  <c r="C239" i="20"/>
  <c r="F239" i="20"/>
  <c r="G239" i="20" s="1"/>
  <c r="E239" i="20" l="1"/>
  <c r="D239" i="20"/>
  <c r="A241" i="20"/>
  <c r="F240" i="20"/>
  <c r="G240" i="20" s="1"/>
  <c r="C240" i="20"/>
  <c r="B240" i="20"/>
  <c r="E240" i="20" l="1"/>
  <c r="A242" i="20"/>
  <c r="B241" i="20"/>
  <c r="C241" i="20"/>
  <c r="D241" i="20" s="1"/>
  <c r="F241" i="20"/>
  <c r="G241" i="20" s="1"/>
  <c r="D240" i="20"/>
  <c r="E241" i="20" l="1"/>
  <c r="A243" i="20"/>
  <c r="F242" i="20"/>
  <c r="G242" i="20" s="1"/>
  <c r="B242" i="20"/>
  <c r="C242" i="20"/>
  <c r="D242" i="20" s="1"/>
  <c r="E242" i="20" l="1"/>
  <c r="A244" i="20"/>
  <c r="B243" i="20"/>
  <c r="C243" i="20"/>
  <c r="D243" i="20" s="1"/>
  <c r="F243" i="20"/>
  <c r="G243" i="20" s="1"/>
  <c r="E243" i="20" l="1"/>
  <c r="A245" i="20"/>
  <c r="C244" i="20"/>
  <c r="B244" i="20"/>
  <c r="E244" i="20" s="1"/>
  <c r="F244" i="20"/>
  <c r="G244" i="20" s="1"/>
  <c r="D244" i="20" l="1"/>
  <c r="A246" i="20"/>
  <c r="C245" i="20"/>
  <c r="F245" i="20"/>
  <c r="G245" i="20" s="1"/>
  <c r="B245" i="20"/>
  <c r="E245" i="20" s="1"/>
  <c r="D245" i="20" l="1"/>
  <c r="A247" i="20"/>
  <c r="C246" i="20"/>
  <c r="F246" i="20"/>
  <c r="G246" i="20" s="1"/>
  <c r="B246" i="20"/>
  <c r="E246" i="20" s="1"/>
  <c r="D246" i="20" l="1"/>
  <c r="A248" i="20"/>
  <c r="B247" i="20"/>
  <c r="C247" i="20"/>
  <c r="D247" i="20" s="1"/>
  <c r="F247" i="20"/>
  <c r="G247" i="20" s="1"/>
  <c r="E247" i="20" l="1"/>
  <c r="A249" i="20"/>
  <c r="F248" i="20"/>
  <c r="G248" i="20" s="1"/>
  <c r="C248" i="20"/>
  <c r="B248" i="20"/>
  <c r="E248" i="20" s="1"/>
  <c r="D248" i="20" l="1"/>
  <c r="A250" i="20"/>
  <c r="B249" i="20"/>
  <c r="C249" i="20"/>
  <c r="F249" i="20"/>
  <c r="G249" i="20" s="1"/>
  <c r="E249" i="20" l="1"/>
  <c r="D249" i="20"/>
  <c r="A251" i="20"/>
  <c r="B250" i="20"/>
  <c r="C250" i="20"/>
  <c r="D250" i="20" s="1"/>
  <c r="F250" i="20"/>
  <c r="G250" i="20" s="1"/>
  <c r="E250" i="20" l="1"/>
  <c r="A252" i="20"/>
  <c r="B251" i="20"/>
  <c r="C251" i="20"/>
  <c r="D251" i="20" s="1"/>
  <c r="F251" i="20"/>
  <c r="G251" i="20" s="1"/>
  <c r="E251" i="20" l="1"/>
  <c r="A253" i="20"/>
  <c r="B252" i="20"/>
  <c r="C252" i="20"/>
  <c r="F252" i="20"/>
  <c r="G252" i="20" s="1"/>
  <c r="D252" i="20" l="1"/>
  <c r="E252" i="20"/>
  <c r="A254" i="20"/>
  <c r="B253" i="20"/>
  <c r="E253" i="20" s="1"/>
  <c r="C253" i="20"/>
  <c r="F253" i="20"/>
  <c r="G253" i="20" s="1"/>
  <c r="D253" i="20" l="1"/>
  <c r="A255" i="20"/>
  <c r="B254" i="20"/>
  <c r="C254" i="20"/>
  <c r="F254" i="20"/>
  <c r="G254" i="20" s="1"/>
  <c r="E254" i="20" l="1"/>
  <c r="D254" i="20"/>
  <c r="A256" i="20"/>
  <c r="B255" i="20"/>
  <c r="E255" i="20" s="1"/>
  <c r="C255" i="20"/>
  <c r="D255" i="20" s="1"/>
  <c r="F255" i="20"/>
  <c r="G255" i="20" s="1"/>
  <c r="A257" i="20" l="1"/>
  <c r="B256" i="20"/>
  <c r="C256" i="20"/>
  <c r="D256" i="20" s="1"/>
  <c r="F256" i="20"/>
  <c r="G256" i="20" s="1"/>
  <c r="E256" i="20" l="1"/>
  <c r="A258" i="20"/>
  <c r="B257" i="20"/>
  <c r="C257" i="20"/>
  <c r="F257" i="20"/>
  <c r="G257" i="20" s="1"/>
  <c r="D257" i="20" l="1"/>
  <c r="E257" i="20"/>
  <c r="A259" i="20"/>
  <c r="B258" i="20"/>
  <c r="C258" i="20"/>
  <c r="F258" i="20"/>
  <c r="G258" i="20" s="1"/>
  <c r="D258" i="20" l="1"/>
  <c r="E258" i="20"/>
  <c r="A260" i="20"/>
  <c r="F259" i="20"/>
  <c r="G259" i="20" s="1"/>
  <c r="B259" i="20"/>
  <c r="C259" i="20"/>
  <c r="D259" i="20" s="1"/>
  <c r="E259" i="20" l="1"/>
  <c r="A261" i="20"/>
  <c r="B260" i="20"/>
  <c r="C260" i="20"/>
  <c r="D260" i="20" s="1"/>
  <c r="F260" i="20"/>
  <c r="G260" i="20" s="1"/>
  <c r="E260" i="20" l="1"/>
  <c r="A262" i="20"/>
  <c r="F261" i="20"/>
  <c r="G261" i="20" s="1"/>
  <c r="B261" i="20"/>
  <c r="C261" i="20"/>
  <c r="D261" i="20" l="1"/>
  <c r="E261" i="20"/>
  <c r="A263" i="20"/>
  <c r="B262" i="20"/>
  <c r="C262" i="20"/>
  <c r="D262" i="20" s="1"/>
  <c r="F262" i="20"/>
  <c r="G262" i="20" s="1"/>
  <c r="E262" i="20" l="1"/>
  <c r="A264" i="20"/>
  <c r="F263" i="20"/>
  <c r="G263" i="20" s="1"/>
  <c r="B263" i="20"/>
  <c r="C263" i="20"/>
  <c r="D263" i="20" s="1"/>
  <c r="E263" i="20" l="1"/>
  <c r="A265" i="20"/>
  <c r="B264" i="20"/>
  <c r="E264" i="20" s="1"/>
  <c r="C264" i="20"/>
  <c r="F264" i="20"/>
  <c r="G264" i="20" s="1"/>
  <c r="D264" i="20" l="1"/>
  <c r="A266" i="20"/>
  <c r="F265" i="20"/>
  <c r="G265" i="20" s="1"/>
  <c r="B265" i="20"/>
  <c r="C265" i="20"/>
  <c r="D265" i="20" s="1"/>
  <c r="E265" i="20" l="1"/>
  <c r="A267" i="20"/>
  <c r="B266" i="20"/>
  <c r="C266" i="20"/>
  <c r="D266" i="20" s="1"/>
  <c r="F266" i="20"/>
  <c r="G266" i="20" s="1"/>
  <c r="E266" i="20" l="1"/>
  <c r="A268" i="20"/>
  <c r="F267" i="20"/>
  <c r="G267" i="20" s="1"/>
  <c r="B267" i="20"/>
  <c r="C267" i="20"/>
  <c r="E267" i="20" l="1"/>
  <c r="D267" i="20"/>
  <c r="A269" i="20"/>
  <c r="B268" i="20"/>
  <c r="C268" i="20"/>
  <c r="D268" i="20" s="1"/>
  <c r="F268" i="20"/>
  <c r="G268" i="20" s="1"/>
  <c r="E268" i="20" l="1"/>
  <c r="A270" i="20"/>
  <c r="F269" i="20"/>
  <c r="G269" i="20" s="1"/>
  <c r="B269" i="20"/>
  <c r="E269" i="20" s="1"/>
  <c r="C269" i="20"/>
  <c r="D269" i="20" l="1"/>
  <c r="A271" i="20"/>
  <c r="B270" i="20"/>
  <c r="C270" i="20"/>
  <c r="D270" i="20" s="1"/>
  <c r="F270" i="20"/>
  <c r="G270" i="20" s="1"/>
  <c r="E270" i="20" l="1"/>
  <c r="A272" i="20"/>
  <c r="C271" i="20"/>
  <c r="F271" i="20"/>
  <c r="G271" i="20" s="1"/>
  <c r="B271" i="20"/>
  <c r="E271" i="20" s="1"/>
  <c r="D271" i="20" l="1"/>
  <c r="A273" i="20"/>
  <c r="B272" i="20"/>
  <c r="C272" i="20"/>
  <c r="D272" i="20" s="1"/>
  <c r="F272" i="20"/>
  <c r="G272" i="20" s="1"/>
  <c r="E272" i="20" l="1"/>
  <c r="A274" i="20"/>
  <c r="B273" i="20"/>
  <c r="C273" i="20"/>
  <c r="D273" i="20" s="1"/>
  <c r="F273" i="20"/>
  <c r="G273" i="20" s="1"/>
  <c r="E273" i="20" l="1"/>
  <c r="A275" i="20"/>
  <c r="B274" i="20"/>
  <c r="C274" i="20"/>
  <c r="D274" i="20" s="1"/>
  <c r="F274" i="20"/>
  <c r="G274" i="20" s="1"/>
  <c r="E274" i="20" l="1"/>
  <c r="A276" i="20"/>
  <c r="B275" i="20"/>
  <c r="C275" i="20"/>
  <c r="F275" i="20"/>
  <c r="G275" i="20" s="1"/>
  <c r="E275" i="20" l="1"/>
  <c r="D275" i="20"/>
  <c r="A277" i="20"/>
  <c r="C276" i="20"/>
  <c r="F276" i="20"/>
  <c r="G276" i="20" s="1"/>
  <c r="B276" i="20"/>
  <c r="E276" i="20" l="1"/>
  <c r="D276" i="20"/>
  <c r="A278" i="20"/>
  <c r="B277" i="20"/>
  <c r="C277" i="20"/>
  <c r="D277" i="20" s="1"/>
  <c r="F277" i="20"/>
  <c r="G277" i="20" s="1"/>
  <c r="E277" i="20" l="1"/>
  <c r="A279" i="20"/>
  <c r="C278" i="20"/>
  <c r="F278" i="20"/>
  <c r="G278" i="20" s="1"/>
  <c r="B278" i="20"/>
  <c r="E278" i="20" s="1"/>
  <c r="D278" i="20" l="1"/>
  <c r="A280" i="20"/>
  <c r="B279" i="20"/>
  <c r="E279" i="20" s="1"/>
  <c r="C279" i="20"/>
  <c r="F279" i="20"/>
  <c r="G279" i="20" s="1"/>
  <c r="D279" i="20" l="1"/>
  <c r="A281" i="20"/>
  <c r="B280" i="20"/>
  <c r="C280" i="20"/>
  <c r="F280" i="20"/>
  <c r="G280" i="20" s="1"/>
  <c r="E280" i="20" l="1"/>
  <c r="D280" i="20"/>
  <c r="A282" i="20"/>
  <c r="B281" i="20"/>
  <c r="C281" i="20"/>
  <c r="D281" i="20" s="1"/>
  <c r="F281" i="20"/>
  <c r="G281" i="20" s="1"/>
  <c r="E281" i="20" l="1"/>
  <c r="A283" i="20"/>
  <c r="C282" i="20"/>
  <c r="F282" i="20"/>
  <c r="G282" i="20" s="1"/>
  <c r="B282" i="20"/>
  <c r="E282" i="20" s="1"/>
  <c r="D282" i="20" l="1"/>
  <c r="A284" i="20"/>
  <c r="B283" i="20"/>
  <c r="C283" i="20"/>
  <c r="F283" i="20"/>
  <c r="G283" i="20" s="1"/>
  <c r="D283" i="20" l="1"/>
  <c r="E283" i="20"/>
  <c r="A285" i="20"/>
  <c r="C284" i="20"/>
  <c r="F284" i="20"/>
  <c r="G284" i="20" s="1"/>
  <c r="B284" i="20"/>
  <c r="E284" i="20" s="1"/>
  <c r="D284" i="20" l="1"/>
  <c r="A286" i="20"/>
  <c r="B285" i="20"/>
  <c r="C285" i="20"/>
  <c r="F285" i="20"/>
  <c r="G285" i="20" s="1"/>
  <c r="E285" i="20" l="1"/>
  <c r="D285" i="20"/>
  <c r="A287" i="20"/>
  <c r="F286" i="20"/>
  <c r="G286" i="20" s="1"/>
  <c r="B286" i="20"/>
  <c r="C286" i="20"/>
  <c r="D286" i="20" s="1"/>
  <c r="E286" i="20" l="1"/>
  <c r="A288" i="20"/>
  <c r="B287" i="20"/>
  <c r="C287" i="20"/>
  <c r="F287" i="20"/>
  <c r="G287" i="20" s="1"/>
  <c r="E287" i="20" l="1"/>
  <c r="D287" i="20"/>
  <c r="A289" i="20"/>
  <c r="F288" i="20"/>
  <c r="G288" i="20" s="1"/>
  <c r="B288" i="20"/>
  <c r="C288" i="20"/>
  <c r="D288" i="20" s="1"/>
  <c r="E288" i="20" l="1"/>
  <c r="A290" i="20"/>
  <c r="B289" i="20"/>
  <c r="C289" i="20"/>
  <c r="F289" i="20"/>
  <c r="G289" i="20" s="1"/>
  <c r="E289" i="20" l="1"/>
  <c r="D289" i="20"/>
  <c r="A291" i="20"/>
  <c r="F290" i="20"/>
  <c r="G290" i="20" s="1"/>
  <c r="B290" i="20"/>
  <c r="C290" i="20"/>
  <c r="E290" i="20" l="1"/>
  <c r="D290" i="20"/>
  <c r="A292" i="20"/>
  <c r="B291" i="20"/>
  <c r="C291" i="20"/>
  <c r="D291" i="20" s="1"/>
  <c r="F291" i="20"/>
  <c r="G291" i="20" s="1"/>
  <c r="E291" i="20" l="1"/>
  <c r="A293" i="20"/>
  <c r="F292" i="20"/>
  <c r="G292" i="20" s="1"/>
  <c r="B292" i="20"/>
  <c r="C292" i="20"/>
  <c r="D292" i="20" s="1"/>
  <c r="E292" i="20" l="1"/>
  <c r="A294" i="20"/>
  <c r="B293" i="20"/>
  <c r="C293" i="20"/>
  <c r="D293" i="20" s="1"/>
  <c r="F293" i="20"/>
  <c r="G293" i="20" s="1"/>
  <c r="E293" i="20" l="1"/>
  <c r="A295" i="20"/>
  <c r="B294" i="20"/>
  <c r="C294" i="20"/>
  <c r="D294" i="20" s="1"/>
  <c r="F294" i="20"/>
  <c r="G294" i="20" s="1"/>
  <c r="E294" i="20" l="1"/>
  <c r="A296" i="20"/>
  <c r="C295" i="20"/>
  <c r="B295" i="20"/>
  <c r="E295" i="20" s="1"/>
  <c r="F295" i="20"/>
  <c r="G295" i="20" s="1"/>
  <c r="D295" i="20" l="1"/>
  <c r="A297" i="20"/>
  <c r="B296" i="20"/>
  <c r="C296" i="20"/>
  <c r="F296" i="20"/>
  <c r="G296" i="20" s="1"/>
  <c r="E296" i="20" l="1"/>
  <c r="D296" i="20"/>
  <c r="A298" i="20"/>
  <c r="F297" i="20"/>
  <c r="G297" i="20" s="1"/>
  <c r="B297" i="20"/>
  <c r="C297" i="20"/>
  <c r="D297" i="20" s="1"/>
  <c r="E297" i="20" l="1"/>
  <c r="A299" i="20"/>
  <c r="B298" i="20"/>
  <c r="F298" i="20"/>
  <c r="G298" i="20" s="1"/>
  <c r="C298" i="20"/>
  <c r="D298" i="20" s="1"/>
  <c r="E298" i="20" l="1"/>
  <c r="A300" i="20"/>
  <c r="B299" i="20"/>
  <c r="C299" i="20"/>
  <c r="D299" i="20" s="1"/>
  <c r="F299" i="20"/>
  <c r="G299" i="20" s="1"/>
  <c r="E299" i="20" l="1"/>
  <c r="A301" i="20"/>
  <c r="B300" i="20"/>
  <c r="C300" i="20"/>
  <c r="F300" i="20"/>
  <c r="G300" i="20" s="1"/>
  <c r="E300" i="20" l="1"/>
  <c r="D300" i="20"/>
  <c r="A302" i="20"/>
  <c r="B301" i="20"/>
  <c r="C301" i="20"/>
  <c r="F301" i="20"/>
  <c r="G301" i="20" s="1"/>
  <c r="D301" i="20" l="1"/>
  <c r="E301" i="20"/>
  <c r="A303" i="20"/>
  <c r="C302" i="20"/>
  <c r="F302" i="20"/>
  <c r="G302" i="20" s="1"/>
  <c r="B302" i="20"/>
  <c r="E302" i="20" s="1"/>
  <c r="D302" i="20" l="1"/>
  <c r="A304" i="20"/>
  <c r="B303" i="20"/>
  <c r="C303" i="20"/>
  <c r="F303" i="20"/>
  <c r="G303" i="20" s="1"/>
  <c r="E303" i="20" l="1"/>
  <c r="D303" i="20"/>
  <c r="A305" i="20"/>
  <c r="C304" i="20"/>
  <c r="B304" i="20"/>
  <c r="E304" i="20" s="1"/>
  <c r="F304" i="20"/>
  <c r="G304" i="20" s="1"/>
  <c r="D304" i="20" l="1"/>
  <c r="A306" i="20"/>
  <c r="B305" i="20"/>
  <c r="C305" i="20"/>
  <c r="D305" i="20" s="1"/>
  <c r="F305" i="20"/>
  <c r="G305" i="20" s="1"/>
  <c r="E305" i="20" l="1"/>
  <c r="A307" i="20"/>
  <c r="C306" i="20"/>
  <c r="F306" i="20"/>
  <c r="G306" i="20" s="1"/>
  <c r="B306" i="20"/>
  <c r="E306" i="20" s="1"/>
  <c r="D306" i="20" l="1"/>
  <c r="A308" i="20"/>
  <c r="C307" i="20"/>
  <c r="F307" i="20"/>
  <c r="G307" i="20" s="1"/>
  <c r="B307" i="20"/>
  <c r="E307" i="20" s="1"/>
  <c r="D307" i="20" l="1"/>
  <c r="A309" i="20"/>
  <c r="F308" i="20"/>
  <c r="G308" i="20" s="1"/>
  <c r="B308" i="20"/>
  <c r="C308" i="20"/>
  <c r="D308" i="20" s="1"/>
  <c r="E308" i="20" l="1"/>
  <c r="A310" i="20"/>
  <c r="C309" i="20"/>
  <c r="F309" i="20"/>
  <c r="G309" i="20" s="1"/>
  <c r="B309" i="20"/>
  <c r="E309" i="20" s="1"/>
  <c r="D309" i="20" l="1"/>
  <c r="A311" i="20"/>
  <c r="F310" i="20"/>
  <c r="G310" i="20" s="1"/>
  <c r="B310" i="20"/>
  <c r="C310" i="20"/>
  <c r="D310" i="20" s="1"/>
  <c r="E310" i="20" l="1"/>
  <c r="A312" i="20"/>
  <c r="B311" i="20"/>
  <c r="F311" i="20"/>
  <c r="G311" i="20" s="1"/>
  <c r="C311" i="20"/>
  <c r="D311" i="20" s="1"/>
  <c r="E311" i="20" l="1"/>
  <c r="A313" i="20"/>
  <c r="B312" i="20"/>
  <c r="F312" i="20"/>
  <c r="G312" i="20" s="1"/>
  <c r="C312" i="20"/>
  <c r="D312" i="20" s="1"/>
  <c r="E312" i="20" l="1"/>
  <c r="A314" i="20"/>
  <c r="B313" i="20"/>
  <c r="C313" i="20"/>
  <c r="D313" i="20" s="1"/>
  <c r="F313" i="20"/>
  <c r="G313" i="20" s="1"/>
  <c r="E313" i="20" l="1"/>
  <c r="A315" i="20"/>
  <c r="B314" i="20"/>
  <c r="C314" i="20"/>
  <c r="D314" i="20" s="1"/>
  <c r="F314" i="20"/>
  <c r="G314" i="20" s="1"/>
  <c r="E314" i="20" l="1"/>
  <c r="A316" i="20"/>
  <c r="C315" i="20"/>
  <c r="F315" i="20"/>
  <c r="G315" i="20" s="1"/>
  <c r="B315" i="20"/>
  <c r="E315" i="20" s="1"/>
  <c r="D315" i="20" l="1"/>
  <c r="A317" i="20"/>
  <c r="C316" i="20"/>
  <c r="F316" i="20"/>
  <c r="G316" i="20" s="1"/>
  <c r="B316" i="20"/>
  <c r="E316" i="20" s="1"/>
  <c r="D316" i="20" l="1"/>
  <c r="A318" i="20"/>
  <c r="F317" i="20"/>
  <c r="G317" i="20" s="1"/>
  <c r="B317" i="20"/>
  <c r="C317" i="20"/>
  <c r="D317" i="20" s="1"/>
  <c r="E317" i="20" l="1"/>
  <c r="A319" i="20"/>
  <c r="B318" i="20"/>
  <c r="F318" i="20"/>
  <c r="G318" i="20" s="1"/>
  <c r="C318" i="20"/>
  <c r="E318" i="20" l="1"/>
  <c r="D318" i="20"/>
  <c r="A320" i="20"/>
  <c r="F319" i="20"/>
  <c r="G319" i="20" s="1"/>
  <c r="B319" i="20"/>
  <c r="C319" i="20"/>
  <c r="E319" i="20" l="1"/>
  <c r="D319" i="20"/>
  <c r="A321" i="20"/>
  <c r="C320" i="20"/>
  <c r="F320" i="20"/>
  <c r="G320" i="20" s="1"/>
  <c r="B320" i="20"/>
  <c r="E320" i="20" s="1"/>
  <c r="D320" i="20" l="1"/>
  <c r="A322" i="20"/>
  <c r="F321" i="20"/>
  <c r="G321" i="20" s="1"/>
  <c r="B321" i="20"/>
  <c r="C321" i="20"/>
  <c r="D321" i="20" s="1"/>
  <c r="E321" i="20" l="1"/>
  <c r="A323" i="20"/>
  <c r="C322" i="20"/>
  <c r="F322" i="20"/>
  <c r="G322" i="20" s="1"/>
  <c r="B322" i="20"/>
  <c r="E322" i="20" s="1"/>
  <c r="D322" i="20" l="1"/>
  <c r="A324" i="20"/>
  <c r="F323" i="20"/>
  <c r="G323" i="20" s="1"/>
  <c r="B323" i="20"/>
  <c r="C323" i="20"/>
  <c r="E323" i="20" l="1"/>
  <c r="D323" i="20"/>
  <c r="A325" i="20"/>
  <c r="B324" i="20"/>
  <c r="F324" i="20"/>
  <c r="G324" i="20" s="1"/>
  <c r="C324" i="20"/>
  <c r="D324" i="20" s="1"/>
  <c r="E324" i="20" l="1"/>
  <c r="A326" i="20"/>
  <c r="B325" i="20"/>
  <c r="C325" i="20"/>
  <c r="F325" i="20"/>
  <c r="G325" i="20" s="1"/>
  <c r="E325" i="20" l="1"/>
  <c r="D325" i="20"/>
  <c r="A327" i="20"/>
  <c r="B326" i="20"/>
  <c r="C326" i="20"/>
  <c r="F326" i="20"/>
  <c r="G326" i="20" s="1"/>
  <c r="E326" i="20" l="1"/>
  <c r="D326" i="20"/>
  <c r="A328" i="20"/>
  <c r="B327" i="20"/>
  <c r="C327" i="20"/>
  <c r="D327" i="20" s="1"/>
  <c r="F327" i="20"/>
  <c r="G327" i="20" s="1"/>
  <c r="E327" i="20" l="1"/>
  <c r="A329" i="20"/>
  <c r="B328" i="20"/>
  <c r="C328" i="20"/>
  <c r="D328" i="20" s="1"/>
  <c r="F328" i="20"/>
  <c r="G328" i="20" s="1"/>
  <c r="E328" i="20" l="1"/>
  <c r="A330" i="20"/>
  <c r="B329" i="20"/>
  <c r="C329" i="20"/>
  <c r="D329" i="20" s="1"/>
  <c r="F329" i="20"/>
  <c r="G329" i="20" s="1"/>
  <c r="E329" i="20" l="1"/>
  <c r="A331" i="20"/>
  <c r="C330" i="20"/>
  <c r="B330" i="20"/>
  <c r="E330" i="20" s="1"/>
  <c r="F330" i="20"/>
  <c r="G330" i="20" s="1"/>
  <c r="D330" i="20" l="1"/>
  <c r="A332" i="20"/>
  <c r="B331" i="20"/>
  <c r="C331" i="20"/>
  <c r="D331" i="20" s="1"/>
  <c r="F331" i="20"/>
  <c r="G331" i="20" s="1"/>
  <c r="E331" i="20" l="1"/>
  <c r="A333" i="20"/>
  <c r="F332" i="20"/>
  <c r="G332" i="20" s="1"/>
  <c r="B332" i="20"/>
  <c r="C332" i="20"/>
  <c r="D332" i="20" s="1"/>
  <c r="E332" i="20" l="1"/>
  <c r="A334" i="20"/>
  <c r="C333" i="20"/>
  <c r="F333" i="20"/>
  <c r="G333" i="20" s="1"/>
  <c r="B333" i="20"/>
  <c r="E333" i="20" s="1"/>
  <c r="A335" i="20" l="1"/>
  <c r="B334" i="20"/>
  <c r="C334" i="20"/>
  <c r="F334" i="20"/>
  <c r="G334" i="20" s="1"/>
  <c r="D333" i="20"/>
  <c r="E334" i="20" l="1"/>
  <c r="D334" i="20"/>
  <c r="A336" i="20"/>
  <c r="B335" i="20"/>
  <c r="C335" i="20"/>
  <c r="D335" i="20" s="1"/>
  <c r="F335" i="20"/>
  <c r="G335" i="20" s="1"/>
  <c r="E335" i="20" l="1"/>
  <c r="A337" i="20"/>
  <c r="C336" i="20"/>
  <c r="B336" i="20"/>
  <c r="F336" i="20"/>
  <c r="G336" i="20" s="1"/>
  <c r="E336" i="20" l="1"/>
  <c r="A338" i="20"/>
  <c r="B337" i="20"/>
  <c r="C337" i="20"/>
  <c r="D337" i="20" s="1"/>
  <c r="F337" i="20"/>
  <c r="G337" i="20" s="1"/>
  <c r="D336" i="20"/>
  <c r="E337" i="20" l="1"/>
  <c r="A339" i="20"/>
  <c r="C338" i="20"/>
  <c r="B338" i="20"/>
  <c r="E338" i="20" s="1"/>
  <c r="F338" i="20"/>
  <c r="G338" i="20" s="1"/>
  <c r="D338" i="20" l="1"/>
  <c r="A340" i="20"/>
  <c r="C339" i="20"/>
  <c r="F339" i="20"/>
  <c r="G339" i="20" s="1"/>
  <c r="B339" i="20"/>
  <c r="E339" i="20" s="1"/>
  <c r="D339" i="20" l="1"/>
  <c r="A341" i="20"/>
  <c r="C340" i="20"/>
  <c r="F340" i="20"/>
  <c r="G340" i="20" s="1"/>
  <c r="B340" i="20"/>
  <c r="E340" i="20" s="1"/>
  <c r="D340" i="20" l="1"/>
  <c r="A342" i="20"/>
  <c r="C341" i="20"/>
  <c r="F341" i="20"/>
  <c r="G341" i="20" s="1"/>
  <c r="B341" i="20"/>
  <c r="E341" i="20" s="1"/>
  <c r="D341" i="20" l="1"/>
  <c r="A343" i="20"/>
  <c r="F342" i="20"/>
  <c r="G342" i="20" s="1"/>
  <c r="B342" i="20"/>
  <c r="C342" i="20"/>
  <c r="D342" i="20" s="1"/>
  <c r="E342" i="20" l="1"/>
  <c r="A344" i="20"/>
  <c r="F343" i="20"/>
  <c r="G343" i="20" s="1"/>
  <c r="B343" i="20"/>
  <c r="C343" i="20"/>
  <c r="D343" i="20" s="1"/>
  <c r="E343" i="20" l="1"/>
  <c r="A345" i="20"/>
  <c r="B344" i="20"/>
  <c r="C344" i="20"/>
  <c r="D344" i="20" s="1"/>
  <c r="F344" i="20"/>
  <c r="G344" i="20" s="1"/>
  <c r="E344" i="20" l="1"/>
  <c r="A346" i="20"/>
  <c r="B345" i="20"/>
  <c r="C345" i="20"/>
  <c r="D345" i="20" s="1"/>
  <c r="F345" i="20"/>
  <c r="G345" i="20" s="1"/>
  <c r="E345" i="20" l="1"/>
  <c r="A347" i="20"/>
  <c r="B346" i="20"/>
  <c r="C346" i="20"/>
  <c r="D346" i="20" s="1"/>
  <c r="F346" i="20"/>
  <c r="G346" i="20" s="1"/>
  <c r="E346" i="20" l="1"/>
  <c r="A348" i="20"/>
  <c r="B347" i="20"/>
  <c r="F347" i="20"/>
  <c r="G347" i="20" s="1"/>
  <c r="C347" i="20"/>
  <c r="D347" i="20" s="1"/>
  <c r="E347" i="20" l="1"/>
  <c r="A349" i="20"/>
  <c r="C348" i="20"/>
  <c r="B348" i="20"/>
  <c r="E348" i="20" s="1"/>
  <c r="F348" i="20"/>
  <c r="G348" i="20" s="1"/>
  <c r="D348" i="20" l="1"/>
  <c r="A350" i="20"/>
  <c r="C349" i="20"/>
  <c r="B349" i="20"/>
  <c r="E349" i="20" s="1"/>
  <c r="F349" i="20"/>
  <c r="G349" i="20" s="1"/>
  <c r="D349" i="20" l="1"/>
  <c r="A351" i="20"/>
  <c r="C350" i="20"/>
  <c r="F350" i="20"/>
  <c r="G350" i="20" s="1"/>
  <c r="B350" i="20"/>
  <c r="E350" i="20" s="1"/>
  <c r="D350" i="20" l="1"/>
  <c r="A352" i="20"/>
  <c r="B351" i="20"/>
  <c r="C351" i="20"/>
  <c r="D351" i="20" s="1"/>
  <c r="F351" i="20"/>
  <c r="G351" i="20" s="1"/>
  <c r="E351" i="20" l="1"/>
  <c r="A353" i="20"/>
  <c r="C352" i="20"/>
  <c r="B352" i="20"/>
  <c r="E352" i="20" s="1"/>
  <c r="F352" i="20"/>
  <c r="G352" i="20" s="1"/>
  <c r="D352" i="20" l="1"/>
  <c r="A354" i="20"/>
  <c r="C353" i="20"/>
  <c r="B353" i="20"/>
  <c r="E353" i="20" s="1"/>
  <c r="F353" i="20"/>
  <c r="G353" i="20" s="1"/>
  <c r="D353" i="20" l="1"/>
  <c r="A355" i="20"/>
  <c r="C354" i="20"/>
  <c r="B354" i="20"/>
  <c r="E354" i="20" s="1"/>
  <c r="F354" i="20"/>
  <c r="G354" i="20" s="1"/>
  <c r="D354" i="20" l="1"/>
  <c r="A356" i="20"/>
  <c r="C355" i="20"/>
  <c r="B355" i="20"/>
  <c r="E355" i="20" s="1"/>
  <c r="F355" i="20"/>
  <c r="G355" i="20" s="1"/>
  <c r="D355" i="20" l="1"/>
  <c r="A357" i="20"/>
  <c r="C356" i="20"/>
  <c r="B356" i="20"/>
  <c r="E356" i="20" s="1"/>
  <c r="F356" i="20"/>
  <c r="G356" i="20" s="1"/>
  <c r="D356" i="20" l="1"/>
  <c r="A358" i="20"/>
  <c r="C357" i="20"/>
  <c r="F357" i="20"/>
  <c r="G357" i="20" s="1"/>
  <c r="B357" i="20"/>
  <c r="E357" i="20" s="1"/>
  <c r="D357" i="20" l="1"/>
  <c r="A359" i="20"/>
  <c r="F358" i="20"/>
  <c r="G358" i="20" s="1"/>
  <c r="B358" i="20"/>
  <c r="C358" i="20"/>
  <c r="D358" i="20" l="1"/>
  <c r="E358" i="20"/>
  <c r="A360" i="20"/>
  <c r="B359" i="20"/>
  <c r="C359" i="20"/>
  <c r="D359" i="20" s="1"/>
  <c r="F359" i="20"/>
  <c r="G359" i="20" s="1"/>
  <c r="E359" i="20" l="1"/>
  <c r="A361" i="20"/>
  <c r="F360" i="20"/>
  <c r="G360" i="20" s="1"/>
  <c r="B360" i="20"/>
  <c r="C360" i="20"/>
  <c r="D360" i="20" l="1"/>
  <c r="E360" i="20"/>
  <c r="A362" i="20"/>
  <c r="F361" i="20"/>
  <c r="G361" i="20" s="1"/>
  <c r="B361" i="20"/>
  <c r="C361" i="20"/>
  <c r="D361" i="20" s="1"/>
  <c r="E361" i="20" l="1"/>
  <c r="A363" i="20"/>
  <c r="B362" i="20"/>
  <c r="C362" i="20"/>
  <c r="D362" i="20" s="1"/>
  <c r="F362" i="20"/>
  <c r="G362" i="20" s="1"/>
  <c r="E362" i="20" l="1"/>
  <c r="A364" i="20"/>
  <c r="B363" i="20"/>
  <c r="F363" i="20"/>
  <c r="G363" i="20" s="1"/>
  <c r="C363" i="20"/>
  <c r="D363" i="20" s="1"/>
  <c r="E363" i="20" l="1"/>
  <c r="A365" i="20"/>
  <c r="F364" i="20"/>
  <c r="G364" i="20" s="1"/>
  <c r="B364" i="20"/>
  <c r="C364" i="20"/>
  <c r="D364" i="20" s="1"/>
  <c r="E364" i="20" l="1"/>
  <c r="A366" i="20"/>
  <c r="B365" i="20"/>
  <c r="C365" i="20"/>
  <c r="D365" i="20" s="1"/>
  <c r="F365" i="20"/>
  <c r="G365" i="20" s="1"/>
  <c r="E365" i="20" l="1"/>
  <c r="A367" i="20"/>
  <c r="F366" i="20"/>
  <c r="G366" i="20" s="1"/>
  <c r="B366" i="20"/>
  <c r="C366" i="20"/>
  <c r="E366" i="20" l="1"/>
  <c r="D366" i="20"/>
  <c r="A368" i="20"/>
  <c r="B367" i="20"/>
  <c r="C367" i="20"/>
  <c r="D367" i="20" s="1"/>
  <c r="F367" i="20"/>
  <c r="G367" i="20" s="1"/>
  <c r="E367" i="20" l="1"/>
  <c r="A369" i="20"/>
  <c r="C368" i="20"/>
  <c r="F368" i="20"/>
  <c r="G368" i="20" s="1"/>
  <c r="B368" i="20"/>
  <c r="E368" i="20" s="1"/>
  <c r="D368" i="20" l="1"/>
  <c r="A370" i="20"/>
  <c r="C369" i="20"/>
  <c r="B369" i="20"/>
  <c r="F369" i="20"/>
  <c r="G369" i="20" s="1"/>
  <c r="E369" i="20" l="1"/>
  <c r="D369" i="20"/>
  <c r="A371" i="20"/>
  <c r="B370" i="20"/>
  <c r="C370" i="20"/>
  <c r="D370" i="20" s="1"/>
  <c r="F370" i="20"/>
  <c r="G370" i="20" s="1"/>
  <c r="E370" i="20" l="1"/>
  <c r="A372" i="20"/>
  <c r="C371" i="20"/>
  <c r="B371" i="20"/>
  <c r="E371" i="20" s="1"/>
  <c r="F371" i="20"/>
  <c r="G371" i="20" s="1"/>
  <c r="D371" i="20" l="1"/>
  <c r="A373" i="20"/>
  <c r="C372" i="20"/>
  <c r="B372" i="20"/>
  <c r="E372" i="20" s="1"/>
  <c r="F372" i="20"/>
  <c r="G372" i="20" s="1"/>
  <c r="D372" i="20" l="1"/>
  <c r="A374" i="20"/>
  <c r="B373" i="20"/>
  <c r="F373" i="20"/>
  <c r="G373" i="20" s="1"/>
  <c r="C373" i="20"/>
  <c r="D373" i="20" s="1"/>
  <c r="E373" i="20" l="1"/>
  <c r="A375" i="20"/>
  <c r="C374" i="20"/>
  <c r="B374" i="20"/>
  <c r="E374" i="20" s="1"/>
  <c r="F374" i="20"/>
  <c r="G374" i="20" s="1"/>
  <c r="D374" i="20" l="1"/>
  <c r="A376" i="20"/>
  <c r="B375" i="20"/>
  <c r="F375" i="20"/>
  <c r="G375" i="20" s="1"/>
  <c r="C375" i="20"/>
  <c r="D375" i="20" s="1"/>
  <c r="E375" i="20" l="1"/>
  <c r="A377" i="20"/>
  <c r="F376" i="20"/>
  <c r="G376" i="20" s="1"/>
  <c r="B376" i="20"/>
  <c r="C376" i="20"/>
  <c r="D376" i="20" l="1"/>
  <c r="E376" i="20"/>
  <c r="A378" i="20"/>
  <c r="B377" i="20"/>
  <c r="C377" i="20"/>
  <c r="F377" i="20"/>
  <c r="G377" i="20" s="1"/>
  <c r="E377" i="20" l="1"/>
  <c r="D377" i="20"/>
  <c r="A379" i="20"/>
  <c r="F378" i="20"/>
  <c r="G378" i="20" s="1"/>
  <c r="B378" i="20"/>
  <c r="C378" i="20"/>
  <c r="D378" i="20" s="1"/>
  <c r="E378" i="20" l="1"/>
  <c r="A380" i="20"/>
  <c r="F379" i="20"/>
  <c r="G379" i="20" s="1"/>
  <c r="B379" i="20"/>
  <c r="C379" i="20"/>
  <c r="E379" i="20" l="1"/>
  <c r="D379" i="20"/>
  <c r="A381" i="20"/>
  <c r="B380" i="20"/>
  <c r="C380" i="20"/>
  <c r="F380" i="20"/>
  <c r="G380" i="20" s="1"/>
  <c r="E380" i="20" l="1"/>
  <c r="D380" i="20"/>
  <c r="A382" i="20"/>
  <c r="F381" i="20"/>
  <c r="G381" i="20" s="1"/>
  <c r="B381" i="20"/>
  <c r="C381" i="20"/>
  <c r="D381" i="20" s="1"/>
  <c r="E381" i="20" l="1"/>
  <c r="A383" i="20"/>
  <c r="B382" i="20"/>
  <c r="C382" i="20"/>
  <c r="F382" i="20"/>
  <c r="G382" i="20" s="1"/>
  <c r="D382" i="20" l="1"/>
  <c r="E382" i="20"/>
  <c r="A384" i="20"/>
  <c r="F383" i="20"/>
  <c r="G383" i="20" s="1"/>
  <c r="B383" i="20"/>
  <c r="C383" i="20"/>
  <c r="E383" i="20" l="1"/>
  <c r="D383" i="20"/>
  <c r="A385" i="20"/>
  <c r="C384" i="20"/>
  <c r="B384" i="20"/>
  <c r="E384" i="20" s="1"/>
  <c r="F384" i="20"/>
  <c r="G384" i="20" s="1"/>
  <c r="D384" i="20" l="1"/>
  <c r="A386" i="20"/>
  <c r="B385" i="20"/>
  <c r="C385" i="20"/>
  <c r="D385" i="20" s="1"/>
  <c r="F385" i="20"/>
  <c r="G385" i="20" s="1"/>
  <c r="E385" i="20" l="1"/>
  <c r="A387" i="20"/>
  <c r="C386" i="20"/>
  <c r="B386" i="20"/>
  <c r="F386" i="20"/>
  <c r="G386" i="20" s="1"/>
  <c r="E386" i="20" l="1"/>
  <c r="D386" i="20"/>
  <c r="A388" i="20"/>
  <c r="B387" i="20"/>
  <c r="C387" i="20"/>
  <c r="D387" i="20" s="1"/>
  <c r="F387" i="20"/>
  <c r="G387" i="20" s="1"/>
  <c r="E387" i="20" l="1"/>
  <c r="A389" i="20"/>
  <c r="B388" i="20"/>
  <c r="F388" i="20"/>
  <c r="G388" i="20" s="1"/>
  <c r="C388" i="20"/>
  <c r="D388" i="20" s="1"/>
  <c r="E388" i="20" l="1"/>
  <c r="A390" i="20"/>
  <c r="C389" i="20"/>
  <c r="B389" i="20"/>
  <c r="E389" i="20" s="1"/>
  <c r="F389" i="20"/>
  <c r="G389" i="20" s="1"/>
  <c r="D389" i="20" l="1"/>
  <c r="A391" i="20"/>
  <c r="B390" i="20"/>
  <c r="C390" i="20"/>
  <c r="D390" i="20" s="1"/>
  <c r="F390" i="20"/>
  <c r="G390" i="20" s="1"/>
  <c r="E390" i="20" l="1"/>
  <c r="A392" i="20"/>
  <c r="F391" i="20"/>
  <c r="G391" i="20" s="1"/>
  <c r="C391" i="20"/>
  <c r="B391" i="20"/>
  <c r="E391" i="20" s="1"/>
  <c r="D391" i="20" l="1"/>
  <c r="A393" i="20"/>
  <c r="F392" i="20"/>
  <c r="G392" i="20" s="1"/>
  <c r="B392" i="20"/>
  <c r="C392" i="20"/>
  <c r="D392" i="20" s="1"/>
  <c r="E392" i="20" l="1"/>
  <c r="A394" i="20"/>
  <c r="F393" i="20"/>
  <c r="G393" i="20" s="1"/>
  <c r="B393" i="20"/>
  <c r="C393" i="20"/>
  <c r="D393" i="20" s="1"/>
  <c r="E393" i="20" l="1"/>
  <c r="A395" i="20"/>
  <c r="B394" i="20"/>
  <c r="C394" i="20"/>
  <c r="F394" i="20"/>
  <c r="G394" i="20" s="1"/>
  <c r="E394" i="20" l="1"/>
  <c r="D394" i="20"/>
  <c r="A396" i="20"/>
  <c r="B395" i="20"/>
  <c r="C395" i="20"/>
  <c r="D395" i="20" s="1"/>
  <c r="F395" i="20"/>
  <c r="G395" i="20" s="1"/>
  <c r="E395" i="20" l="1"/>
  <c r="A397" i="20"/>
  <c r="F396" i="20"/>
  <c r="G396" i="20" s="1"/>
  <c r="B396" i="20"/>
  <c r="C396" i="20"/>
  <c r="D396" i="20" l="1"/>
  <c r="E396" i="20"/>
  <c r="A398" i="20"/>
  <c r="F397" i="20"/>
  <c r="G397" i="20" s="1"/>
  <c r="C397" i="20"/>
  <c r="B397" i="20"/>
  <c r="E397" i="20" s="1"/>
  <c r="D397" i="20" l="1"/>
  <c r="A399" i="20"/>
  <c r="F398" i="20"/>
  <c r="G398" i="20" s="1"/>
  <c r="B398" i="20"/>
  <c r="C398" i="20"/>
  <c r="D398" i="20" l="1"/>
  <c r="E398" i="20"/>
  <c r="A400" i="20"/>
  <c r="B399" i="20"/>
  <c r="C399" i="20"/>
  <c r="D399" i="20" s="1"/>
  <c r="F399" i="20"/>
  <c r="G399" i="20" s="1"/>
  <c r="E399" i="20" l="1"/>
  <c r="A401" i="20"/>
  <c r="B400" i="20"/>
  <c r="C400" i="20"/>
  <c r="D400" i="20" s="1"/>
  <c r="F400" i="20"/>
  <c r="G400" i="20" s="1"/>
  <c r="E400" i="20" l="1"/>
  <c r="A402" i="20"/>
  <c r="C401" i="20"/>
  <c r="B401" i="20"/>
  <c r="F401" i="20"/>
  <c r="G401" i="20" s="1"/>
  <c r="E401" i="20" l="1"/>
  <c r="D401" i="20"/>
  <c r="A403" i="20"/>
  <c r="F402" i="20"/>
  <c r="G402" i="20" s="1"/>
  <c r="B402" i="20"/>
  <c r="C402" i="20"/>
  <c r="D402" i="20" l="1"/>
  <c r="E402" i="20"/>
  <c r="A404" i="20"/>
  <c r="C403" i="20"/>
  <c r="F403" i="20"/>
  <c r="G403" i="20" s="1"/>
  <c r="B403" i="20"/>
  <c r="E403" i="20" s="1"/>
  <c r="D403" i="20" l="1"/>
  <c r="A405" i="20"/>
  <c r="C404" i="20"/>
  <c r="B404" i="20"/>
  <c r="E404" i="20" s="1"/>
  <c r="F404" i="20"/>
  <c r="G404" i="20" s="1"/>
  <c r="D404" i="20" l="1"/>
  <c r="A406" i="20"/>
  <c r="B405" i="20"/>
  <c r="C405" i="20"/>
  <c r="D405" i="20" s="1"/>
  <c r="F405" i="20"/>
  <c r="G405" i="20" s="1"/>
  <c r="E405" i="20" l="1"/>
  <c r="A407" i="20"/>
  <c r="C406" i="20"/>
  <c r="B406" i="20"/>
  <c r="E406" i="20" s="1"/>
  <c r="F406" i="20"/>
  <c r="G406" i="20" s="1"/>
  <c r="D406" i="20" l="1"/>
  <c r="A408" i="20"/>
  <c r="B407" i="20"/>
  <c r="F407" i="20"/>
  <c r="G407" i="20" s="1"/>
  <c r="C407" i="20"/>
  <c r="D407" i="20" s="1"/>
  <c r="E407" i="20" l="1"/>
  <c r="A409" i="20"/>
  <c r="F408" i="20"/>
  <c r="G408" i="20" s="1"/>
  <c r="B408" i="20"/>
  <c r="C408" i="20"/>
  <c r="D408" i="20" s="1"/>
  <c r="E408" i="20" l="1"/>
  <c r="A410" i="20"/>
  <c r="B409" i="20"/>
  <c r="E409" i="20" s="1"/>
  <c r="C409" i="20"/>
  <c r="D409" i="20" s="1"/>
  <c r="F409" i="20"/>
  <c r="G409" i="20" s="1"/>
  <c r="A411" i="20" l="1"/>
  <c r="F410" i="20"/>
  <c r="G410" i="20" s="1"/>
  <c r="B410" i="20"/>
  <c r="C410" i="20"/>
  <c r="E410" i="20" l="1"/>
  <c r="D410" i="20"/>
  <c r="A412" i="20"/>
  <c r="C411" i="20"/>
  <c r="B411" i="20"/>
  <c r="E411" i="20" s="1"/>
  <c r="F411" i="20"/>
  <c r="G411" i="20" s="1"/>
  <c r="A413" i="20" l="1"/>
  <c r="C412" i="20"/>
  <c r="F412" i="20"/>
  <c r="G412" i="20" s="1"/>
  <c r="B412" i="20"/>
  <c r="D411" i="20"/>
  <c r="E412" i="20" l="1"/>
  <c r="D412" i="20"/>
  <c r="A414" i="20"/>
  <c r="C413" i="20"/>
  <c r="F413" i="20"/>
  <c r="G413" i="20" s="1"/>
  <c r="B413" i="20"/>
  <c r="E413" i="20" s="1"/>
  <c r="D413" i="20" l="1"/>
  <c r="A415" i="20"/>
  <c r="F414" i="20"/>
  <c r="G414" i="20" s="1"/>
  <c r="B414" i="20"/>
  <c r="C414" i="20"/>
  <c r="D414" i="20" s="1"/>
  <c r="E414" i="20" l="1"/>
  <c r="A416" i="20"/>
  <c r="F415" i="20"/>
  <c r="G415" i="20" s="1"/>
  <c r="B415" i="20"/>
  <c r="C415" i="20"/>
  <c r="D415" i="20" s="1"/>
  <c r="E415" i="20" l="1"/>
  <c r="A417" i="20"/>
  <c r="B416" i="20"/>
  <c r="F416" i="20"/>
  <c r="G416" i="20" s="1"/>
  <c r="C416" i="20"/>
  <c r="D416" i="20" s="1"/>
  <c r="E416" i="20" l="1"/>
  <c r="A418" i="20"/>
  <c r="F417" i="20"/>
  <c r="G417" i="20" s="1"/>
  <c r="B417" i="20"/>
  <c r="C417" i="20"/>
  <c r="D417" i="20" s="1"/>
  <c r="E417" i="20" l="1"/>
  <c r="A419" i="20"/>
  <c r="F418" i="20"/>
  <c r="G418" i="20" s="1"/>
  <c r="B418" i="20"/>
  <c r="C418" i="20"/>
  <c r="D418" i="20" s="1"/>
  <c r="E418" i="20" l="1"/>
  <c r="A420" i="20"/>
  <c r="B419" i="20"/>
  <c r="C419" i="20"/>
  <c r="D419" i="20" s="1"/>
  <c r="F419" i="20"/>
  <c r="G419" i="20" s="1"/>
  <c r="E419" i="20" l="1"/>
  <c r="A421" i="20"/>
  <c r="B420" i="20"/>
  <c r="E420" i="20" s="1"/>
  <c r="C420" i="20"/>
  <c r="F420" i="20"/>
  <c r="G420" i="20" s="1"/>
  <c r="D420" i="20" l="1"/>
  <c r="A422" i="20"/>
  <c r="F421" i="20"/>
  <c r="G421" i="20" s="1"/>
  <c r="B421" i="20"/>
  <c r="C421" i="20"/>
  <c r="D421" i="20" s="1"/>
  <c r="E421" i="20" l="1"/>
  <c r="A423" i="20"/>
  <c r="C422" i="20"/>
  <c r="F422" i="20"/>
  <c r="G422" i="20" s="1"/>
  <c r="B422" i="20"/>
  <c r="E422" i="20" s="1"/>
  <c r="D422" i="20" l="1"/>
  <c r="A424" i="20"/>
  <c r="B423" i="20"/>
  <c r="F423" i="20"/>
  <c r="G423" i="20" s="1"/>
  <c r="C423" i="20"/>
  <c r="E423" i="20" l="1"/>
  <c r="D423" i="20"/>
  <c r="A425" i="20"/>
  <c r="C424" i="20"/>
  <c r="F424" i="20"/>
  <c r="G424" i="20" s="1"/>
  <c r="B424" i="20"/>
  <c r="E424" i="20" s="1"/>
  <c r="D424" i="20" l="1"/>
  <c r="A426" i="20"/>
  <c r="B425" i="20"/>
  <c r="F425" i="20"/>
  <c r="G425" i="20" s="1"/>
  <c r="C425" i="20"/>
  <c r="E425" i="20" l="1"/>
  <c r="A427" i="20"/>
  <c r="C426" i="20"/>
  <c r="F426" i="20"/>
  <c r="G426" i="20" s="1"/>
  <c r="B426" i="20"/>
  <c r="E426" i="20" s="1"/>
  <c r="D425" i="20"/>
  <c r="D426" i="20" l="1"/>
  <c r="A428" i="20"/>
  <c r="B427" i="20"/>
  <c r="C427" i="20"/>
  <c r="D427" i="20" s="1"/>
  <c r="F427" i="20"/>
  <c r="G427" i="20" s="1"/>
  <c r="E427" i="20" l="1"/>
  <c r="A429" i="20"/>
  <c r="B428" i="20"/>
  <c r="F428" i="20"/>
  <c r="G428" i="20" s="1"/>
  <c r="C428" i="20"/>
  <c r="D428" i="20" s="1"/>
  <c r="E428" i="20" l="1"/>
  <c r="A430" i="20"/>
  <c r="B429" i="20"/>
  <c r="C429" i="20"/>
  <c r="F429" i="20"/>
  <c r="G429" i="20" s="1"/>
  <c r="D429" i="20" l="1"/>
  <c r="E429" i="20"/>
  <c r="A431" i="20"/>
  <c r="B430" i="20"/>
  <c r="C430" i="20"/>
  <c r="D430" i="20" s="1"/>
  <c r="F430" i="20"/>
  <c r="G430" i="20" s="1"/>
  <c r="E430" i="20" l="1"/>
  <c r="A432" i="20"/>
  <c r="C431" i="20"/>
  <c r="B431" i="20"/>
  <c r="E431" i="20" s="1"/>
  <c r="F431" i="20"/>
  <c r="G431" i="20" s="1"/>
  <c r="D431" i="20" l="1"/>
  <c r="A433" i="20"/>
  <c r="B432" i="20"/>
  <c r="F432" i="20"/>
  <c r="G432" i="20" s="1"/>
  <c r="C432" i="20"/>
  <c r="D432" i="20" s="1"/>
  <c r="E432" i="20" l="1"/>
  <c r="A434" i="20"/>
  <c r="C433" i="20"/>
  <c r="F433" i="20"/>
  <c r="G433" i="20" s="1"/>
  <c r="B433" i="20"/>
  <c r="E433" i="20" s="1"/>
  <c r="D433" i="20" l="1"/>
  <c r="A435" i="20"/>
  <c r="F434" i="20"/>
  <c r="G434" i="20" s="1"/>
  <c r="C434" i="20"/>
  <c r="B434" i="20"/>
  <c r="E434" i="20" s="1"/>
  <c r="D434" i="20" l="1"/>
  <c r="A436" i="20"/>
  <c r="F435" i="20"/>
  <c r="G435" i="20" s="1"/>
  <c r="B435" i="20"/>
  <c r="C435" i="20"/>
  <c r="D435" i="20" s="1"/>
  <c r="E435" i="20" l="1"/>
  <c r="A437" i="20"/>
  <c r="F436" i="20"/>
  <c r="G436" i="20" s="1"/>
  <c r="B436" i="20"/>
  <c r="C436" i="20"/>
  <c r="D436" i="20" s="1"/>
  <c r="E436" i="20" l="1"/>
  <c r="A438" i="20"/>
  <c r="C437" i="20"/>
  <c r="F437" i="20"/>
  <c r="G437" i="20" s="1"/>
  <c r="B437" i="20"/>
  <c r="E437" i="20" s="1"/>
  <c r="D437" i="20" l="1"/>
  <c r="A439" i="20"/>
  <c r="F438" i="20"/>
  <c r="G438" i="20" s="1"/>
  <c r="B438" i="20"/>
  <c r="C438" i="20"/>
  <c r="D438" i="20" s="1"/>
  <c r="E438" i="20" l="1"/>
  <c r="A440" i="20"/>
  <c r="C439" i="20"/>
  <c r="F439" i="20"/>
  <c r="G439" i="20" s="1"/>
  <c r="B439" i="20"/>
  <c r="E439" i="20" s="1"/>
  <c r="D439" i="20" l="1"/>
  <c r="A441" i="20"/>
  <c r="C440" i="20"/>
  <c r="B440" i="20"/>
  <c r="E440" i="20" s="1"/>
  <c r="F440" i="20"/>
  <c r="G440" i="20" s="1"/>
  <c r="D440" i="20" l="1"/>
  <c r="A442" i="20"/>
  <c r="B441" i="20"/>
  <c r="C441" i="20"/>
  <c r="F441" i="20"/>
  <c r="G441" i="20" s="1"/>
  <c r="E441" i="20" l="1"/>
  <c r="A443" i="20"/>
  <c r="C442" i="20"/>
  <c r="B442" i="20"/>
  <c r="E442" i="20" s="1"/>
  <c r="F442" i="20"/>
  <c r="G442" i="20" s="1"/>
  <c r="D441" i="20"/>
  <c r="D442" i="20" l="1"/>
  <c r="A444" i="20"/>
  <c r="B443" i="20"/>
  <c r="C443" i="20"/>
  <c r="F443" i="20"/>
  <c r="G443" i="20" s="1"/>
  <c r="E443" i="20" l="1"/>
  <c r="D443" i="20"/>
  <c r="A445" i="20"/>
  <c r="C444" i="20"/>
  <c r="F444" i="20"/>
  <c r="G444" i="20" s="1"/>
  <c r="B444" i="20"/>
  <c r="E444" i="20" s="1"/>
  <c r="D444" i="20" l="1"/>
  <c r="A446" i="20"/>
  <c r="B445" i="20"/>
  <c r="C445" i="20"/>
  <c r="D445" i="20" s="1"/>
  <c r="F445" i="20"/>
  <c r="G445" i="20" s="1"/>
  <c r="E445" i="20" l="1"/>
  <c r="A447" i="20"/>
  <c r="C446" i="20"/>
  <c r="F446" i="20"/>
  <c r="G446" i="20" s="1"/>
  <c r="B446" i="20"/>
  <c r="E446" i="20" l="1"/>
  <c r="D446" i="20"/>
  <c r="A448" i="20"/>
  <c r="C447" i="20"/>
  <c r="B447" i="20"/>
  <c r="E447" i="20" s="1"/>
  <c r="F447" i="20"/>
  <c r="G447" i="20" s="1"/>
  <c r="D447" i="20" l="1"/>
  <c r="A449" i="20"/>
  <c r="C448" i="20"/>
  <c r="B448" i="20"/>
  <c r="E448" i="20" s="1"/>
  <c r="F448" i="20"/>
  <c r="G448" i="20" s="1"/>
  <c r="D448" i="20" l="1"/>
  <c r="A450" i="20"/>
  <c r="B449" i="20"/>
  <c r="C449" i="20"/>
  <c r="F449" i="20"/>
  <c r="G449" i="20" s="1"/>
  <c r="E449" i="20" l="1"/>
  <c r="D449" i="20"/>
  <c r="A451" i="20"/>
  <c r="C450" i="20"/>
  <c r="F450" i="20"/>
  <c r="G450" i="20" s="1"/>
  <c r="B450" i="20"/>
  <c r="E450" i="20" s="1"/>
  <c r="D450" i="20" l="1"/>
  <c r="A452" i="20"/>
  <c r="C451" i="20"/>
  <c r="B451" i="20"/>
  <c r="E451" i="20" s="1"/>
  <c r="F451" i="20"/>
  <c r="G451" i="20" s="1"/>
  <c r="D451" i="20" l="1"/>
  <c r="A453" i="20"/>
  <c r="C452" i="20"/>
  <c r="B452" i="20"/>
  <c r="E452" i="20" s="1"/>
  <c r="F452" i="20"/>
  <c r="G452" i="20" s="1"/>
  <c r="D452" i="20" l="1"/>
  <c r="A454" i="20"/>
  <c r="B453" i="20"/>
  <c r="C453" i="20"/>
  <c r="D453" i="20" s="1"/>
  <c r="F453" i="20"/>
  <c r="G453" i="20" s="1"/>
  <c r="E453" i="20" l="1"/>
  <c r="A455" i="20"/>
  <c r="C454" i="20"/>
  <c r="B454" i="20"/>
  <c r="E454" i="20" s="1"/>
  <c r="F454" i="20"/>
  <c r="G454" i="20" s="1"/>
  <c r="D454" i="20" l="1"/>
  <c r="A456" i="20"/>
  <c r="B455" i="20"/>
  <c r="C455" i="20"/>
  <c r="F455" i="20"/>
  <c r="G455" i="20" s="1"/>
  <c r="E455" i="20" l="1"/>
  <c r="D455" i="20"/>
  <c r="A457" i="20"/>
  <c r="F456" i="20"/>
  <c r="G456" i="20" s="1"/>
  <c r="B456" i="20"/>
  <c r="C456" i="20"/>
  <c r="D456" i="20" s="1"/>
  <c r="E456" i="20" l="1"/>
  <c r="A458" i="20"/>
  <c r="B457" i="20"/>
  <c r="C457" i="20"/>
  <c r="F457" i="20"/>
  <c r="G457" i="20" s="1"/>
  <c r="E457" i="20" l="1"/>
  <c r="D457" i="20"/>
  <c r="A459" i="20"/>
  <c r="F458" i="20"/>
  <c r="G458" i="20" s="1"/>
  <c r="B458" i="20"/>
  <c r="C458" i="20"/>
  <c r="D458" i="20" s="1"/>
  <c r="E458" i="20" l="1"/>
  <c r="A460" i="20"/>
  <c r="B459" i="20"/>
  <c r="C459" i="20"/>
  <c r="F459" i="20"/>
  <c r="G459" i="20" s="1"/>
  <c r="D459" i="20" l="1"/>
  <c r="E459" i="20"/>
  <c r="A461" i="20"/>
  <c r="F460" i="20"/>
  <c r="G460" i="20" s="1"/>
  <c r="B460" i="20"/>
  <c r="C460" i="20"/>
  <c r="D460" i="20" s="1"/>
  <c r="E460" i="20" l="1"/>
  <c r="A462" i="20"/>
  <c r="B461" i="20"/>
  <c r="C461" i="20"/>
  <c r="D461" i="20" s="1"/>
  <c r="F461" i="20"/>
  <c r="G461" i="20" s="1"/>
  <c r="E461" i="20" l="1"/>
  <c r="A463" i="20"/>
  <c r="B462" i="20"/>
  <c r="C462" i="20"/>
  <c r="D462" i="20" s="1"/>
  <c r="F462" i="20"/>
  <c r="G462" i="20" s="1"/>
  <c r="E462" i="20" l="1"/>
  <c r="A464" i="20"/>
  <c r="B463" i="20"/>
  <c r="C463" i="20"/>
  <c r="D463" i="20" s="1"/>
  <c r="F463" i="20"/>
  <c r="G463" i="20" s="1"/>
  <c r="E463" i="20" l="1"/>
  <c r="A465" i="20"/>
  <c r="F464" i="20"/>
  <c r="G464" i="20" s="1"/>
  <c r="B464" i="20"/>
  <c r="C464" i="20"/>
  <c r="D464" i="20" s="1"/>
  <c r="E464" i="20" l="1"/>
  <c r="A466" i="20"/>
  <c r="B465" i="20"/>
  <c r="C465" i="20"/>
  <c r="D465" i="20" s="1"/>
  <c r="F465" i="20"/>
  <c r="G465" i="20" s="1"/>
  <c r="E465" i="20" l="1"/>
  <c r="A467" i="20"/>
  <c r="F466" i="20"/>
  <c r="G466" i="20" s="1"/>
  <c r="B466" i="20"/>
  <c r="C466" i="20"/>
  <c r="D466" i="20" s="1"/>
  <c r="E466" i="20" l="1"/>
  <c r="A468" i="20"/>
  <c r="B467" i="20"/>
  <c r="C467" i="20"/>
  <c r="D467" i="20" s="1"/>
  <c r="F467" i="20"/>
  <c r="G467" i="20" s="1"/>
  <c r="E467" i="20" l="1"/>
  <c r="A469" i="20"/>
  <c r="B468" i="20"/>
  <c r="C468" i="20"/>
  <c r="D468" i="20" s="1"/>
  <c r="F468" i="20"/>
  <c r="G468" i="20" s="1"/>
  <c r="E468" i="20" l="1"/>
  <c r="A470" i="20"/>
  <c r="B469" i="20"/>
  <c r="C469" i="20"/>
  <c r="D469" i="20" s="1"/>
  <c r="F469" i="20"/>
  <c r="G469" i="20" s="1"/>
  <c r="E469" i="20" l="1"/>
  <c r="A471" i="20"/>
  <c r="B470" i="20"/>
  <c r="C470" i="20"/>
  <c r="F470" i="20"/>
  <c r="G470" i="20" s="1"/>
  <c r="E470" i="20" l="1"/>
  <c r="A472" i="20"/>
  <c r="B471" i="20"/>
  <c r="C471" i="20"/>
  <c r="F471" i="20"/>
  <c r="G471" i="20" s="1"/>
  <c r="D470" i="20"/>
  <c r="E471" i="20" l="1"/>
  <c r="A473" i="20"/>
  <c r="F472" i="20"/>
  <c r="G472" i="20" s="1"/>
  <c r="B472" i="20"/>
  <c r="C472" i="20"/>
  <c r="D472" i="20" s="1"/>
  <c r="D471" i="20"/>
  <c r="E472" i="20" l="1"/>
  <c r="A474" i="20"/>
  <c r="B473" i="20"/>
  <c r="C473" i="20"/>
  <c r="F473" i="20"/>
  <c r="G473" i="20" s="1"/>
  <c r="D473" i="20" l="1"/>
  <c r="E473" i="20"/>
  <c r="A475" i="20"/>
  <c r="F474" i="20"/>
  <c r="G474" i="20" s="1"/>
  <c r="B474" i="20"/>
  <c r="C474" i="20"/>
  <c r="D474" i="20" s="1"/>
  <c r="E474" i="20" l="1"/>
  <c r="A476" i="20"/>
  <c r="B475" i="20"/>
  <c r="C475" i="20"/>
  <c r="F475" i="20"/>
  <c r="G475" i="20" s="1"/>
  <c r="E475" i="20" l="1"/>
  <c r="A477" i="20"/>
  <c r="F476" i="20"/>
  <c r="G476" i="20" s="1"/>
  <c r="B476" i="20"/>
  <c r="C476" i="20"/>
  <c r="D476" i="20" s="1"/>
  <c r="D475" i="20"/>
  <c r="E476" i="20" l="1"/>
  <c r="A478" i="20"/>
  <c r="B477" i="20"/>
  <c r="E477" i="20" s="1"/>
  <c r="C477" i="20"/>
  <c r="F477" i="20"/>
  <c r="G477" i="20" s="1"/>
  <c r="D477" i="20" l="1"/>
  <c r="A479" i="20"/>
  <c r="F478" i="20"/>
  <c r="G478" i="20" s="1"/>
  <c r="B478" i="20"/>
  <c r="C478" i="20"/>
  <c r="D478" i="20" s="1"/>
  <c r="E478" i="20" l="1"/>
  <c r="A480" i="20"/>
  <c r="B479" i="20"/>
  <c r="E479" i="20" s="1"/>
  <c r="C479" i="20"/>
  <c r="F479" i="20"/>
  <c r="G479" i="20" s="1"/>
  <c r="D479" i="20" l="1"/>
  <c r="A481" i="20"/>
  <c r="F480" i="20"/>
  <c r="G480" i="20" s="1"/>
  <c r="B480" i="20"/>
  <c r="C480" i="20"/>
  <c r="D480" i="20" s="1"/>
  <c r="E480" i="20" l="1"/>
  <c r="A482" i="20"/>
  <c r="B481" i="20"/>
  <c r="F481" i="20"/>
  <c r="G481" i="20" s="1"/>
  <c r="C481" i="20"/>
  <c r="D481" i="20" s="1"/>
  <c r="E481" i="20" l="1"/>
  <c r="A483" i="20"/>
  <c r="F482" i="20"/>
  <c r="G482" i="20" s="1"/>
  <c r="B482" i="20"/>
  <c r="C482" i="20"/>
  <c r="D482" i="20" s="1"/>
  <c r="E482" i="20" l="1"/>
  <c r="A484" i="20"/>
  <c r="B483" i="20"/>
  <c r="F483" i="20"/>
  <c r="G483" i="20" s="1"/>
  <c r="C483" i="20"/>
  <c r="E483" i="20" l="1"/>
  <c r="A485" i="20"/>
  <c r="F484" i="20"/>
  <c r="G484" i="20" s="1"/>
  <c r="B484" i="20"/>
  <c r="C484" i="20"/>
  <c r="D484" i="20" s="1"/>
  <c r="D483" i="20"/>
  <c r="E484" i="20" l="1"/>
  <c r="A486" i="20"/>
  <c r="B485" i="20"/>
  <c r="C485" i="20"/>
  <c r="F485" i="20"/>
  <c r="G485" i="20" s="1"/>
  <c r="E485" i="20" l="1"/>
  <c r="D485" i="20"/>
  <c r="A487" i="20"/>
  <c r="F486" i="20"/>
  <c r="G486" i="20" s="1"/>
  <c r="B486" i="20"/>
  <c r="C486" i="20"/>
  <c r="D486" i="20" s="1"/>
  <c r="E486" i="20" l="1"/>
  <c r="A488" i="20"/>
  <c r="B487" i="20"/>
  <c r="C487" i="20"/>
  <c r="F487" i="20"/>
  <c r="G487" i="20" s="1"/>
  <c r="D487" i="20" l="1"/>
  <c r="E487" i="20"/>
  <c r="A489" i="20"/>
  <c r="F488" i="20"/>
  <c r="G488" i="20" s="1"/>
  <c r="B488" i="20"/>
  <c r="C488" i="20"/>
  <c r="D488" i="20" l="1"/>
  <c r="E488" i="20"/>
  <c r="A490" i="20"/>
  <c r="B489" i="20"/>
  <c r="F489" i="20"/>
  <c r="G489" i="20" s="1"/>
  <c r="C489" i="20"/>
  <c r="E489" i="20" l="1"/>
  <c r="D489" i="20"/>
  <c r="A491" i="20"/>
  <c r="F490" i="20"/>
  <c r="G490" i="20" s="1"/>
  <c r="B490" i="20"/>
  <c r="C490" i="20"/>
  <c r="D490" i="20" s="1"/>
  <c r="E490" i="20" l="1"/>
  <c r="A492" i="20"/>
  <c r="B491" i="20"/>
  <c r="C491" i="20"/>
  <c r="D491" i="20" s="1"/>
  <c r="F491" i="20"/>
  <c r="G491" i="20" s="1"/>
  <c r="E491" i="20" l="1"/>
  <c r="A493" i="20"/>
  <c r="C492" i="20"/>
  <c r="F492" i="20"/>
  <c r="G492" i="20" s="1"/>
  <c r="B492" i="20"/>
  <c r="E492" i="20" s="1"/>
  <c r="A494" i="20" l="1"/>
  <c r="B493" i="20"/>
  <c r="F493" i="20"/>
  <c r="G493" i="20" s="1"/>
  <c r="C493" i="20"/>
  <c r="D493" i="20" s="1"/>
  <c r="D492" i="20"/>
  <c r="E493" i="20" l="1"/>
  <c r="A495" i="20"/>
  <c r="B494" i="20"/>
  <c r="C494" i="20"/>
  <c r="D494" i="20" s="1"/>
  <c r="F494" i="20"/>
  <c r="G494" i="20" s="1"/>
  <c r="E494" i="20" l="1"/>
  <c r="A496" i="20"/>
  <c r="B495" i="20"/>
  <c r="C495" i="20"/>
  <c r="F495" i="20"/>
  <c r="G495" i="20" s="1"/>
  <c r="D495" i="20" l="1"/>
  <c r="E495" i="20"/>
  <c r="A497" i="20"/>
  <c r="C496" i="20"/>
  <c r="F496" i="20"/>
  <c r="G496" i="20" s="1"/>
  <c r="B496" i="20"/>
  <c r="E496" i="20" s="1"/>
  <c r="D496" i="20" l="1"/>
  <c r="A498" i="20"/>
  <c r="B497" i="20"/>
  <c r="C497" i="20"/>
  <c r="F497" i="20"/>
  <c r="G497" i="20" s="1"/>
  <c r="E497" i="20" l="1"/>
  <c r="D497" i="20"/>
  <c r="A499" i="20"/>
  <c r="B498" i="20"/>
  <c r="C498" i="20"/>
  <c r="D498" i="20" s="1"/>
  <c r="F498" i="20"/>
  <c r="G498" i="20" s="1"/>
  <c r="E498" i="20" l="1"/>
  <c r="A500" i="20"/>
  <c r="B499" i="20"/>
  <c r="C499" i="20"/>
  <c r="F499" i="20"/>
  <c r="G499" i="20" s="1"/>
  <c r="E499" i="20" l="1"/>
  <c r="A501" i="20"/>
  <c r="B500" i="20"/>
  <c r="C500" i="20"/>
  <c r="F500" i="20"/>
  <c r="G500" i="20" s="1"/>
  <c r="D499" i="20"/>
  <c r="E500" i="20" l="1"/>
  <c r="D500" i="20"/>
  <c r="A502" i="20"/>
  <c r="C501" i="20"/>
  <c r="B501" i="20"/>
  <c r="E501" i="20" s="1"/>
  <c r="F501" i="20"/>
  <c r="G501" i="20" s="1"/>
  <c r="D501" i="20" l="1"/>
  <c r="A503" i="20"/>
  <c r="B502" i="20"/>
  <c r="F502" i="20"/>
  <c r="G502" i="20" s="1"/>
  <c r="C502" i="20"/>
  <c r="D502" i="20" s="1"/>
  <c r="E502" i="20" l="1"/>
  <c r="A504" i="20"/>
  <c r="C503" i="20"/>
  <c r="B503" i="20"/>
  <c r="E503" i="20" s="1"/>
  <c r="F503" i="20"/>
  <c r="G503" i="20" s="1"/>
  <c r="D503" i="20" l="1"/>
  <c r="A505" i="20"/>
  <c r="B504" i="20"/>
  <c r="C504" i="20"/>
  <c r="F504" i="20"/>
  <c r="G504" i="20" s="1"/>
  <c r="D504" i="20" l="1"/>
  <c r="E504" i="20"/>
  <c r="A506" i="20"/>
  <c r="B505" i="20"/>
  <c r="E505" i="20" s="1"/>
  <c r="C505" i="20"/>
  <c r="D505" i="20" s="1"/>
  <c r="F505" i="20"/>
  <c r="G505" i="20" s="1"/>
  <c r="A507" i="20" l="1"/>
  <c r="B506" i="20"/>
  <c r="C506" i="20"/>
  <c r="D506" i="20" s="1"/>
  <c r="F506" i="20"/>
  <c r="G506" i="20" s="1"/>
  <c r="E506" i="20" l="1"/>
  <c r="A508" i="20"/>
  <c r="B507" i="20"/>
  <c r="F507" i="20"/>
  <c r="G507" i="20" s="1"/>
  <c r="C507" i="20"/>
  <c r="D507" i="20" s="1"/>
  <c r="E507" i="20" l="1"/>
  <c r="A509" i="20"/>
  <c r="B508" i="20"/>
  <c r="C508" i="20"/>
  <c r="F508" i="20"/>
  <c r="G508" i="20" s="1"/>
  <c r="D508" i="20" l="1"/>
  <c r="E508" i="20"/>
  <c r="A510" i="20"/>
  <c r="B509" i="20"/>
  <c r="C509" i="20"/>
  <c r="F509" i="20"/>
  <c r="G509" i="20" s="1"/>
  <c r="E509" i="20" l="1"/>
  <c r="A511" i="20"/>
  <c r="B510" i="20"/>
  <c r="F510" i="20"/>
  <c r="G510" i="20" s="1"/>
  <c r="C510" i="20"/>
  <c r="D510" i="20" s="1"/>
  <c r="D509" i="20"/>
  <c r="E510" i="20" l="1"/>
  <c r="A512" i="20"/>
  <c r="C511" i="20"/>
  <c r="B511" i="20"/>
  <c r="E511" i="20" s="1"/>
  <c r="F511" i="20"/>
  <c r="G511" i="20" s="1"/>
  <c r="D511" i="20" l="1"/>
  <c r="A513" i="20"/>
  <c r="B512" i="20"/>
  <c r="C512" i="20"/>
  <c r="D512" i="20" s="1"/>
  <c r="F512" i="20"/>
  <c r="G512" i="20" s="1"/>
  <c r="E512" i="20" l="1"/>
  <c r="A514" i="20"/>
  <c r="C513" i="20"/>
  <c r="F513" i="20"/>
  <c r="G513" i="20" s="1"/>
  <c r="B513" i="20"/>
  <c r="E513" i="20" s="1"/>
  <c r="D513" i="20" l="1"/>
  <c r="A515" i="20"/>
  <c r="B514" i="20"/>
  <c r="E514" i="20" s="1"/>
  <c r="C514" i="20"/>
  <c r="F514" i="20"/>
  <c r="G514" i="20" s="1"/>
  <c r="D514" i="20" l="1"/>
  <c r="A516" i="20"/>
  <c r="C515" i="20"/>
  <c r="F515" i="20"/>
  <c r="G515" i="20" s="1"/>
  <c r="B515" i="20"/>
  <c r="E515" i="20" s="1"/>
  <c r="D515" i="20" l="1"/>
  <c r="A517" i="20"/>
  <c r="B516" i="20"/>
  <c r="C516" i="20"/>
  <c r="D516" i="20" s="1"/>
  <c r="F516" i="20"/>
  <c r="G516" i="20" s="1"/>
  <c r="E516" i="20" l="1"/>
  <c r="A518" i="20"/>
  <c r="C517" i="20"/>
  <c r="F517" i="20"/>
  <c r="G517" i="20" s="1"/>
  <c r="B517" i="20"/>
  <c r="E517" i="20" s="1"/>
  <c r="D517" i="20" l="1"/>
  <c r="A519" i="20"/>
  <c r="B518" i="20"/>
  <c r="C518" i="20"/>
  <c r="D518" i="20" s="1"/>
  <c r="F518" i="20"/>
  <c r="G518" i="20" s="1"/>
  <c r="E518" i="20" l="1"/>
  <c r="A520" i="20"/>
  <c r="C519" i="20"/>
  <c r="B519" i="20"/>
  <c r="E519" i="20" s="1"/>
  <c r="F519" i="20"/>
  <c r="G519" i="20" s="1"/>
  <c r="D519" i="20" l="1"/>
  <c r="A521" i="20"/>
  <c r="B520" i="20"/>
  <c r="C520" i="20"/>
  <c r="D520" i="20" s="1"/>
  <c r="F520" i="20"/>
  <c r="G520" i="20" s="1"/>
  <c r="E520" i="20" l="1"/>
  <c r="A522" i="20"/>
  <c r="B521" i="20"/>
  <c r="C521" i="20"/>
  <c r="D521" i="20" s="1"/>
  <c r="F521" i="20"/>
  <c r="G521" i="20" s="1"/>
  <c r="E521" i="20" l="1"/>
  <c r="A523" i="20"/>
  <c r="C522" i="20"/>
  <c r="F522" i="20"/>
  <c r="G522" i="20" s="1"/>
  <c r="B522" i="20"/>
  <c r="E522" i="20" s="1"/>
  <c r="D522" i="20" l="1"/>
  <c r="A524" i="20"/>
  <c r="B523" i="20"/>
  <c r="C523" i="20"/>
  <c r="D523" i="20" s="1"/>
  <c r="F523" i="20"/>
  <c r="G523" i="20" s="1"/>
  <c r="E523" i="20" l="1"/>
  <c r="A525" i="20"/>
  <c r="F524" i="20"/>
  <c r="G524" i="20" s="1"/>
  <c r="B524" i="20"/>
  <c r="C524" i="20"/>
  <c r="D524" i="20" s="1"/>
  <c r="E524" i="20" l="1"/>
  <c r="A526" i="20"/>
  <c r="C525" i="20"/>
  <c r="B525" i="20"/>
  <c r="F525" i="20"/>
  <c r="G525" i="20" s="1"/>
  <c r="E525" i="20" l="1"/>
  <c r="D525" i="20"/>
  <c r="A527" i="20"/>
  <c r="B526" i="20"/>
  <c r="C526" i="20"/>
  <c r="D526" i="20" s="1"/>
  <c r="F526" i="20"/>
  <c r="G526" i="20" s="1"/>
  <c r="E526" i="20" l="1"/>
  <c r="A528" i="20"/>
  <c r="C527" i="20"/>
  <c r="B527" i="20"/>
  <c r="E527" i="20" s="1"/>
  <c r="F527" i="20"/>
  <c r="G527" i="20" s="1"/>
  <c r="D527" i="20" l="1"/>
  <c r="A529" i="20"/>
  <c r="B528" i="20"/>
  <c r="C528" i="20"/>
  <c r="D528" i="20" s="1"/>
  <c r="F528" i="20"/>
  <c r="G528" i="20" s="1"/>
  <c r="E528" i="20" l="1"/>
  <c r="A530" i="20"/>
  <c r="B529" i="20"/>
  <c r="C529" i="20"/>
  <c r="D529" i="20" s="1"/>
  <c r="F529" i="20"/>
  <c r="G529" i="20" s="1"/>
  <c r="E529" i="20" l="1"/>
  <c r="A531" i="20"/>
  <c r="B530" i="20"/>
  <c r="C530" i="20"/>
  <c r="D530" i="20" s="1"/>
  <c r="F530" i="20"/>
  <c r="G530" i="20" s="1"/>
  <c r="E530" i="20" l="1"/>
  <c r="A532" i="20"/>
  <c r="B531" i="20"/>
  <c r="F531" i="20"/>
  <c r="G531" i="20" s="1"/>
  <c r="C531" i="20"/>
  <c r="D531" i="20" s="1"/>
  <c r="E531" i="20" l="1"/>
  <c r="A533" i="20"/>
  <c r="B532" i="20"/>
  <c r="C532" i="20"/>
  <c r="D532" i="20" s="1"/>
  <c r="F532" i="20"/>
  <c r="G532" i="20" s="1"/>
  <c r="E532" i="20" l="1"/>
  <c r="A534" i="20"/>
  <c r="B533" i="20"/>
  <c r="F533" i="20"/>
  <c r="G533" i="20" s="1"/>
  <c r="C533" i="20"/>
  <c r="D533" i="20" s="1"/>
  <c r="E533" i="20" l="1"/>
  <c r="A535" i="20"/>
  <c r="B534" i="20"/>
  <c r="C534" i="20"/>
  <c r="D534" i="20" s="1"/>
  <c r="F534" i="20"/>
  <c r="G534" i="20" s="1"/>
  <c r="E534" i="20" l="1"/>
  <c r="A536" i="20"/>
  <c r="F535" i="20"/>
  <c r="G535" i="20" s="1"/>
  <c r="B535" i="20"/>
  <c r="C535" i="20"/>
  <c r="D535" i="20" s="1"/>
  <c r="E535" i="20" l="1"/>
  <c r="A537" i="20"/>
  <c r="B536" i="20"/>
  <c r="E536" i="20" s="1"/>
  <c r="C536" i="20"/>
  <c r="D536" i="20" s="1"/>
  <c r="F536" i="20"/>
  <c r="G536" i="20" s="1"/>
  <c r="A538" i="20" l="1"/>
  <c r="F537" i="20"/>
  <c r="G537" i="20" s="1"/>
  <c r="B537" i="20"/>
  <c r="C537" i="20"/>
  <c r="E537" i="20" l="1"/>
  <c r="A539" i="20"/>
  <c r="B538" i="20"/>
  <c r="C538" i="20"/>
  <c r="D538" i="20" s="1"/>
  <c r="F538" i="20"/>
  <c r="G538" i="20" s="1"/>
  <c r="D537" i="20"/>
  <c r="E538" i="20" l="1"/>
  <c r="A540" i="20"/>
  <c r="F539" i="20"/>
  <c r="G539" i="20" s="1"/>
  <c r="B539" i="20"/>
  <c r="E539" i="20" s="1"/>
  <c r="C539" i="20"/>
  <c r="D539" i="20" s="1"/>
  <c r="A541" i="20" l="1"/>
  <c r="B540" i="20"/>
  <c r="C540" i="20"/>
  <c r="D540" i="20" s="1"/>
  <c r="F540" i="20"/>
  <c r="G540" i="20" s="1"/>
  <c r="E540" i="20" l="1"/>
  <c r="A542" i="20"/>
  <c r="F541" i="20"/>
  <c r="G541" i="20" s="1"/>
  <c r="B541" i="20"/>
  <c r="C541" i="20"/>
  <c r="D541" i="20" s="1"/>
  <c r="E541" i="20" l="1"/>
  <c r="A543" i="20"/>
  <c r="B542" i="20"/>
  <c r="C542" i="20"/>
  <c r="F542" i="20"/>
  <c r="G542" i="20" s="1"/>
  <c r="D542" i="20" l="1"/>
  <c r="E542" i="20"/>
  <c r="A544" i="20"/>
  <c r="F543" i="20"/>
  <c r="G543" i="20" s="1"/>
  <c r="B543" i="20"/>
  <c r="C543" i="20"/>
  <c r="E543" i="20" l="1"/>
  <c r="D543" i="20"/>
  <c r="A545" i="20"/>
  <c r="B544" i="20"/>
  <c r="C544" i="20"/>
  <c r="F544" i="20"/>
  <c r="G544" i="20" s="1"/>
  <c r="E544" i="20" l="1"/>
  <c r="D544" i="20"/>
  <c r="A546" i="20"/>
  <c r="F545" i="20"/>
  <c r="G545" i="20" s="1"/>
  <c r="B545" i="20"/>
  <c r="C545" i="20"/>
  <c r="D545" i="20" s="1"/>
  <c r="E545" i="20" l="1"/>
  <c r="A547" i="20"/>
  <c r="B546" i="20"/>
  <c r="C546" i="20"/>
  <c r="D546" i="20" s="1"/>
  <c r="F546" i="20"/>
  <c r="G546" i="20" s="1"/>
  <c r="E546" i="20" l="1"/>
  <c r="A548" i="20"/>
  <c r="F547" i="20"/>
  <c r="G547" i="20" s="1"/>
  <c r="B547" i="20"/>
  <c r="C547" i="20"/>
  <c r="D547" i="20" s="1"/>
  <c r="E547" i="20" l="1"/>
  <c r="A549" i="20"/>
  <c r="B548" i="20"/>
  <c r="C548" i="20"/>
  <c r="D548" i="20" s="1"/>
  <c r="F548" i="20"/>
  <c r="G548" i="20" s="1"/>
  <c r="E548" i="20" l="1"/>
  <c r="A550" i="20"/>
  <c r="F549" i="20"/>
  <c r="G549" i="20" s="1"/>
  <c r="B549" i="20"/>
  <c r="C549" i="20"/>
  <c r="D549" i="20" s="1"/>
  <c r="E549" i="20" l="1"/>
  <c r="A551" i="20"/>
  <c r="B550" i="20"/>
  <c r="C550" i="20"/>
  <c r="F550" i="20"/>
  <c r="G550" i="20" s="1"/>
  <c r="E550" i="20" l="1"/>
  <c r="D550" i="20"/>
  <c r="A552" i="20"/>
  <c r="F551" i="20"/>
  <c r="G551" i="20" s="1"/>
  <c r="B551" i="20"/>
  <c r="C551" i="20"/>
  <c r="D551" i="20" s="1"/>
  <c r="E551" i="20" l="1"/>
  <c r="A553" i="20"/>
  <c r="B552" i="20"/>
  <c r="C552" i="20"/>
  <c r="F552" i="20"/>
  <c r="G552" i="20" s="1"/>
  <c r="E552" i="20" l="1"/>
  <c r="A554" i="20"/>
  <c r="F553" i="20"/>
  <c r="G553" i="20" s="1"/>
  <c r="B553" i="20"/>
  <c r="C553" i="20"/>
  <c r="D553" i="20" s="1"/>
  <c r="D552" i="20"/>
  <c r="E553" i="20" l="1"/>
  <c r="A555" i="20"/>
  <c r="B554" i="20"/>
  <c r="C554" i="20"/>
  <c r="D554" i="20" s="1"/>
  <c r="F554" i="20"/>
  <c r="G554" i="20" s="1"/>
  <c r="E554" i="20" l="1"/>
  <c r="A556" i="20"/>
  <c r="F555" i="20"/>
  <c r="G555" i="20" s="1"/>
  <c r="B555" i="20"/>
  <c r="C555" i="20"/>
  <c r="E555" i="20" l="1"/>
  <c r="A557" i="20"/>
  <c r="B556" i="20"/>
  <c r="C556" i="20"/>
  <c r="F556" i="20"/>
  <c r="G556" i="20" s="1"/>
  <c r="D555" i="20"/>
  <c r="E556" i="20" l="1"/>
  <c r="A558" i="20"/>
  <c r="F557" i="20"/>
  <c r="G557" i="20" s="1"/>
  <c r="B557" i="20"/>
  <c r="C557" i="20"/>
  <c r="D557" i="20" s="1"/>
  <c r="D556" i="20"/>
  <c r="E557" i="20" l="1"/>
  <c r="A559" i="20"/>
  <c r="B558" i="20"/>
  <c r="C558" i="20"/>
  <c r="D558" i="20" s="1"/>
  <c r="F558" i="20"/>
  <c r="G558" i="20" s="1"/>
  <c r="E558" i="20" l="1"/>
  <c r="A560" i="20"/>
  <c r="F559" i="20"/>
  <c r="G559" i="20" s="1"/>
  <c r="B559" i="20"/>
  <c r="C559" i="20"/>
  <c r="E559" i="20" l="1"/>
  <c r="D559" i="20"/>
  <c r="A561" i="20"/>
  <c r="B560" i="20"/>
  <c r="C560" i="20"/>
  <c r="F560" i="20"/>
  <c r="G560" i="20" s="1"/>
  <c r="E560" i="20" l="1"/>
  <c r="D560" i="20"/>
  <c r="A562" i="20"/>
  <c r="B561" i="20"/>
  <c r="C561" i="20"/>
  <c r="F561" i="20"/>
  <c r="G561" i="20" s="1"/>
  <c r="E561" i="20" l="1"/>
  <c r="D561" i="20"/>
  <c r="A563" i="20"/>
  <c r="B562" i="20"/>
  <c r="C562" i="20"/>
  <c r="F562" i="20"/>
  <c r="G562" i="20" s="1"/>
  <c r="E562" i="20" l="1"/>
  <c r="D562" i="20"/>
  <c r="A564" i="20"/>
  <c r="B563" i="20"/>
  <c r="C563" i="20"/>
  <c r="F563" i="20"/>
  <c r="G563" i="20" s="1"/>
  <c r="E563" i="20" l="1"/>
  <c r="A565" i="20"/>
  <c r="B564" i="20"/>
  <c r="C564" i="20"/>
  <c r="D564" i="20" s="1"/>
  <c r="F564" i="20"/>
  <c r="G564" i="20" s="1"/>
  <c r="D563" i="20"/>
  <c r="E564" i="20" l="1"/>
  <c r="A566" i="20"/>
  <c r="B565" i="20"/>
  <c r="C565" i="20"/>
  <c r="F565" i="20"/>
  <c r="G565" i="20" s="1"/>
  <c r="E565" i="20" l="1"/>
  <c r="A567" i="20"/>
  <c r="C566" i="20"/>
  <c r="F566" i="20"/>
  <c r="G566" i="20" s="1"/>
  <c r="B566" i="20"/>
  <c r="D565" i="20"/>
  <c r="E566" i="20" l="1"/>
  <c r="D566" i="20"/>
  <c r="A568" i="20"/>
  <c r="B567" i="20"/>
  <c r="C567" i="20"/>
  <c r="F567" i="20"/>
  <c r="G567" i="20" s="1"/>
  <c r="E567" i="20" l="1"/>
  <c r="D567" i="20"/>
  <c r="A569" i="20"/>
  <c r="F568" i="20"/>
  <c r="G568" i="20" s="1"/>
  <c r="B568" i="20"/>
  <c r="C568" i="20"/>
  <c r="D568" i="20" s="1"/>
  <c r="E568" i="20" l="1"/>
  <c r="A570" i="20"/>
  <c r="B569" i="20"/>
  <c r="E569" i="20" s="1"/>
  <c r="C569" i="20"/>
  <c r="F569" i="20"/>
  <c r="G569" i="20" s="1"/>
  <c r="D569" i="20" l="1"/>
  <c r="A571" i="20"/>
  <c r="B570" i="20"/>
  <c r="C570" i="20"/>
  <c r="F570" i="20"/>
  <c r="G570" i="20" s="1"/>
  <c r="E570" i="20" l="1"/>
  <c r="A572" i="20"/>
  <c r="B571" i="20"/>
  <c r="C571" i="20"/>
  <c r="D571" i="20" s="1"/>
  <c r="F571" i="20"/>
  <c r="G571" i="20" s="1"/>
  <c r="D570" i="20"/>
  <c r="E571" i="20" l="1"/>
  <c r="A573" i="20"/>
  <c r="B572" i="20"/>
  <c r="C572" i="20"/>
  <c r="D572" i="20" s="1"/>
  <c r="F572" i="20"/>
  <c r="G572" i="20" s="1"/>
  <c r="E572" i="20" l="1"/>
  <c r="A574" i="20"/>
  <c r="B573" i="20"/>
  <c r="C573" i="20"/>
  <c r="F573" i="20"/>
  <c r="G573" i="20" s="1"/>
  <c r="E573" i="20" l="1"/>
  <c r="D573" i="20"/>
  <c r="A575" i="20"/>
  <c r="B574" i="20"/>
  <c r="C574" i="20"/>
  <c r="F574" i="20"/>
  <c r="G574" i="20" s="1"/>
  <c r="E574" i="20" l="1"/>
  <c r="D574" i="20"/>
  <c r="A576" i="20"/>
  <c r="B575" i="20"/>
  <c r="C575" i="20"/>
  <c r="F575" i="20"/>
  <c r="G575" i="20" s="1"/>
  <c r="E575" i="20" l="1"/>
  <c r="D575" i="20"/>
  <c r="A577" i="20"/>
  <c r="B576" i="20"/>
  <c r="C576" i="20"/>
  <c r="D576" i="20" s="1"/>
  <c r="F576" i="20"/>
  <c r="G576" i="20" s="1"/>
  <c r="E576" i="20" l="1"/>
  <c r="A578" i="20"/>
  <c r="F577" i="20"/>
  <c r="G577" i="20" s="1"/>
  <c r="B577" i="20"/>
  <c r="C577" i="20"/>
  <c r="E577" i="20" l="1"/>
  <c r="D577" i="20"/>
  <c r="A579" i="20"/>
  <c r="B578" i="20"/>
  <c r="E578" i="20" s="1"/>
  <c r="C578" i="20"/>
  <c r="F578" i="20"/>
  <c r="G578" i="20" s="1"/>
  <c r="D578" i="20" l="1"/>
  <c r="A580" i="20"/>
  <c r="F579" i="20"/>
  <c r="G579" i="20" s="1"/>
  <c r="B579" i="20"/>
  <c r="C579" i="20"/>
  <c r="E579" i="20" l="1"/>
  <c r="D579" i="20"/>
  <c r="A581" i="20"/>
  <c r="B580" i="20"/>
  <c r="C580" i="20"/>
  <c r="F580" i="20"/>
  <c r="G580" i="20" s="1"/>
  <c r="E580" i="20" l="1"/>
  <c r="D580" i="20"/>
  <c r="A582" i="20"/>
  <c r="F581" i="20"/>
  <c r="G581" i="20" s="1"/>
  <c r="B581" i="20"/>
  <c r="C581" i="20"/>
  <c r="D581" i="20" s="1"/>
  <c r="E581" i="20" l="1"/>
  <c r="A583" i="20"/>
  <c r="B582" i="20"/>
  <c r="C582" i="20"/>
  <c r="D582" i="20" s="1"/>
  <c r="F582" i="20"/>
  <c r="G582" i="20" s="1"/>
  <c r="E582" i="20" l="1"/>
  <c r="A584" i="20"/>
  <c r="B583" i="20"/>
  <c r="C583" i="20"/>
  <c r="F583" i="20"/>
  <c r="G583" i="20" s="1"/>
  <c r="E583" i="20" l="1"/>
  <c r="D583" i="20"/>
  <c r="A585" i="20"/>
  <c r="B584" i="20"/>
  <c r="C584" i="20"/>
  <c r="F584" i="20"/>
  <c r="G584" i="20" s="1"/>
  <c r="E584" i="20" l="1"/>
  <c r="D584" i="20"/>
  <c r="A586" i="20"/>
  <c r="B585" i="20"/>
  <c r="C585" i="20"/>
  <c r="F585" i="20"/>
  <c r="G585" i="20" s="1"/>
  <c r="E585" i="20" l="1"/>
  <c r="D585" i="20"/>
  <c r="A587" i="20"/>
  <c r="C586" i="20"/>
  <c r="F586" i="20"/>
  <c r="G586" i="20" s="1"/>
  <c r="B586" i="20"/>
  <c r="E586" i="20" s="1"/>
  <c r="D586" i="20" l="1"/>
  <c r="A588" i="20"/>
  <c r="B587" i="20"/>
  <c r="C587" i="20"/>
  <c r="D587" i="20" s="1"/>
  <c r="F587" i="20"/>
  <c r="G587" i="20" s="1"/>
  <c r="E587" i="20" l="1"/>
  <c r="A589" i="20"/>
  <c r="C588" i="20"/>
  <c r="F588" i="20"/>
  <c r="G588" i="20" s="1"/>
  <c r="B588" i="20"/>
  <c r="E588" i="20" s="1"/>
  <c r="D588" i="20" l="1"/>
  <c r="A590" i="20"/>
  <c r="B589" i="20"/>
  <c r="C589" i="20"/>
  <c r="D589" i="20" s="1"/>
  <c r="F589" i="20"/>
  <c r="G589" i="20" s="1"/>
  <c r="E589" i="20" l="1"/>
  <c r="A591" i="20"/>
  <c r="F590" i="20"/>
  <c r="G590" i="20" s="1"/>
  <c r="B590" i="20"/>
  <c r="C590" i="20"/>
  <c r="D590" i="20" s="1"/>
  <c r="E590" i="20" l="1"/>
  <c r="A592" i="20"/>
  <c r="B591" i="20"/>
  <c r="C591" i="20"/>
  <c r="F591" i="20"/>
  <c r="G591" i="20" s="1"/>
  <c r="E591" i="20" l="1"/>
  <c r="D591" i="20"/>
  <c r="A593" i="20"/>
  <c r="B592" i="20"/>
  <c r="C592" i="20"/>
  <c r="F592" i="20"/>
  <c r="G592" i="20" s="1"/>
  <c r="E592" i="20" l="1"/>
  <c r="D592" i="20"/>
  <c r="A594" i="20"/>
  <c r="B593" i="20"/>
  <c r="C593" i="20"/>
  <c r="F593" i="20"/>
  <c r="G593" i="20" s="1"/>
  <c r="E593" i="20" l="1"/>
  <c r="A595" i="20"/>
  <c r="B594" i="20"/>
  <c r="C594" i="20"/>
  <c r="D594" i="20" s="1"/>
  <c r="F594" i="20"/>
  <c r="G594" i="20" s="1"/>
  <c r="D593" i="20"/>
  <c r="E594" i="20" l="1"/>
  <c r="A596" i="20"/>
  <c r="B595" i="20"/>
  <c r="C595" i="20"/>
  <c r="D595" i="20" s="1"/>
  <c r="F595" i="20"/>
  <c r="G595" i="20" s="1"/>
  <c r="E595" i="20" l="1"/>
  <c r="A597" i="20"/>
  <c r="B596" i="20"/>
  <c r="E596" i="20" s="1"/>
  <c r="C596" i="20"/>
  <c r="F596" i="20"/>
  <c r="G596" i="20" s="1"/>
  <c r="D596" i="20" l="1"/>
  <c r="A598" i="20"/>
  <c r="B597" i="20"/>
  <c r="C597" i="20"/>
  <c r="F597" i="20"/>
  <c r="G597" i="20" s="1"/>
  <c r="E597" i="20" l="1"/>
  <c r="D597" i="20"/>
  <c r="A599" i="20"/>
  <c r="B598" i="20"/>
  <c r="C598" i="20"/>
  <c r="D598" i="20" s="1"/>
  <c r="F598" i="20"/>
  <c r="G598" i="20" s="1"/>
  <c r="E598" i="20" l="1"/>
  <c r="A600" i="20"/>
  <c r="B599" i="20"/>
  <c r="C599" i="20"/>
  <c r="F599" i="20"/>
  <c r="G599" i="20" s="1"/>
  <c r="E599" i="20" l="1"/>
  <c r="D599" i="20"/>
  <c r="A601" i="20"/>
  <c r="B600" i="20"/>
  <c r="C600" i="20"/>
  <c r="D600" i="20" s="1"/>
  <c r="F600" i="20"/>
  <c r="G600" i="20" s="1"/>
  <c r="E600" i="20" l="1"/>
  <c r="A602" i="20"/>
  <c r="F601" i="20"/>
  <c r="G601" i="20" s="1"/>
  <c r="B601" i="20"/>
  <c r="C601" i="20"/>
  <c r="D601" i="20" s="1"/>
  <c r="E601" i="20" l="1"/>
  <c r="A603" i="20"/>
  <c r="B602" i="20"/>
  <c r="C602" i="20"/>
  <c r="D602" i="20" s="1"/>
  <c r="F602" i="20"/>
  <c r="G602" i="20" s="1"/>
  <c r="E602" i="20" l="1"/>
  <c r="A604" i="20"/>
  <c r="F603" i="20"/>
  <c r="G603" i="20" s="1"/>
  <c r="B603" i="20"/>
  <c r="C603" i="20"/>
  <c r="D603" i="20" s="1"/>
  <c r="E603" i="20" l="1"/>
  <c r="A605" i="20"/>
  <c r="B604" i="20"/>
  <c r="C604" i="20"/>
  <c r="D604" i="20" s="1"/>
  <c r="F604" i="20"/>
  <c r="G604" i="20" s="1"/>
  <c r="E604" i="20" l="1"/>
  <c r="A606" i="20"/>
  <c r="F605" i="20"/>
  <c r="G605" i="20" s="1"/>
  <c r="B605" i="20"/>
  <c r="C605" i="20"/>
  <c r="D605" i="20" s="1"/>
  <c r="E605" i="20" l="1"/>
  <c r="A607" i="20"/>
  <c r="B606" i="20"/>
  <c r="C606" i="20"/>
  <c r="D606" i="20" s="1"/>
  <c r="F606" i="20"/>
  <c r="G606" i="20" s="1"/>
  <c r="E606" i="20" l="1"/>
  <c r="A608" i="20"/>
  <c r="F607" i="20"/>
  <c r="G607" i="20" s="1"/>
  <c r="B607" i="20"/>
  <c r="C607" i="20"/>
  <c r="E607" i="20" l="1"/>
  <c r="A609" i="20"/>
  <c r="B608" i="20"/>
  <c r="C608" i="20"/>
  <c r="F608" i="20"/>
  <c r="G608" i="20" s="1"/>
  <c r="D607" i="20"/>
  <c r="E608" i="20" l="1"/>
  <c r="D608" i="20"/>
  <c r="A610" i="20"/>
  <c r="F609" i="20"/>
  <c r="G609" i="20" s="1"/>
  <c r="B609" i="20"/>
  <c r="C609" i="20"/>
  <c r="D609" i="20" s="1"/>
  <c r="E609" i="20" l="1"/>
  <c r="A611" i="20"/>
  <c r="B610" i="20"/>
  <c r="C610" i="20"/>
  <c r="D610" i="20" s="1"/>
  <c r="F610" i="20"/>
  <c r="G610" i="20" s="1"/>
  <c r="E610" i="20" l="1"/>
  <c r="A612" i="20"/>
  <c r="F611" i="20"/>
  <c r="G611" i="20" s="1"/>
  <c r="B611" i="20"/>
  <c r="C611" i="20"/>
  <c r="D611" i="20" s="1"/>
  <c r="E611" i="20" l="1"/>
  <c r="A613" i="20"/>
  <c r="B612" i="20"/>
  <c r="C612" i="20"/>
  <c r="D612" i="20" s="1"/>
  <c r="F612" i="20"/>
  <c r="G612" i="20" s="1"/>
  <c r="E612" i="20" l="1"/>
  <c r="A614" i="20"/>
  <c r="B613" i="20"/>
  <c r="C613" i="20"/>
  <c r="D613" i="20" s="1"/>
  <c r="F613" i="20"/>
  <c r="G613" i="20" s="1"/>
  <c r="E613" i="20" l="1"/>
  <c r="A615" i="20"/>
  <c r="B614" i="20"/>
  <c r="C614" i="20"/>
  <c r="D614" i="20" s="1"/>
  <c r="F614" i="20"/>
  <c r="G614" i="20" s="1"/>
  <c r="E614" i="20" l="1"/>
  <c r="A616" i="20"/>
  <c r="B615" i="20"/>
  <c r="C615" i="20"/>
  <c r="F615" i="20"/>
  <c r="G615" i="20" s="1"/>
  <c r="E615" i="20" l="1"/>
  <c r="D615" i="20"/>
  <c r="A617" i="20"/>
  <c r="C616" i="20"/>
  <c r="F616" i="20"/>
  <c r="G616" i="20" s="1"/>
  <c r="B616" i="20"/>
  <c r="E616" i="20" s="1"/>
  <c r="D616" i="20" l="1"/>
  <c r="A618" i="20"/>
  <c r="B617" i="20"/>
  <c r="C617" i="20"/>
  <c r="D617" i="20" s="1"/>
  <c r="F617" i="20"/>
  <c r="G617" i="20" s="1"/>
  <c r="E617" i="20" l="1"/>
  <c r="A619" i="20"/>
  <c r="C618" i="20"/>
  <c r="F618" i="20"/>
  <c r="G618" i="20" s="1"/>
  <c r="B618" i="20"/>
  <c r="E618" i="20" s="1"/>
  <c r="D618" i="20" l="1"/>
  <c r="A620" i="20"/>
  <c r="B619" i="20"/>
  <c r="C619" i="20"/>
  <c r="D619" i="20" s="1"/>
  <c r="F619" i="20"/>
  <c r="G619" i="20" s="1"/>
  <c r="E619" i="20" l="1"/>
  <c r="A621" i="20"/>
  <c r="C620" i="20"/>
  <c r="F620" i="20"/>
  <c r="G620" i="20" s="1"/>
  <c r="B620" i="20"/>
  <c r="E620" i="20" s="1"/>
  <c r="D620" i="20" l="1"/>
  <c r="A622" i="20"/>
  <c r="B621" i="20"/>
  <c r="C621" i="20"/>
  <c r="F621" i="20"/>
  <c r="G621" i="20" s="1"/>
  <c r="E621" i="20" l="1"/>
  <c r="D621" i="20"/>
  <c r="A623" i="20"/>
  <c r="F622" i="20"/>
  <c r="G622" i="20" s="1"/>
  <c r="B622" i="20"/>
  <c r="C622" i="20"/>
  <c r="E622" i="20" l="1"/>
  <c r="A624" i="20"/>
  <c r="B623" i="20"/>
  <c r="C623" i="20"/>
  <c r="F623" i="20"/>
  <c r="G623" i="20" s="1"/>
  <c r="D622" i="20"/>
  <c r="E623" i="20" l="1"/>
  <c r="D623" i="20"/>
  <c r="A625" i="20"/>
  <c r="B624" i="20"/>
  <c r="C624" i="20"/>
  <c r="D624" i="20" s="1"/>
  <c r="F624" i="20"/>
  <c r="G624" i="20" s="1"/>
  <c r="E624" i="20" l="1"/>
  <c r="A626" i="20"/>
  <c r="B625" i="20"/>
  <c r="C625" i="20"/>
  <c r="D625" i="20" s="1"/>
  <c r="F625" i="20"/>
  <c r="G625" i="20" s="1"/>
  <c r="E625" i="20" l="1"/>
  <c r="A627" i="20"/>
  <c r="B626" i="20"/>
  <c r="C626" i="20"/>
  <c r="D626" i="20" s="1"/>
  <c r="F626" i="20"/>
  <c r="G626" i="20" s="1"/>
  <c r="E626" i="20" l="1"/>
  <c r="A628" i="20"/>
  <c r="B627" i="20"/>
  <c r="F627" i="20"/>
  <c r="G627" i="20" s="1"/>
  <c r="C627" i="20"/>
  <c r="D627" i="20" s="1"/>
  <c r="E627" i="20" l="1"/>
  <c r="A629" i="20"/>
  <c r="B628" i="20"/>
  <c r="C628" i="20"/>
  <c r="F628" i="20"/>
  <c r="G628" i="20" s="1"/>
  <c r="E628" i="20" l="1"/>
  <c r="D628" i="20"/>
  <c r="A630" i="20"/>
  <c r="B629" i="20"/>
  <c r="C629" i="20"/>
  <c r="F629" i="20"/>
  <c r="G629" i="20" s="1"/>
  <c r="D629" i="20" l="1"/>
  <c r="E629" i="20"/>
  <c r="A631" i="20"/>
  <c r="C630" i="20"/>
  <c r="B630" i="20"/>
  <c r="F630" i="20"/>
  <c r="G630" i="20" s="1"/>
  <c r="E630" i="20" l="1"/>
  <c r="D630" i="20"/>
  <c r="A632" i="20"/>
  <c r="F631" i="20"/>
  <c r="G631" i="20" s="1"/>
  <c r="B631" i="20"/>
  <c r="C631" i="20"/>
  <c r="E631" i="20" l="1"/>
  <c r="D631" i="20"/>
  <c r="A633" i="20"/>
  <c r="F632" i="20"/>
  <c r="G632" i="20" s="1"/>
  <c r="B632" i="20"/>
  <c r="C632" i="20"/>
  <c r="D632" i="20" s="1"/>
  <c r="E632" i="20" l="1"/>
  <c r="A634" i="20"/>
  <c r="F633" i="20"/>
  <c r="G633" i="20" s="1"/>
  <c r="C633" i="20"/>
  <c r="B633" i="20"/>
  <c r="E633" i="20" s="1"/>
  <c r="D633" i="20" l="1"/>
  <c r="A635" i="20"/>
  <c r="F634" i="20"/>
  <c r="G634" i="20" s="1"/>
  <c r="B634" i="20"/>
  <c r="C634" i="20"/>
  <c r="E634" i="20" l="1"/>
  <c r="D634" i="20"/>
  <c r="A636" i="20"/>
  <c r="F635" i="20"/>
  <c r="G635" i="20" s="1"/>
  <c r="B635" i="20"/>
  <c r="C635" i="20"/>
  <c r="E635" i="20" l="1"/>
  <c r="D635" i="20"/>
  <c r="A637" i="20"/>
  <c r="F636" i="20"/>
  <c r="G636" i="20" s="1"/>
  <c r="B636" i="20"/>
  <c r="E636" i="20" s="1"/>
  <c r="C636" i="20"/>
  <c r="D636" i="20" s="1"/>
  <c r="A638" i="20" l="1"/>
  <c r="B637" i="20"/>
  <c r="C637" i="20"/>
  <c r="F637" i="20"/>
  <c r="G637" i="20" s="1"/>
  <c r="E637" i="20" l="1"/>
  <c r="A639" i="20"/>
  <c r="B638" i="20"/>
  <c r="F638" i="20"/>
  <c r="G638" i="20" s="1"/>
  <c r="C638" i="20"/>
  <c r="D638" i="20" s="1"/>
  <c r="D637" i="20"/>
  <c r="E638" i="20" l="1"/>
  <c r="A640" i="20"/>
  <c r="F639" i="20"/>
  <c r="G639" i="20" s="1"/>
  <c r="B639" i="20"/>
  <c r="E639" i="20" s="1"/>
  <c r="C639" i="20"/>
  <c r="D639" i="20" l="1"/>
  <c r="A641" i="20"/>
  <c r="C640" i="20"/>
  <c r="B640" i="20"/>
  <c r="E640" i="20" s="1"/>
  <c r="F640" i="20"/>
  <c r="G640" i="20" s="1"/>
  <c r="D640" i="20" l="1"/>
  <c r="A642" i="20"/>
  <c r="C641" i="20"/>
  <c r="B641" i="20"/>
  <c r="E641" i="20" s="1"/>
  <c r="F641" i="20"/>
  <c r="G641" i="20" s="1"/>
  <c r="A643" i="20" l="1"/>
  <c r="C642" i="20"/>
  <c r="F642" i="20"/>
  <c r="G642" i="20" s="1"/>
  <c r="B642" i="20"/>
  <c r="E642" i="20" s="1"/>
  <c r="D641" i="20"/>
  <c r="A644" i="20" l="1"/>
  <c r="C643" i="20"/>
  <c r="B643" i="20"/>
  <c r="E643" i="20" s="1"/>
  <c r="F643" i="20"/>
  <c r="G643" i="20" s="1"/>
  <c r="D642" i="20"/>
  <c r="A645" i="20" l="1"/>
  <c r="B644" i="20"/>
  <c r="C644" i="20"/>
  <c r="F644" i="20"/>
  <c r="G644" i="20" s="1"/>
  <c r="D643" i="20"/>
  <c r="E644" i="20" l="1"/>
  <c r="D644" i="20"/>
  <c r="A646" i="20"/>
  <c r="B645" i="20"/>
  <c r="C645" i="20"/>
  <c r="F645" i="20"/>
  <c r="G645" i="20" s="1"/>
  <c r="D645" i="20" l="1"/>
  <c r="E645" i="20"/>
  <c r="A647" i="20"/>
  <c r="C646" i="20"/>
  <c r="B646" i="20"/>
  <c r="F646" i="20"/>
  <c r="G646" i="20" s="1"/>
  <c r="E646" i="20" l="1"/>
  <c r="D646" i="20"/>
  <c r="A648" i="20"/>
  <c r="B647" i="20"/>
  <c r="C647" i="20"/>
  <c r="F647" i="20"/>
  <c r="G647" i="20" s="1"/>
  <c r="E647" i="20" l="1"/>
  <c r="D647" i="20"/>
  <c r="A649" i="20"/>
  <c r="F648" i="20"/>
  <c r="G648" i="20" s="1"/>
  <c r="B648" i="20"/>
  <c r="C648" i="20"/>
  <c r="E648" i="20" l="1"/>
  <c r="D648" i="20"/>
  <c r="A650" i="20"/>
  <c r="F649" i="20"/>
  <c r="G649" i="20" s="1"/>
  <c r="B649" i="20"/>
  <c r="C649" i="20"/>
  <c r="D649" i="20" s="1"/>
  <c r="E649" i="20" l="1"/>
  <c r="A651" i="20"/>
  <c r="F650" i="20"/>
  <c r="G650" i="20" s="1"/>
  <c r="B650" i="20"/>
  <c r="C650" i="20"/>
  <c r="D650" i="20" s="1"/>
  <c r="E650" i="20" l="1"/>
  <c r="A652" i="20"/>
  <c r="F651" i="20"/>
  <c r="G651" i="20" s="1"/>
  <c r="B651" i="20"/>
  <c r="C651" i="20"/>
  <c r="D651" i="20" s="1"/>
  <c r="E651" i="20" l="1"/>
  <c r="A653" i="20"/>
  <c r="F652" i="20"/>
  <c r="G652" i="20" s="1"/>
  <c r="B652" i="20"/>
  <c r="C652" i="20"/>
  <c r="E652" i="20" l="1"/>
  <c r="D652" i="20"/>
  <c r="A654" i="20"/>
  <c r="F653" i="20"/>
  <c r="G653" i="20" s="1"/>
  <c r="C653" i="20"/>
  <c r="B653" i="20"/>
  <c r="E653" i="20" s="1"/>
  <c r="D653" i="20" l="1"/>
  <c r="A655" i="20"/>
  <c r="F654" i="20"/>
  <c r="G654" i="20" s="1"/>
  <c r="B654" i="20"/>
  <c r="C654" i="20"/>
  <c r="D654" i="20" s="1"/>
  <c r="E654" i="20" l="1"/>
  <c r="A656" i="20"/>
  <c r="F655" i="20"/>
  <c r="G655" i="20" s="1"/>
  <c r="B655" i="20"/>
  <c r="C655" i="20"/>
  <c r="E655" i="20" l="1"/>
  <c r="D655" i="20"/>
  <c r="A657" i="20"/>
  <c r="B656" i="20"/>
  <c r="C656" i="20"/>
  <c r="D656" i="20" s="1"/>
  <c r="F656" i="20"/>
  <c r="G656" i="20" s="1"/>
  <c r="E656" i="20" l="1"/>
  <c r="A658" i="20"/>
  <c r="C657" i="20"/>
  <c r="F657" i="20"/>
  <c r="G657" i="20" s="1"/>
  <c r="B657" i="20"/>
  <c r="E657" i="20" s="1"/>
  <c r="D657" i="20" l="1"/>
  <c r="A659" i="20"/>
  <c r="B658" i="20"/>
  <c r="C658" i="20"/>
  <c r="D658" i="20" s="1"/>
  <c r="F658" i="20"/>
  <c r="G658" i="20" s="1"/>
  <c r="E658" i="20" l="1"/>
  <c r="A660" i="20"/>
  <c r="C659" i="20"/>
  <c r="F659" i="20"/>
  <c r="G659" i="20" s="1"/>
  <c r="B659" i="20"/>
  <c r="E659" i="20" s="1"/>
  <c r="D659" i="20" l="1"/>
  <c r="A661" i="20"/>
  <c r="B660" i="20"/>
  <c r="C660" i="20"/>
  <c r="F660" i="20"/>
  <c r="G660" i="20" s="1"/>
  <c r="E660" i="20" l="1"/>
  <c r="D660" i="20"/>
  <c r="A662" i="20"/>
  <c r="C661" i="20"/>
  <c r="B661" i="20"/>
  <c r="E661" i="20" s="1"/>
  <c r="F661" i="20"/>
  <c r="G661" i="20" s="1"/>
  <c r="D661" i="20" l="1"/>
  <c r="A663" i="20"/>
  <c r="B662" i="20"/>
  <c r="C662" i="20"/>
  <c r="D662" i="20" s="1"/>
  <c r="F662" i="20"/>
  <c r="G662" i="20" s="1"/>
  <c r="E662" i="20" l="1"/>
  <c r="A664" i="20"/>
  <c r="C663" i="20"/>
  <c r="B663" i="20"/>
  <c r="E663" i="20" s="1"/>
  <c r="F663" i="20"/>
  <c r="G663" i="20" s="1"/>
  <c r="D663" i="20" l="1"/>
  <c r="A665" i="20"/>
  <c r="C664" i="20"/>
  <c r="F664" i="20"/>
  <c r="G664" i="20" s="1"/>
  <c r="B664" i="20"/>
  <c r="E664" i="20" s="1"/>
  <c r="D664" i="20" l="1"/>
  <c r="A666" i="20"/>
  <c r="B665" i="20"/>
  <c r="C665" i="20"/>
  <c r="D665" i="20" s="1"/>
  <c r="F665" i="20"/>
  <c r="G665" i="20" s="1"/>
  <c r="E665" i="20" l="1"/>
  <c r="A667" i="20"/>
  <c r="B666" i="20"/>
  <c r="C666" i="20"/>
  <c r="F666" i="20"/>
  <c r="G666" i="20" s="1"/>
  <c r="E666" i="20" l="1"/>
  <c r="D666" i="20"/>
  <c r="A668" i="20"/>
  <c r="B667" i="20"/>
  <c r="C667" i="20"/>
  <c r="F667" i="20"/>
  <c r="G667" i="20" s="1"/>
  <c r="E667" i="20" l="1"/>
  <c r="D667" i="20"/>
  <c r="A669" i="20"/>
  <c r="C668" i="20"/>
  <c r="F668" i="20"/>
  <c r="G668" i="20" s="1"/>
  <c r="B668" i="20"/>
  <c r="E668" i="20" s="1"/>
  <c r="D668" i="20" l="1"/>
  <c r="A670" i="20"/>
  <c r="F669" i="20"/>
  <c r="G669" i="20" s="1"/>
  <c r="B669" i="20"/>
  <c r="C669" i="20"/>
  <c r="E669" i="20" l="1"/>
  <c r="D669" i="20"/>
  <c r="A671" i="20"/>
  <c r="F670" i="20"/>
  <c r="G670" i="20" s="1"/>
  <c r="C670" i="20"/>
  <c r="B670" i="20"/>
  <c r="E670" i="20" s="1"/>
  <c r="D670" i="20" l="1"/>
  <c r="A672" i="20"/>
  <c r="B671" i="20"/>
  <c r="C671" i="20"/>
  <c r="D671" i="20" s="1"/>
  <c r="F671" i="20"/>
  <c r="G671" i="20" s="1"/>
  <c r="E671" i="20" l="1"/>
  <c r="A673" i="20"/>
  <c r="C672" i="20"/>
  <c r="F672" i="20"/>
  <c r="G672" i="20" s="1"/>
  <c r="B672" i="20"/>
  <c r="E672" i="20" s="1"/>
  <c r="D672" i="20" l="1"/>
  <c r="A674" i="20"/>
  <c r="F673" i="20"/>
  <c r="G673" i="20" s="1"/>
  <c r="B673" i="20"/>
  <c r="C673" i="20"/>
  <c r="E673" i="20" l="1"/>
  <c r="D673" i="20"/>
  <c r="A675" i="20"/>
  <c r="F674" i="20"/>
  <c r="G674" i="20" s="1"/>
  <c r="B674" i="20"/>
  <c r="C674" i="20"/>
  <c r="E674" i="20" l="1"/>
  <c r="D674" i="20"/>
  <c r="A676" i="20"/>
  <c r="B675" i="20"/>
  <c r="F675" i="20"/>
  <c r="G675" i="20" s="1"/>
  <c r="C675" i="20"/>
  <c r="D675" i="20" s="1"/>
  <c r="E675" i="20" l="1"/>
  <c r="A677" i="20"/>
  <c r="B676" i="20"/>
  <c r="C676" i="20"/>
  <c r="F676" i="20"/>
  <c r="G676" i="20" s="1"/>
  <c r="D676" i="20" l="1"/>
  <c r="E676" i="20"/>
  <c r="A678" i="20"/>
  <c r="B677" i="20"/>
  <c r="C677" i="20"/>
  <c r="D677" i="20" s="1"/>
  <c r="F677" i="20"/>
  <c r="G677" i="20" s="1"/>
  <c r="E677" i="20" l="1"/>
  <c r="A679" i="20"/>
  <c r="C678" i="20"/>
  <c r="F678" i="20"/>
  <c r="G678" i="20" s="1"/>
  <c r="B678" i="20"/>
  <c r="E678" i="20" s="1"/>
  <c r="D678" i="20" l="1"/>
  <c r="A680" i="20"/>
  <c r="C679" i="20"/>
  <c r="F679" i="20"/>
  <c r="G679" i="20" s="1"/>
  <c r="B679" i="20"/>
  <c r="E679" i="20" s="1"/>
  <c r="D679" i="20" l="1"/>
  <c r="A681" i="20"/>
  <c r="C680" i="20"/>
  <c r="F680" i="20"/>
  <c r="G680" i="20" s="1"/>
  <c r="B680" i="20"/>
  <c r="E680" i="20" s="1"/>
  <c r="D680" i="20" l="1"/>
  <c r="A682" i="20"/>
  <c r="B681" i="20"/>
  <c r="C681" i="20"/>
  <c r="D681" i="20" s="1"/>
  <c r="F681" i="20"/>
  <c r="G681" i="20" s="1"/>
  <c r="E681" i="20" l="1"/>
  <c r="A683" i="20"/>
  <c r="B682" i="20"/>
  <c r="C682" i="20"/>
  <c r="D682" i="20" s="1"/>
  <c r="F682" i="20"/>
  <c r="G682" i="20" s="1"/>
  <c r="E682" i="20" l="1"/>
  <c r="A684" i="20"/>
  <c r="B683" i="20"/>
  <c r="C683" i="20"/>
  <c r="D683" i="20" s="1"/>
  <c r="F683" i="20"/>
  <c r="G683" i="20" s="1"/>
  <c r="E683" i="20" l="1"/>
  <c r="A685" i="20"/>
  <c r="C684" i="20"/>
  <c r="F684" i="20"/>
  <c r="G684" i="20" s="1"/>
  <c r="B684" i="20"/>
  <c r="E684" i="20" s="1"/>
  <c r="D684" i="20" l="1"/>
  <c r="A686" i="20"/>
  <c r="F685" i="20"/>
  <c r="G685" i="20" s="1"/>
  <c r="B685" i="20"/>
  <c r="C685" i="20"/>
  <c r="E685" i="20" l="1"/>
  <c r="D685" i="20"/>
  <c r="A687" i="20"/>
  <c r="F686" i="20"/>
  <c r="G686" i="20" s="1"/>
  <c r="C686" i="20"/>
  <c r="B686" i="20"/>
  <c r="E686" i="20" l="1"/>
  <c r="D686" i="20"/>
  <c r="A688" i="20"/>
  <c r="B687" i="20"/>
  <c r="C687" i="20"/>
  <c r="F687" i="20"/>
  <c r="G687" i="20" s="1"/>
  <c r="E687" i="20" l="1"/>
  <c r="D687" i="20"/>
  <c r="A689" i="20"/>
  <c r="C688" i="20"/>
  <c r="F688" i="20"/>
  <c r="G688" i="20" s="1"/>
  <c r="B688" i="20"/>
  <c r="E688" i="20" s="1"/>
  <c r="D688" i="20" l="1"/>
  <c r="A690" i="20"/>
  <c r="F689" i="20"/>
  <c r="G689" i="20" s="1"/>
  <c r="B689" i="20"/>
  <c r="C689" i="20"/>
  <c r="E689" i="20" l="1"/>
  <c r="D689" i="20"/>
  <c r="A691" i="20"/>
  <c r="F690" i="20"/>
  <c r="G690" i="20" s="1"/>
  <c r="B690" i="20"/>
  <c r="E690" i="20" s="1"/>
  <c r="C690" i="20"/>
  <c r="A692" i="20" l="1"/>
  <c r="B691" i="20"/>
  <c r="F691" i="20"/>
  <c r="G691" i="20" s="1"/>
  <c r="C691" i="20"/>
  <c r="D691" i="20" s="1"/>
  <c r="D690" i="20"/>
  <c r="E691" i="20" l="1"/>
  <c r="A693" i="20"/>
  <c r="B692" i="20"/>
  <c r="C692" i="20"/>
  <c r="D692" i="20" s="1"/>
  <c r="F692" i="20"/>
  <c r="G692" i="20" s="1"/>
  <c r="E692" i="20" l="1"/>
  <c r="A694" i="20"/>
  <c r="B693" i="20"/>
  <c r="C693" i="20"/>
  <c r="F693" i="20"/>
  <c r="G693" i="20" s="1"/>
  <c r="E693" i="20" l="1"/>
  <c r="D693" i="20"/>
  <c r="A695" i="20"/>
  <c r="C694" i="20"/>
  <c r="F694" i="20"/>
  <c r="G694" i="20" s="1"/>
  <c r="B694" i="20"/>
  <c r="E694" i="20" s="1"/>
  <c r="A696" i="20" l="1"/>
  <c r="C695" i="20"/>
  <c r="B695" i="20"/>
  <c r="F695" i="20"/>
  <c r="G695" i="20" s="1"/>
  <c r="D694" i="20"/>
  <c r="E695" i="20" l="1"/>
  <c r="D695" i="20"/>
  <c r="A697" i="20"/>
  <c r="C696" i="20"/>
  <c r="F696" i="20"/>
  <c r="G696" i="20" s="1"/>
  <c r="B696" i="20"/>
  <c r="E696" i="20" s="1"/>
  <c r="D696" i="20" l="1"/>
  <c r="A698" i="20"/>
  <c r="B697" i="20"/>
  <c r="F697" i="20"/>
  <c r="G697" i="20" s="1"/>
  <c r="C697" i="20"/>
  <c r="D697" i="20" s="1"/>
  <c r="E697" i="20" l="1"/>
  <c r="A699" i="20"/>
  <c r="B698" i="20"/>
  <c r="C698" i="20"/>
  <c r="D698" i="20" s="1"/>
  <c r="F698" i="20"/>
  <c r="G698" i="20" s="1"/>
  <c r="E698" i="20" l="1"/>
  <c r="A700" i="20"/>
  <c r="B699" i="20"/>
  <c r="C699" i="20"/>
  <c r="D699" i="20" s="1"/>
  <c r="F699" i="20"/>
  <c r="G699" i="20" s="1"/>
  <c r="E699" i="20" l="1"/>
  <c r="A701" i="20"/>
  <c r="C700" i="20"/>
  <c r="F700" i="20"/>
  <c r="G700" i="20" s="1"/>
  <c r="B700" i="20"/>
  <c r="E700" i="20" s="1"/>
  <c r="D700" i="20" l="1"/>
  <c r="A702" i="20"/>
  <c r="F701" i="20"/>
  <c r="G701" i="20" s="1"/>
  <c r="B701" i="20"/>
  <c r="C701" i="20"/>
  <c r="D701" i="20" s="1"/>
  <c r="E701" i="20" l="1"/>
  <c r="A703" i="20"/>
  <c r="F702" i="20"/>
  <c r="G702" i="20" s="1"/>
  <c r="C702" i="20"/>
  <c r="B702" i="20"/>
  <c r="E702" i="20" s="1"/>
  <c r="D702" i="20" l="1"/>
  <c r="A704" i="20"/>
  <c r="B703" i="20"/>
  <c r="E703" i="20" s="1"/>
  <c r="C703" i="20"/>
  <c r="D703" i="20" s="1"/>
  <c r="F703" i="20"/>
  <c r="G703" i="20" s="1"/>
  <c r="A705" i="20" l="1"/>
  <c r="C704" i="20"/>
  <c r="F704" i="20"/>
  <c r="G704" i="20" s="1"/>
  <c r="B704" i="20"/>
  <c r="E704" i="20" s="1"/>
  <c r="D704" i="20" l="1"/>
  <c r="A706" i="20"/>
  <c r="F705" i="20"/>
  <c r="G705" i="20" s="1"/>
  <c r="B705" i="20"/>
  <c r="C705" i="20"/>
  <c r="D705" i="20" s="1"/>
  <c r="E705" i="20" l="1"/>
  <c r="A707" i="20"/>
  <c r="F706" i="20"/>
  <c r="G706" i="20" s="1"/>
  <c r="B706" i="20"/>
  <c r="C706" i="20"/>
  <c r="D706" i="20" s="1"/>
  <c r="E706" i="20" l="1"/>
  <c r="A708" i="20"/>
  <c r="B707" i="20"/>
  <c r="F707" i="20"/>
  <c r="G707" i="20" s="1"/>
  <c r="C707" i="20"/>
  <c r="D707" i="20" s="1"/>
  <c r="E707" i="20" l="1"/>
  <c r="A709" i="20"/>
  <c r="B708" i="20"/>
  <c r="C708" i="20"/>
  <c r="F708" i="20"/>
  <c r="G708" i="20" s="1"/>
  <c r="E708" i="20" l="1"/>
  <c r="D708" i="20"/>
  <c r="A710" i="20"/>
  <c r="B709" i="20"/>
  <c r="C709" i="20"/>
  <c r="D709" i="20" s="1"/>
  <c r="F709" i="20"/>
  <c r="G709" i="20" s="1"/>
  <c r="E709" i="20" l="1"/>
  <c r="A711" i="20"/>
  <c r="C710" i="20"/>
  <c r="F710" i="20"/>
  <c r="G710" i="20" s="1"/>
  <c r="B710" i="20"/>
  <c r="E710" i="20" s="1"/>
  <c r="A712" i="20" l="1"/>
  <c r="C711" i="20"/>
  <c r="B711" i="20"/>
  <c r="F711" i="20"/>
  <c r="G711" i="20" s="1"/>
  <c r="D710" i="20"/>
  <c r="E711" i="20" l="1"/>
  <c r="D711" i="20"/>
  <c r="A713" i="20"/>
  <c r="C712" i="20"/>
  <c r="F712" i="20"/>
  <c r="G712" i="20" s="1"/>
  <c r="B712" i="20"/>
  <c r="E712" i="20" s="1"/>
  <c r="D712" i="20" l="1"/>
  <c r="A714" i="20"/>
  <c r="B713" i="20"/>
  <c r="F713" i="20"/>
  <c r="G713" i="20" s="1"/>
  <c r="C713" i="20"/>
  <c r="D713" i="20" s="1"/>
  <c r="E713" i="20" l="1"/>
  <c r="A715" i="20"/>
  <c r="B714" i="20"/>
  <c r="C714" i="20"/>
  <c r="D714" i="20" s="1"/>
  <c r="F714" i="20"/>
  <c r="G714" i="20" s="1"/>
  <c r="E714" i="20" l="1"/>
  <c r="A716" i="20"/>
  <c r="B715" i="20"/>
  <c r="C715" i="20"/>
  <c r="F715" i="20"/>
  <c r="G715" i="20" s="1"/>
  <c r="E715" i="20" l="1"/>
  <c r="A717" i="20"/>
  <c r="C716" i="20"/>
  <c r="F716" i="20"/>
  <c r="G716" i="20" s="1"/>
  <c r="B716" i="20"/>
  <c r="E716" i="20" s="1"/>
  <c r="D715" i="20"/>
  <c r="D716" i="20" l="1"/>
  <c r="A718" i="20"/>
  <c r="F717" i="20"/>
  <c r="G717" i="20" s="1"/>
  <c r="B717" i="20"/>
  <c r="C717" i="20"/>
  <c r="D717" i="20" s="1"/>
  <c r="E717" i="20" l="1"/>
  <c r="A719" i="20"/>
  <c r="F718" i="20"/>
  <c r="G718" i="20" s="1"/>
  <c r="C718" i="20"/>
  <c r="B718" i="20"/>
  <c r="E718" i="20" s="1"/>
  <c r="A720" i="20" l="1"/>
  <c r="B719" i="20"/>
  <c r="E719" i="20" s="1"/>
  <c r="C719" i="20"/>
  <c r="F719" i="20"/>
  <c r="G719" i="20" s="1"/>
  <c r="D718" i="20"/>
  <c r="D719" i="20" l="1"/>
  <c r="A721" i="20"/>
  <c r="C720" i="20"/>
  <c r="F720" i="20"/>
  <c r="G720" i="20" s="1"/>
  <c r="B720" i="20"/>
  <c r="E720" i="20" s="1"/>
  <c r="D720" i="20" l="1"/>
  <c r="A722" i="20"/>
  <c r="F721" i="20"/>
  <c r="G721" i="20" s="1"/>
  <c r="B721" i="20"/>
  <c r="C721" i="20"/>
  <c r="D721" i="20" l="1"/>
  <c r="E721" i="20"/>
  <c r="A723" i="20"/>
  <c r="F722" i="20"/>
  <c r="G722" i="20" s="1"/>
  <c r="B722" i="20"/>
  <c r="C722" i="20"/>
  <c r="D722" i="20" s="1"/>
  <c r="E722" i="20" l="1"/>
  <c r="A724" i="20"/>
  <c r="B723" i="20"/>
  <c r="F723" i="20"/>
  <c r="G723" i="20" s="1"/>
  <c r="C723" i="20"/>
  <c r="D723" i="20" s="1"/>
  <c r="E723" i="20" l="1"/>
  <c r="A725" i="20"/>
  <c r="B724" i="20"/>
  <c r="C724" i="20"/>
  <c r="F724" i="20"/>
  <c r="G724" i="20" s="1"/>
  <c r="E724" i="20" l="1"/>
  <c r="A726" i="20"/>
  <c r="B725" i="20"/>
  <c r="C725" i="20"/>
  <c r="F725" i="20"/>
  <c r="G725" i="20" s="1"/>
  <c r="D724" i="20"/>
  <c r="E725" i="20" l="1"/>
  <c r="A727" i="20"/>
  <c r="C726" i="20"/>
  <c r="F726" i="20"/>
  <c r="G726" i="20" s="1"/>
  <c r="B726" i="20"/>
  <c r="E726" i="20" s="1"/>
  <c r="D725" i="20"/>
  <c r="D726" i="20" l="1"/>
  <c r="A728" i="20"/>
  <c r="C727" i="20"/>
  <c r="B727" i="20"/>
  <c r="E727" i="20" s="1"/>
  <c r="F727" i="20"/>
  <c r="G727" i="20" s="1"/>
  <c r="A729" i="20" l="1"/>
  <c r="C728" i="20"/>
  <c r="F728" i="20"/>
  <c r="G728" i="20" s="1"/>
  <c r="B728" i="20"/>
  <c r="E728" i="20" s="1"/>
  <c r="D727" i="20"/>
  <c r="D728" i="20" l="1"/>
  <c r="A730" i="20"/>
  <c r="B729" i="20"/>
  <c r="C729" i="20"/>
  <c r="D729" i="20" s="1"/>
  <c r="F729" i="20"/>
  <c r="G729" i="20" s="1"/>
  <c r="E729" i="20" l="1"/>
  <c r="A731" i="20"/>
  <c r="B730" i="20"/>
  <c r="C730" i="20"/>
  <c r="F730" i="20"/>
  <c r="G730" i="20" s="1"/>
  <c r="E730" i="20" l="1"/>
  <c r="D730" i="20"/>
  <c r="A732" i="20"/>
  <c r="B731" i="20"/>
  <c r="C731" i="20"/>
  <c r="F731" i="20"/>
  <c r="G731" i="20" s="1"/>
  <c r="E731" i="20" l="1"/>
  <c r="D731" i="20"/>
  <c r="A733" i="20"/>
  <c r="C732" i="20"/>
  <c r="F732" i="20"/>
  <c r="G732" i="20" s="1"/>
  <c r="B732" i="20"/>
  <c r="E732" i="20" s="1"/>
  <c r="D732" i="20" l="1"/>
  <c r="A734" i="20"/>
  <c r="C733" i="20"/>
  <c r="F733" i="20"/>
  <c r="G733" i="20" s="1"/>
  <c r="B733" i="20"/>
  <c r="E733" i="20" s="1"/>
  <c r="D733" i="20" l="1"/>
  <c r="A735" i="20"/>
  <c r="B734" i="20"/>
  <c r="C734" i="20"/>
  <c r="F734" i="20"/>
  <c r="G734" i="20" s="1"/>
  <c r="E734" i="20" l="1"/>
  <c r="D734" i="20"/>
  <c r="A736" i="20"/>
  <c r="C735" i="20"/>
  <c r="B735" i="20"/>
  <c r="E735" i="20" s="1"/>
  <c r="F735" i="20"/>
  <c r="G735" i="20" s="1"/>
  <c r="A737" i="20" l="1"/>
  <c r="B736" i="20"/>
  <c r="C736" i="20"/>
  <c r="D736" i="20" s="1"/>
  <c r="F736" i="20"/>
  <c r="G736" i="20" s="1"/>
  <c r="D735" i="20"/>
  <c r="E736" i="20" l="1"/>
  <c r="A738" i="20"/>
  <c r="B737" i="20"/>
  <c r="F737" i="20"/>
  <c r="G737" i="20" s="1"/>
  <c r="C737" i="20"/>
  <c r="D737" i="20" s="1"/>
  <c r="E737" i="20" l="1"/>
  <c r="A739" i="20"/>
  <c r="B738" i="20"/>
  <c r="C738" i="20"/>
  <c r="D738" i="20" s="1"/>
  <c r="F738" i="20"/>
  <c r="G738" i="20" s="1"/>
  <c r="E738" i="20" l="1"/>
  <c r="A740" i="20"/>
  <c r="B739" i="20"/>
  <c r="F739" i="20"/>
  <c r="G739" i="20" s="1"/>
  <c r="C739" i="20"/>
  <c r="E739" i="20" l="1"/>
  <c r="A741" i="20"/>
  <c r="F740" i="20"/>
  <c r="G740" i="20" s="1"/>
  <c r="B740" i="20"/>
  <c r="C740" i="20"/>
  <c r="D740" i="20" s="1"/>
  <c r="D739" i="20"/>
  <c r="E740" i="20" l="1"/>
  <c r="A742" i="20"/>
  <c r="F741" i="20"/>
  <c r="G741" i="20" s="1"/>
  <c r="B741" i="20"/>
  <c r="C741" i="20"/>
  <c r="E741" i="20" l="1"/>
  <c r="D741" i="20"/>
  <c r="A743" i="20"/>
  <c r="F742" i="20"/>
  <c r="G742" i="20" s="1"/>
  <c r="B742" i="20"/>
  <c r="C742" i="20"/>
  <c r="D742" i="20" l="1"/>
  <c r="E742" i="20"/>
  <c r="A744" i="20"/>
  <c r="F743" i="20"/>
  <c r="G743" i="20" s="1"/>
  <c r="B743" i="20"/>
  <c r="C743" i="20"/>
  <c r="E743" i="20" l="1"/>
  <c r="D743" i="20"/>
  <c r="A745" i="20"/>
  <c r="B744" i="20"/>
  <c r="C744" i="20"/>
  <c r="D744" i="20" s="1"/>
  <c r="F744" i="20"/>
  <c r="G744" i="20" s="1"/>
  <c r="E744" i="20" l="1"/>
  <c r="A746" i="20"/>
  <c r="C745" i="20"/>
  <c r="F745" i="20"/>
  <c r="G745" i="20" s="1"/>
  <c r="B745" i="20"/>
  <c r="E745" i="20" s="1"/>
  <c r="D745" i="20" l="1"/>
  <c r="A747" i="20"/>
  <c r="C746" i="20"/>
  <c r="B746" i="20"/>
  <c r="E746" i="20" s="1"/>
  <c r="F746" i="20"/>
  <c r="G746" i="20" s="1"/>
  <c r="D746" i="20" l="1"/>
  <c r="A748" i="20"/>
  <c r="C747" i="20"/>
  <c r="F747" i="20"/>
  <c r="G747" i="20" s="1"/>
  <c r="B747" i="20"/>
  <c r="E747" i="20" s="1"/>
  <c r="A749" i="20" l="1"/>
  <c r="B748" i="20"/>
  <c r="C748" i="20"/>
  <c r="D748" i="20" s="1"/>
  <c r="F748" i="20"/>
  <c r="G748" i="20" s="1"/>
  <c r="D747" i="20"/>
  <c r="E748" i="20" l="1"/>
  <c r="A750" i="20"/>
  <c r="B749" i="20"/>
  <c r="E749" i="20" s="1"/>
  <c r="C749" i="20"/>
  <c r="D749" i="20" s="1"/>
  <c r="F749" i="20"/>
  <c r="G749" i="20" s="1"/>
  <c r="A751" i="20" l="1"/>
  <c r="B750" i="20"/>
  <c r="C750" i="20"/>
  <c r="D750" i="20" s="1"/>
  <c r="F750" i="20"/>
  <c r="G750" i="20" s="1"/>
  <c r="E750" i="20" l="1"/>
  <c r="A752" i="20"/>
  <c r="B751" i="20"/>
  <c r="C751" i="20"/>
  <c r="F751" i="20"/>
  <c r="G751" i="20" s="1"/>
  <c r="E751" i="20" l="1"/>
  <c r="A753" i="20"/>
  <c r="C752" i="20"/>
  <c r="F752" i="20"/>
  <c r="G752" i="20" s="1"/>
  <c r="B752" i="20"/>
  <c r="E752" i="20" s="1"/>
  <c r="D751" i="20"/>
  <c r="D752" i="20" l="1"/>
  <c r="A754" i="20"/>
  <c r="F753" i="20"/>
  <c r="G753" i="20" s="1"/>
  <c r="B753" i="20"/>
  <c r="C753" i="20"/>
  <c r="D753" i="20" s="1"/>
  <c r="E753" i="20" l="1"/>
  <c r="A755" i="20"/>
  <c r="F754" i="20"/>
  <c r="G754" i="20" s="1"/>
  <c r="C754" i="20"/>
  <c r="B754" i="20"/>
  <c r="E754" i="20" s="1"/>
  <c r="A756" i="20" l="1"/>
  <c r="B755" i="20"/>
  <c r="C755" i="20"/>
  <c r="D755" i="20" s="1"/>
  <c r="F755" i="20"/>
  <c r="G755" i="20" s="1"/>
  <c r="D754" i="20"/>
  <c r="E755" i="20" l="1"/>
  <c r="A757" i="20"/>
  <c r="B756" i="20"/>
  <c r="F756" i="20"/>
  <c r="G756" i="20" s="1"/>
  <c r="C756" i="20"/>
  <c r="D756" i="20" s="1"/>
  <c r="E756" i="20" l="1"/>
  <c r="A758" i="20"/>
  <c r="B757" i="20"/>
  <c r="C757" i="20"/>
  <c r="F757" i="20"/>
  <c r="G757" i="20" s="1"/>
  <c r="E757" i="20" l="1"/>
  <c r="A759" i="20"/>
  <c r="C758" i="20"/>
  <c r="F758" i="20"/>
  <c r="G758" i="20" s="1"/>
  <c r="B758" i="20"/>
  <c r="E758" i="20" s="1"/>
  <c r="D757" i="20"/>
  <c r="A760" i="20" l="1"/>
  <c r="F759" i="20"/>
  <c r="G759" i="20" s="1"/>
  <c r="B759" i="20"/>
  <c r="C759" i="20"/>
  <c r="D758" i="20"/>
  <c r="D759" i="20" l="1"/>
  <c r="E759" i="20"/>
  <c r="A761" i="20"/>
  <c r="F760" i="20"/>
  <c r="G760" i="20" s="1"/>
  <c r="B760" i="20"/>
  <c r="C760" i="20"/>
  <c r="E760" i="20" l="1"/>
  <c r="A762" i="20"/>
  <c r="B761" i="20"/>
  <c r="C761" i="20"/>
  <c r="D761" i="20" s="1"/>
  <c r="F761" i="20"/>
  <c r="G761" i="20" s="1"/>
  <c r="D760" i="20"/>
  <c r="E761" i="20" l="1"/>
  <c r="A763" i="20"/>
  <c r="B762" i="20"/>
  <c r="F762" i="20"/>
  <c r="G762" i="20" s="1"/>
  <c r="C762" i="20"/>
  <c r="D762" i="20" s="1"/>
  <c r="E762" i="20" l="1"/>
  <c r="A764" i="20"/>
  <c r="B763" i="20"/>
  <c r="C763" i="20"/>
  <c r="D763" i="20" s="1"/>
  <c r="F763" i="20"/>
  <c r="G763" i="20" s="1"/>
  <c r="E763" i="20" l="1"/>
  <c r="A765" i="20"/>
  <c r="C764" i="20"/>
  <c r="F764" i="20"/>
  <c r="G764" i="20" s="1"/>
  <c r="B764" i="20"/>
  <c r="E764" i="20" s="1"/>
  <c r="D764" i="20" l="1"/>
  <c r="A766" i="20"/>
  <c r="B765" i="20"/>
  <c r="F765" i="20"/>
  <c r="G765" i="20" s="1"/>
  <c r="C765" i="20"/>
  <c r="D765" i="20" s="1"/>
  <c r="E765" i="20" l="1"/>
  <c r="A767" i="20"/>
  <c r="C766" i="20"/>
  <c r="F766" i="20"/>
  <c r="G766" i="20" s="1"/>
  <c r="B766" i="20"/>
  <c r="E766" i="20" s="1"/>
  <c r="A768" i="20" l="1"/>
  <c r="B767" i="20"/>
  <c r="C767" i="20"/>
  <c r="D767" i="20" s="1"/>
  <c r="F767" i="20"/>
  <c r="G767" i="20" s="1"/>
  <c r="D766" i="20"/>
  <c r="E767" i="20" l="1"/>
  <c r="A769" i="20"/>
  <c r="B768" i="20"/>
  <c r="C768" i="20"/>
  <c r="D768" i="20" s="1"/>
  <c r="F768" i="20"/>
  <c r="G768" i="20" s="1"/>
  <c r="E768" i="20" l="1"/>
  <c r="A770" i="20"/>
  <c r="B769" i="20"/>
  <c r="C769" i="20"/>
  <c r="D769" i="20" s="1"/>
  <c r="F769" i="20"/>
  <c r="G769" i="20" s="1"/>
  <c r="E769" i="20" l="1"/>
  <c r="A771" i="20"/>
  <c r="B770" i="20"/>
  <c r="C770" i="20"/>
  <c r="D770" i="20" s="1"/>
  <c r="F770" i="20"/>
  <c r="G770" i="20" s="1"/>
  <c r="E770" i="20" l="1"/>
  <c r="A772" i="20"/>
  <c r="B771" i="20"/>
  <c r="C771" i="20"/>
  <c r="F771" i="20"/>
  <c r="G771" i="20" s="1"/>
  <c r="D771" i="20" l="1"/>
  <c r="E771" i="20"/>
  <c r="C772" i="20"/>
  <c r="B772" i="20"/>
  <c r="E772" i="20" s="1"/>
  <c r="F772" i="20"/>
  <c r="G772" i="20" s="1"/>
  <c r="E2" i="19" l="1"/>
  <c r="F2" i="19" s="1"/>
  <c r="E3" i="19"/>
  <c r="F3" i="19" s="1"/>
  <c r="E8" i="19"/>
  <c r="F8" i="19" s="1"/>
  <c r="E20" i="19"/>
  <c r="F20" i="19" s="1"/>
  <c r="E49" i="19"/>
  <c r="F49" i="19" s="1"/>
  <c r="E25" i="19"/>
  <c r="F25" i="19" s="1"/>
  <c r="E36" i="19"/>
  <c r="F36" i="19" s="1"/>
  <c r="E50" i="19"/>
  <c r="F50" i="19" s="1"/>
  <c r="E4" i="19"/>
  <c r="F4" i="19" s="1"/>
  <c r="E42" i="19"/>
  <c r="F42" i="19" s="1"/>
  <c r="E21" i="19"/>
  <c r="F21" i="19" s="1"/>
  <c r="E40" i="19"/>
  <c r="F40" i="19" s="1"/>
  <c r="E23" i="19"/>
  <c r="F23" i="19" s="1"/>
  <c r="E28" i="19"/>
  <c r="F28" i="19" s="1"/>
  <c r="E15" i="19"/>
  <c r="F15" i="19" s="1"/>
  <c r="E43" i="19"/>
  <c r="F43" i="19" s="1"/>
  <c r="E11" i="19"/>
  <c r="F11" i="19" s="1"/>
  <c r="E16" i="19"/>
  <c r="F16" i="19" s="1"/>
  <c r="E26" i="19"/>
  <c r="F26" i="19" s="1"/>
  <c r="E22" i="19"/>
  <c r="F22" i="19" s="1"/>
  <c r="E10" i="19"/>
  <c r="F10" i="19" s="1"/>
  <c r="E51" i="19"/>
  <c r="F51" i="19" s="1"/>
  <c r="E29" i="19"/>
  <c r="F29" i="19" s="1"/>
  <c r="E30" i="19"/>
  <c r="F30" i="19" s="1"/>
  <c r="E13" i="19"/>
  <c r="F13" i="19" s="1"/>
  <c r="E34" i="19"/>
  <c r="F34" i="19" s="1"/>
  <c r="E12" i="19"/>
  <c r="F12" i="19" s="1"/>
  <c r="E18" i="19"/>
  <c r="F18" i="19" s="1"/>
  <c r="E45" i="19"/>
  <c r="F45" i="19" s="1"/>
  <c r="E55" i="19"/>
  <c r="F55" i="19" s="1"/>
  <c r="E52" i="19"/>
  <c r="F52" i="19" s="1"/>
  <c r="E19" i="19"/>
  <c r="F19" i="19" s="1"/>
  <c r="E9" i="19"/>
  <c r="F9" i="19" s="1"/>
  <c r="E38" i="19"/>
  <c r="F38" i="19" s="1"/>
  <c r="E6" i="19"/>
  <c r="F6" i="19" s="1"/>
  <c r="E31" i="19"/>
  <c r="F31" i="19" s="1"/>
  <c r="E5" i="19"/>
  <c r="F5" i="19" s="1"/>
  <c r="E37" i="19"/>
  <c r="F37" i="19" s="1"/>
  <c r="E17" i="19"/>
  <c r="F17" i="19" s="1"/>
  <c r="E44" i="19"/>
  <c r="F44" i="19" s="1"/>
  <c r="E24" i="19"/>
  <c r="F24" i="19" s="1"/>
  <c r="E35" i="19"/>
  <c r="F35" i="19" s="1"/>
  <c r="E27" i="19"/>
  <c r="F27" i="19" s="1"/>
  <c r="E32" i="19"/>
  <c r="F32" i="19" s="1"/>
  <c r="E54" i="19"/>
  <c r="F54" i="19" s="1"/>
  <c r="E53" i="19"/>
  <c r="F53" i="19" s="1"/>
  <c r="E47" i="19"/>
  <c r="F47" i="19" s="1"/>
  <c r="E41" i="19"/>
  <c r="F41" i="19" s="1"/>
  <c r="E14" i="19"/>
  <c r="F14" i="19" s="1"/>
  <c r="E33" i="19"/>
  <c r="F33" i="19" s="1"/>
  <c r="E7" i="19"/>
  <c r="F7" i="19" s="1"/>
  <c r="E39" i="19"/>
  <c r="F39" i="19" s="1"/>
  <c r="E48" i="19"/>
  <c r="F48" i="19" s="1"/>
  <c r="E46" i="19"/>
  <c r="F46" i="19" s="1"/>
  <c r="D772" i="20"/>
  <c r="AS6" i="11" l="1"/>
  <c r="H6" i="11"/>
  <c r="H42" i="11"/>
  <c r="I6" i="11" l="1"/>
  <c r="J6" i="11" s="1"/>
  <c r="I42" i="11"/>
  <c r="P42" i="11" s="1"/>
  <c r="J42" i="11"/>
  <c r="K6" i="11"/>
  <c r="L6" i="11" s="1"/>
  <c r="K42" i="11"/>
  <c r="L42" i="11"/>
  <c r="M6" i="11"/>
  <c r="M42" i="11"/>
  <c r="Q42" i="11" s="1"/>
  <c r="O6" i="11"/>
  <c r="O42" i="11"/>
  <c r="Q6" i="11"/>
  <c r="R6" i="11" l="1"/>
  <c r="S6" i="11" s="1"/>
  <c r="R42" i="11"/>
  <c r="I63" i="11"/>
  <c r="J63" i="11"/>
  <c r="T42" i="11"/>
  <c r="K63" i="11"/>
  <c r="T6" i="11"/>
  <c r="U6" i="11" s="1"/>
  <c r="U42" i="11"/>
  <c r="V42" i="11"/>
  <c r="X42" i="11"/>
  <c r="AG42" i="11" s="1"/>
  <c r="X6" i="11"/>
  <c r="Z6" i="11"/>
  <c r="AI6" i="11" s="1"/>
  <c r="V6" i="11" l="1"/>
  <c r="S42" i="11"/>
  <c r="Y42" i="11" s="1"/>
  <c r="AA6" i="11"/>
  <c r="AB6" i="11"/>
  <c r="AD6" i="11" s="1"/>
  <c r="AC42" i="11"/>
  <c r="AC6" i="11"/>
  <c r="AD42" i="11"/>
  <c r="AN42" i="11" s="1"/>
  <c r="AE42" i="11"/>
  <c r="AG6" i="11"/>
  <c r="AR6" i="11"/>
  <c r="AB42" i="11" l="1"/>
  <c r="Z42" i="11"/>
  <c r="AA42" i="11" s="1"/>
  <c r="AE6" i="11"/>
  <c r="AJ6" i="11"/>
  <c r="AL42" i="11"/>
  <c r="AM42" i="11"/>
  <c r="AO42" i="11"/>
  <c r="AV42" i="11" s="1"/>
  <c r="AP6" i="11"/>
  <c r="AZ42" i="11"/>
  <c r="AK6" i="11" l="1"/>
  <c r="AL6" i="11"/>
  <c r="AH42" i="11"/>
  <c r="AI42" i="11"/>
  <c r="AR42" i="11" s="1"/>
  <c r="AM6" i="11"/>
  <c r="AT6" i="11" s="1"/>
  <c r="AN6" i="11"/>
  <c r="AU6" i="11" s="1"/>
  <c r="AW6" i="11"/>
  <c r="AU42" i="11"/>
  <c r="AW42" i="11"/>
  <c r="AX42" i="11"/>
  <c r="R24" i="11"/>
  <c r="H24" i="11"/>
  <c r="AJ42" i="11" l="1"/>
  <c r="AK42" i="11"/>
  <c r="AQ42" i="11"/>
  <c r="L24" i="11"/>
  <c r="M24" i="11"/>
  <c r="N24" i="11" s="1"/>
  <c r="O24" i="11" s="1"/>
  <c r="AV6" i="11"/>
  <c r="BD42" i="11"/>
  <c r="P24" i="11"/>
  <c r="Q24" i="11"/>
  <c r="AS42" i="11" l="1"/>
  <c r="BA42" i="11"/>
  <c r="AT42" i="11"/>
  <c r="BJ42" i="11"/>
  <c r="L63" i="11"/>
  <c r="S24" i="11"/>
  <c r="T24" i="11"/>
  <c r="BK42" i="11"/>
  <c r="BK63" i="11" s="1"/>
  <c r="U24" i="11"/>
  <c r="BD63" i="11"/>
  <c r="V24" i="11"/>
  <c r="Y24" i="11"/>
  <c r="Z24" i="11"/>
  <c r="W24" i="11" l="1"/>
  <c r="BB42" i="11"/>
  <c r="BB63" i="11" s="1"/>
  <c r="X24" i="11"/>
  <c r="BC42" i="11"/>
  <c r="BL42" i="11" s="1"/>
  <c r="BL63" i="11" s="1"/>
  <c r="AA24" i="11"/>
  <c r="AB24" i="11"/>
  <c r="AC24" i="11"/>
  <c r="AD24" i="11"/>
  <c r="AE24" i="11"/>
  <c r="AF24" i="11" s="1"/>
  <c r="AH24" i="11"/>
  <c r="AP24" i="11" s="1"/>
  <c r="BC63" i="11" l="1"/>
  <c r="BM42" i="11"/>
  <c r="BM63" i="11" s="1"/>
  <c r="AG24" i="11"/>
  <c r="AA63" i="11"/>
  <c r="AI24" i="11"/>
  <c r="AB63" i="11"/>
  <c r="AJ24" i="11"/>
  <c r="AK24" i="11"/>
  <c r="AL24" i="11"/>
  <c r="AS24" i="11" s="1"/>
  <c r="AM24" i="11"/>
  <c r="AY24" i="11"/>
  <c r="AQ24" i="11"/>
  <c r="V51" i="11"/>
  <c r="V63" i="11" s="1"/>
  <c r="O51" i="11"/>
  <c r="O63" i="11" s="1"/>
  <c r="H51" i="11"/>
  <c r="AN24" i="11" l="1"/>
  <c r="AJ63" i="11"/>
  <c r="AO24" i="11"/>
  <c r="AI63" i="11"/>
  <c r="AR24" i="11"/>
  <c r="AS63" i="11"/>
  <c r="AT24" i="11"/>
  <c r="AK63" i="11"/>
  <c r="AL63" i="11"/>
  <c r="AU24" i="11"/>
  <c r="AX24" i="11" s="1"/>
  <c r="H63" i="11"/>
  <c r="M51" i="11"/>
  <c r="M63" i="11" s="1"/>
  <c r="N51" i="11"/>
  <c r="N63" i="11" s="1"/>
  <c r="AW24" i="11" l="1"/>
  <c r="P51" i="11"/>
  <c r="Q51" i="11" s="1"/>
  <c r="Q63" i="11" s="1"/>
  <c r="AT63" i="11"/>
  <c r="R51" i="11"/>
  <c r="R63" i="11" s="1"/>
  <c r="S51" i="11"/>
  <c r="S63" i="11" s="1"/>
  <c r="AU63" i="11"/>
  <c r="T51" i="11"/>
  <c r="U51" i="11"/>
  <c r="W51" i="11" l="1"/>
  <c r="W63" i="11" s="1"/>
  <c r="P63" i="11"/>
  <c r="X51" i="11"/>
  <c r="Y51" i="11" s="1"/>
  <c r="T63" i="11"/>
  <c r="AC51" i="11"/>
  <c r="AC63" i="11" s="1"/>
  <c r="U63" i="11"/>
  <c r="AD51" i="11"/>
  <c r="AD63" i="11" s="1"/>
  <c r="Z51" i="11" l="1"/>
  <c r="Z63" i="11" s="1"/>
  <c r="AE51" i="11"/>
  <c r="X63" i="11"/>
  <c r="Y63" i="11"/>
  <c r="AH51" i="11"/>
  <c r="AH63" i="11" s="1"/>
  <c r="AM51" i="11"/>
  <c r="AN51" i="11"/>
  <c r="AN63" i="11" s="1"/>
  <c r="AW51" i="11"/>
  <c r="AW63" i="11" s="1"/>
  <c r="AF51" i="11" l="1"/>
  <c r="AF63" i="11" s="1"/>
  <c r="AG51" i="11"/>
  <c r="AG63" i="11" s="1"/>
  <c r="AE63" i="11"/>
  <c r="AO51" i="11"/>
  <c r="AO63" i="11" s="1"/>
  <c r="AQ51" i="11"/>
  <c r="AQ63" i="11" s="1"/>
  <c r="AR51" i="11"/>
  <c r="AR63" i="11" s="1"/>
  <c r="AM63" i="11"/>
  <c r="AV51" i="11"/>
  <c r="AV63" i="11" s="1"/>
  <c r="AP51" i="11" l="1"/>
  <c r="AP63" i="11" s="1"/>
  <c r="AX51" i="11"/>
  <c r="AX63" i="11" s="1"/>
  <c r="AZ51" i="11"/>
  <c r="AZ63" i="11" s="1"/>
  <c r="BA51" i="11"/>
  <c r="BJ51" i="11"/>
  <c r="BJ63" i="11" s="1"/>
  <c r="BH51" i="11" l="1"/>
  <c r="BH63" i="11" s="1"/>
  <c r="BA63" i="11"/>
  <c r="AY51" i="11"/>
  <c r="AY63" i="11" s="1"/>
  <c r="BG51" i="11"/>
  <c r="BG63" i="11" s="1"/>
  <c r="BI51" i="11" l="1"/>
  <c r="BI6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tc={031F1818-293A-47F5-A76B-8C1690832E44}</author>
  </authors>
  <commentList>
    <comment ref="AA10" authorId="0" shapeId="0" xr:uid="{031F1818-293A-47F5-A76B-8C1690832E44}">
      <text>
        <t>[Threaded comment]
Your version of Excel allows you to read this threaded comment; however, any edits to it will get removed if the file is opened in a newer version of Excel. Learn more: https://go.microsoft.com/fwlink/?linkid=870924
Comment:
    106028702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tc={401A6EDF-37BC-4DD8-83B4-F994C370BB65}</author>
    <author>tc={B994F45D-084B-4B94-AA61-7FBA93155671}</author>
    <author>tc={E83E8715-E720-4BA8-9876-28993D652A19}</author>
  </authors>
  <commentList>
    <comment ref="K5" authorId="0" shapeId="0" xr:uid="{401A6EDF-37BC-4DD8-83B4-F994C370BB6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2/12</t>
      </text>
    </comment>
    <comment ref="K13" authorId="1" shapeId="0" xr:uid="{B994F45D-084B-4B94-AA61-7FBA93155671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on SKU Extension
SO Entered: 8737081</t>
      </text>
    </comment>
    <comment ref="K14" authorId="2" shapeId="0" xr:uid="{E83E8715-E720-4BA8-9876-28993D652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on SKU Extension
SO Entered: 8737081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Gregory Bieterman</author>
  </authors>
  <commentList>
    <comment ref="C1" authorId="0" shapeId="0" xr:uid="{3AA1A504-CF67-41D3-BC7C-60D4000152B5}">
      <text>
        <r>
          <rPr>
            <b/>
            <sz val="9"/>
            <color indexed="81"/>
            <rFont val="Tahoma"/>
            <family val="2"/>
          </rPr>
          <t>Delete Orders: &lt;CTRL&gt;+&lt;SHIFT&gt;+Y
MRP:  &lt;CTRL&gt;+&lt;SHIFT&gt;+M</t>
        </r>
      </text>
    </comment>
    <comment ref="F3" authorId="0" shapeId="0" xr:uid="{50962DB1-9351-4FCF-A02B-F47527427FC5}">
      <text>
        <r>
          <rPr>
            <sz val="9"/>
            <color indexed="81"/>
            <rFont val="Tahoma"/>
            <family val="2"/>
          </rPr>
          <t>Decrement Depot at same time we Increment Canam (no Duplication)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keepAlive="1" name="Query - CV_INVENTORY_AGING_View" description="Connection to the 'CV_INVENTORY_AGING_View' query in the workbook." type="5" refreshedVersion="6" background="1" saveData="1">
    <dbPr connection="Provider=Microsoft.Mashup.OleDb.1;Data Source=$Workbook$;Location=CV_INVENTORY_AGING_View;Extended Properties=&quot;&quot;" command="SELECT * FROM [CV_INVENTORY_AGING_Vie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<sst xmlns="http://schemas.openxmlformats.org/spreadsheetml/2006/main" count="614" uniqueCount="231">
  <si>
    <t>Route</t>
  </si>
  <si>
    <t>Route Description</t>
  </si>
  <si>
    <t>U00714</t>
  </si>
  <si>
    <t>T-1327-MD-POINT OF ROCKS</t>
  </si>
  <si>
    <t>U01506</t>
  </si>
  <si>
    <t>T-1330-MD-POINT OF ROCKS</t>
  </si>
  <si>
    <t>U04684</t>
  </si>
  <si>
    <t>T-1301-MD-POINT OF ROCKS</t>
  </si>
  <si>
    <t>U04685</t>
  </si>
  <si>
    <t>T-1323-MD-POINT OF ROCKS</t>
  </si>
  <si>
    <t>U04686</t>
  </si>
  <si>
    <t>T-1321-MD-POINT OF ROCKS</t>
  </si>
  <si>
    <t>U04687</t>
  </si>
  <si>
    <t>T-1333-MD-POINT OF ROCKS</t>
  </si>
  <si>
    <t>U04688</t>
  </si>
  <si>
    <t>T-4752-MD-POINT OF ROCKS</t>
  </si>
  <si>
    <t>U04689</t>
  </si>
  <si>
    <t>T-1332-MD-POINT OF ROCKS</t>
  </si>
  <si>
    <t>U04690</t>
  </si>
  <si>
    <t>T-1302-MD-POINT OF ROCKS</t>
  </si>
  <si>
    <t>U04691</t>
  </si>
  <si>
    <t>T-1334-MD-POINT OF ROCKS</t>
  </si>
  <si>
    <t>U10517</t>
  </si>
  <si>
    <t>T-2789-MD-POINT OF ROCKS</t>
  </si>
  <si>
    <t>U53213</t>
  </si>
  <si>
    <t>T-4751-MD-POINT OF ROCKS</t>
  </si>
  <si>
    <t>UM0118</t>
  </si>
  <si>
    <t>M-1333-MD-POINT OF ROCKS-CSXT</t>
  </si>
  <si>
    <t>UM0119</t>
  </si>
  <si>
    <t>M-1323-MD-POINT OF ROCKS-CSXT</t>
  </si>
  <si>
    <t>UM0123</t>
  </si>
  <si>
    <t>M-1302-MD-POINT OF ROCKS-CSXT</t>
  </si>
  <si>
    <t>UM0144</t>
  </si>
  <si>
    <t>M-1321-MD-POINT OF ROCKS-CSX</t>
  </si>
  <si>
    <t>UR0622</t>
  </si>
  <si>
    <t>R-1322-MD-POINT OF ROCKS-CSXT</t>
  </si>
  <si>
    <t>UR0713</t>
  </si>
  <si>
    <t>R-1323-MD-POINT OF ROCKS-CSXT</t>
  </si>
  <si>
    <t>UR0760</t>
  </si>
  <si>
    <t>R-1321-MD-POINT OF ROCKS-CSXT</t>
  </si>
  <si>
    <t>UR0802</t>
  </si>
  <si>
    <t>R-1333-MD-POINT OF ROCKS-CSXT</t>
  </si>
  <si>
    <t>UR1145</t>
  </si>
  <si>
    <t>R-1302-MD-POINT OF ROCKS-CSXT</t>
  </si>
  <si>
    <t>UR1402</t>
  </si>
  <si>
    <t>R-1330-MD-POINT OF ROCKS-CSXT</t>
  </si>
  <si>
    <t>Date</t>
  </si>
  <si>
    <t>Month</t>
  </si>
  <si>
    <t>Year</t>
  </si>
  <si>
    <t>MM/YYYY</t>
  </si>
  <si>
    <t>Month Number</t>
  </si>
  <si>
    <t>Day</t>
  </si>
  <si>
    <t>Week Day</t>
  </si>
  <si>
    <t>Forecast</t>
  </si>
  <si>
    <t>SKU</t>
  </si>
  <si>
    <t>Description</t>
  </si>
  <si>
    <t>Weekdays</t>
  </si>
  <si>
    <t>Daily Forecast</t>
  </si>
  <si>
    <t>L 1 1/2X1 1/2X.155 A529-50 40'00"</t>
  </si>
  <si>
    <t>M0</t>
  </si>
  <si>
    <t>L 2 1/2X2 1/2X1/4 GGMULTI 50'00"</t>
  </si>
  <si>
    <t>L 2X2X.145 A529-50 50'00"</t>
  </si>
  <si>
    <t>L 2X2X.186 A529-50 50'00"</t>
  </si>
  <si>
    <t>L 2X2X.216 A529-50 50'00"</t>
  </si>
  <si>
    <t>L 2X2X.247 A529-50 50'00"</t>
  </si>
  <si>
    <t>L 3X3X1/4 GGMULTI 50'00"</t>
  </si>
  <si>
    <t>L 4X4X1/2 GGMULTI 50'00"</t>
  </si>
  <si>
    <t>L 5X5X1/2 GGMULTI 50'00"</t>
  </si>
  <si>
    <t>M1</t>
  </si>
  <si>
    <t>M2</t>
  </si>
  <si>
    <t>M3</t>
  </si>
  <si>
    <t>M4</t>
  </si>
  <si>
    <t>M5</t>
  </si>
  <si>
    <t>Field</t>
  </si>
  <si>
    <t>Safety Stock</t>
  </si>
  <si>
    <t>DATE</t>
  </si>
  <si>
    <t>MINIMUM</t>
  </si>
  <si>
    <t>M0 = Current Month</t>
  </si>
  <si>
    <t>Ship To</t>
  </si>
  <si>
    <t>Product Description (including length)</t>
  </si>
  <si>
    <t>Gerdau SKU</t>
  </si>
  <si>
    <t>Gerdau Description</t>
  </si>
  <si>
    <t>Source Mill</t>
  </si>
  <si>
    <t>Safety Stock (Tons)</t>
  </si>
  <si>
    <t>Max Qty (Tons)</t>
  </si>
  <si>
    <t>Canam Inv Stock On Hand (Tons)</t>
  </si>
  <si>
    <t>M0 FC</t>
  </si>
  <si>
    <t>M1 FC</t>
  </si>
  <si>
    <t>M2 FC</t>
  </si>
  <si>
    <t>M3 FC</t>
  </si>
  <si>
    <t>M4 FC</t>
  </si>
  <si>
    <t>M5 FC</t>
  </si>
  <si>
    <t>proposed rolling for 3 month coverage and to ship</t>
  </si>
  <si>
    <t>DEPOT INV</t>
  </si>
  <si>
    <t>Mill Inv</t>
  </si>
  <si>
    <t>TRN to Depot</t>
  </si>
  <si>
    <t>TRN to Canam</t>
  </si>
  <si>
    <t>Mill</t>
  </si>
  <si>
    <t>Block</t>
  </si>
  <si>
    <t>Daily FC</t>
  </si>
  <si>
    <t>Additional Supply</t>
  </si>
  <si>
    <t>Upload INV</t>
  </si>
  <si>
    <t>Upload Inv Lbs</t>
  </si>
  <si>
    <t>Additional Supply Gerdau</t>
  </si>
  <si>
    <t>Additional Supply Canam</t>
  </si>
  <si>
    <t>POR - TRANSLOAD</t>
  </si>
  <si>
    <t>1 1/2 X 1 1/2 X .155 X 40-00</t>
  </si>
  <si>
    <t>Charlotte</t>
  </si>
  <si>
    <t>1-1/2" ANG</t>
  </si>
  <si>
    <t>2 1/2 X 2 1/2 X 1/4 X 50-00</t>
  </si>
  <si>
    <t>JTN / WIL</t>
  </si>
  <si>
    <t>2-1/2" ANG</t>
  </si>
  <si>
    <t>2 X 2 X .145 X 50-00</t>
  </si>
  <si>
    <t>2" ANG</t>
  </si>
  <si>
    <t>2 X 2 X .186 X 50-00</t>
  </si>
  <si>
    <t>2 X 2 X .216 X 50-00</t>
  </si>
  <si>
    <t>2 X 2 X .247 X 50-00</t>
  </si>
  <si>
    <t>3 X 3 X 1/4 X 50-00</t>
  </si>
  <si>
    <t>3" ANG</t>
  </si>
  <si>
    <t>4 X 4 X 1/2 X 50-00</t>
  </si>
  <si>
    <t>JTN</t>
  </si>
  <si>
    <t>4" ANG</t>
  </si>
  <si>
    <t>5 X 5 X 1/2 X 50-00</t>
  </si>
  <si>
    <t>Cartersville</t>
  </si>
  <si>
    <t>5" ANG</t>
  </si>
  <si>
    <t>Depot</t>
  </si>
  <si>
    <t>Locaton</t>
  </si>
  <si>
    <t>Warehouse</t>
  </si>
  <si>
    <t>POR</t>
  </si>
  <si>
    <t>UPR</t>
  </si>
  <si>
    <t>L 2 1/2 x 2 1/2 x 1/4</t>
  </si>
  <si>
    <t>20'00"</t>
  </si>
  <si>
    <t>JAX</t>
  </si>
  <si>
    <t>UJX</t>
  </si>
  <si>
    <t>40'00"</t>
  </si>
  <si>
    <t>WASHMO</t>
  </si>
  <si>
    <t>UWS</t>
  </si>
  <si>
    <t>50'00"</t>
  </si>
  <si>
    <t>AZ</t>
  </si>
  <si>
    <t>UAZ</t>
  </si>
  <si>
    <t>60'00"</t>
  </si>
  <si>
    <t>Shipments to the Depot</t>
  </si>
  <si>
    <t>Sold To</t>
  </si>
  <si>
    <t>Truck</t>
  </si>
  <si>
    <t>Rail</t>
  </si>
  <si>
    <t>Mill to POR</t>
  </si>
  <si>
    <t>DEPOT to POR</t>
  </si>
  <si>
    <t>POR - TRUCK</t>
  </si>
  <si>
    <t>Net 75 (original) - Not Used for POR</t>
  </si>
  <si>
    <t>Weeks Left</t>
  </si>
  <si>
    <t>Weeks in Month</t>
  </si>
  <si>
    <t>Total</t>
  </si>
  <si>
    <t>Tarp Trucks from November 1 untill told to stop tarping</t>
  </si>
  <si>
    <t>Covered Gondolas from November 1 untill told to stop tarping</t>
  </si>
  <si>
    <t>Can we combine Consignment / Non-Consignment Material on the same vehicle?</t>
  </si>
  <si>
    <t>Should we combine them?  We would need to rely on the Transloader to keep it separate</t>
  </si>
  <si>
    <t>Should we ship light rail cars if we don't have accumulation, or should we ship truck?</t>
  </si>
  <si>
    <t>Should we ship light Trucks, or wait for accumulation?</t>
  </si>
  <si>
    <t>Key</t>
  </si>
  <si>
    <t>Week day</t>
  </si>
  <si>
    <t>Monday Date</t>
  </si>
  <si>
    <t>Monday Day</t>
  </si>
  <si>
    <t>Lead Days</t>
  </si>
  <si>
    <t>Depot Date</t>
  </si>
  <si>
    <t>Cycle</t>
  </si>
  <si>
    <t>Monday Days</t>
  </si>
  <si>
    <t>Rolling</t>
  </si>
  <si>
    <t>GG SKU</t>
  </si>
  <si>
    <t>Source</t>
  </si>
  <si>
    <t>Close Date</t>
  </si>
  <si>
    <t>Roll Date</t>
  </si>
  <si>
    <t>Production (Tons)</t>
  </si>
  <si>
    <t>Production</t>
  </si>
  <si>
    <t>Shipment Method</t>
  </si>
  <si>
    <t>F</t>
  </si>
  <si>
    <t>96 50'00 from Charlotte, 48 40'00" from Wilton</t>
  </si>
  <si>
    <t>Ship 48 Tons from Wilton by Truck to Depot</t>
  </si>
  <si>
    <t>Ship 2 trucks off rolling to Depot, balance to Depot by Rail</t>
  </si>
  <si>
    <t>Ship 6 trucks off rolling to Depot, balance to Depot by Rail</t>
  </si>
  <si>
    <t>Ship 6 trucks to Depot, balance to Depot by Rail</t>
  </si>
  <si>
    <t>Ship 5 trucks off rolling to Depot, balance to Depot by Rail</t>
  </si>
  <si>
    <t>Ship 3 trucks to Depot, balance to Depot by Rail</t>
  </si>
  <si>
    <t>2 Trucks Invoiced direct off of rolling, 243 CONS by Rail to Depot</t>
  </si>
  <si>
    <t>E</t>
  </si>
  <si>
    <t>all by rail</t>
  </si>
  <si>
    <t>Cycle A - 65 tons - PRD 3/20 two trucks off rolling</t>
  </si>
  <si>
    <t>L 2X2X.186 A529-50 40'00"</t>
  </si>
  <si>
    <t>Charlotte Reclassed this from GG which didn't make grade / size - Ship by rail to Depot</t>
  </si>
  <si>
    <t>L 2X2X.247 A529-50 40'00"</t>
  </si>
  <si>
    <t>Recommendation: 358 tons</t>
  </si>
  <si>
    <t>Recommendation: 1 ton</t>
  </si>
  <si>
    <t>Recommendation: 0 ton</t>
  </si>
  <si>
    <t>Recommendation: 186 tons</t>
  </si>
  <si>
    <t>Recommendation: 116 tons</t>
  </si>
  <si>
    <t>Recommendation: 64 tons</t>
  </si>
  <si>
    <t>Recommendation: 46 tons</t>
  </si>
  <si>
    <t>Stock SKU</t>
  </si>
  <si>
    <t>Stock Length</t>
  </si>
  <si>
    <t>Week</t>
  </si>
  <si>
    <t>Initial</t>
  </si>
  <si>
    <t>Header</t>
  </si>
  <si>
    <t>Canam</t>
  </si>
  <si>
    <t>Trn to Depot</t>
  </si>
  <si>
    <t>Trn to Canam</t>
  </si>
  <si>
    <t>Inventory</t>
  </si>
  <si>
    <t>Shipments</t>
  </si>
  <si>
    <t>Production Week</t>
  </si>
  <si>
    <t>Production Calculation</t>
  </si>
  <si>
    <t>Production from another Mill / SKU</t>
  </si>
  <si>
    <t>Projected Stock</t>
  </si>
  <si>
    <t>Totals</t>
  </si>
  <si>
    <t>Safety Stock Days</t>
  </si>
  <si>
    <t>Add Macros</t>
  </si>
  <si>
    <t>Add Mill Inventory</t>
  </si>
  <si>
    <t>Remove SKU List</t>
  </si>
  <si>
    <t>Month Num</t>
  </si>
  <si>
    <t>Material</t>
  </si>
  <si>
    <t>Plant</t>
  </si>
  <si>
    <t>Stor.</t>
  </si>
  <si>
    <t>Location Maint. status</t>
  </si>
  <si>
    <t>DF stor.loc.lvl Year</t>
  </si>
  <si>
    <t>cur.period Current</t>
  </si>
  <si>
    <t>period Phys. Inv. Blk Unrestricted</t>
  </si>
  <si>
    <t>FP01</t>
  </si>
  <si>
    <t>DL</t>
  </si>
  <si>
    <t>Shipped</t>
  </si>
  <si>
    <t>x</t>
  </si>
  <si>
    <t>WIL</t>
  </si>
  <si>
    <t>106029036 66tons/3 trucks</t>
  </si>
  <si>
    <t xml:space="preserve">106029012 44 tons/2 trucks </t>
  </si>
  <si>
    <t>ship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</si>
</sst>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sz val="11"/>
      <color theme="0" tint="-0.499984740745262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2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164" fontId="0" fillId="0" borderId="0" xfId="42" applyNumberFormat="1" applyFont="1"/>
    <xf numFmtId="0" fontId="0" fillId="34" borderId="10" xfId="0" applyFill="1" applyBorder="1"/>
    <xf numFmtId="14" fontId="0" fillId="34" borderId="10" xfId="0" applyNumberFormat="1" applyFill="1" applyBorder="1" applyAlignment="1">
      <alignment textRotation="90"/>
    </xf>
    <xf numFmtId="0" fontId="0" fillId="0" borderId="0" xfId="0" applyFont="1"/>
    <xf numFmtId="164" fontId="1" fillId="0" borderId="0" xfId="42" applyNumberFormat="1" applyFont="1"/>
    <xf numFmtId="0" fontId="0" fillId="36" borderId="0" xfId="0" applyFont="1" applyFill="1"/>
    <xf numFmtId="164" fontId="0" fillId="36" borderId="0" xfId="42" applyNumberFormat="1" applyFont="1" applyFill="1"/>
    <xf numFmtId="0" fontId="0" fillId="0" borderId="0" xfId="0" applyFill="1"/>
    <xf numFmtId="164" fontId="0" fillId="40" borderId="0" xfId="42" applyNumberFormat="1" applyFont="1" applyFill="1"/>
    <xf numFmtId="164" fontId="0" fillId="34" borderId="10" xfId="42" applyNumberFormat="1" applyFont="1" applyFill="1" applyBorder="1"/>
    <xf numFmtId="0" fontId="0" fillId="35" borderId="0" xfId="0" applyFont="1" applyFill="1" applyAlignment="1">
      <alignment horizontal="left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center" vertical="top"/>
    </xf>
    <xf numFmtId="14" fontId="0" fillId="0" borderId="0" xfId="0" applyNumberFormat="1" applyAlignment="1">
      <alignment vertical="top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20" fillId="35" borderId="11" xfId="0" applyFont="1" applyFill="1" applyBorder="1" applyAlignment="1">
      <alignment horizontal="center" vertical="center"/>
    </xf>
    <xf numFmtId="43" fontId="0" fillId="37" borderId="0" xfId="0" applyNumberFormat="1" applyFill="1"/>
    <xf numFmtId="0" fontId="19" fillId="42" borderId="0" xfId="0" applyFont="1" applyFill="1" applyBorder="1"/>
    <xf numFmtId="14" fontId="0" fillId="35" borderId="0" xfId="42" applyNumberFormat="1" applyFont="1" applyFill="1"/>
    <xf numFmtId="14" fontId="0" fillId="0" borderId="0" xfId="42" applyNumberFormat="1" applyFont="1"/>
    <xf numFmtId="0" fontId="0" fillId="0" borderId="13" xfId="0" applyFill="1" applyBorder="1"/>
    <xf numFmtId="0" fontId="0" fillId="0" borderId="0" xfId="0" applyFill="1" applyBorder="1"/>
    <xf numFmtId="0" fontId="0" fillId="0" borderId="0" xfId="0" applyFont="1" applyFill="1" applyBorder="1"/>
    <xf numFmtId="0" fontId="0" fillId="44" borderId="0" xfId="0" applyFill="1"/>
    <xf numFmtId="0" fontId="0" fillId="44" borderId="0" xfId="0" applyFill="1" applyBorder="1"/>
    <xf numFmtId="14" fontId="0" fillId="44" borderId="0" xfId="0" applyNumberFormat="1" applyFill="1"/>
    <xf numFmtId="0" fontId="0" fillId="38" borderId="0" xfId="0" applyFill="1"/>
    <xf numFmtId="14" fontId="0" fillId="38" borderId="0" xfId="0" applyNumberFormat="1" applyFill="1"/>
    <xf numFmtId="14" fontId="0" fillId="44" borderId="0" xfId="42" applyNumberFormat="1" applyFont="1" applyFill="1"/>
    <xf numFmtId="0" fontId="0" fillId="0" borderId="11" xfId="0" applyFill="1" applyBorder="1"/>
    <xf numFmtId="0" fontId="0" fillId="0" borderId="11" xfId="0" applyFill="1" applyBorder="1" applyAlignment="1">
      <alignment horizontal="center"/>
    </xf>
    <xf numFmtId="0" fontId="0" fillId="45" borderId="11" xfId="0" applyFill="1" applyBorder="1"/>
    <xf numFmtId="0" fontId="0" fillId="45" borderId="0" xfId="0" applyFont="1" applyFill="1"/>
    <xf numFmtId="164" fontId="0" fillId="46" borderId="0" xfId="42" applyNumberFormat="1" applyFont="1" applyFill="1"/>
    <xf numFmtId="164" fontId="22" fillId="47" borderId="0" xfId="42" applyNumberFormat="1" applyFont="1" applyFill="1"/>
    <xf numFmtId="164" fontId="22" fillId="0" borderId="0" xfId="42" applyNumberFormat="1" applyFont="1"/>
    <xf numFmtId="0" fontId="0" fillId="0" borderId="0" xfId="0" applyNumberFormat="1" applyFill="1"/>
    <xf numFmtId="0" fontId="0" fillId="0" borderId="14" xfId="0" applyBorder="1"/>
    <xf numFmtId="0" fontId="13" fillId="41" borderId="12" xfId="0" applyFont="1" applyFill="1" applyBorder="1" applyAlignment="1">
      <alignment wrapText="1"/>
    </xf>
    <xf numFmtId="0" fontId="0" fillId="0" borderId="11" xfId="0" applyNumberFormat="1" applyFill="1" applyBorder="1"/>
    <xf numFmtId="164" fontId="0" fillId="36" borderId="0" xfId="42" applyNumberFormat="1" applyFont="1" applyFill="1" applyAlignment="1">
      <alignment wrapText="1"/>
    </xf>
    <xf numFmtId="14" fontId="0" fillId="39" borderId="10" xfId="0" applyNumberFormat="1" applyFill="1" applyBorder="1" applyAlignment="1">
      <alignment vertical="center" textRotation="90"/>
    </xf>
    <xf numFmtId="14" fontId="0" fillId="34" borderId="10" xfId="0" applyNumberFormat="1" applyFill="1" applyBorder="1" applyAlignment="1">
      <alignment vertical="center" textRotation="90"/>
    </xf>
    <xf numFmtId="164" fontId="19" fillId="42" borderId="0" xfId="42" applyNumberFormat="1" applyFont="1" applyFill="1" applyBorder="1"/>
    <xf numFmtId="0" fontId="0" fillId="0" borderId="14" xfId="0" applyFill="1" applyBorder="1"/>
    <xf numFmtId="43" fontId="0" fillId="0" borderId="11" xfId="42" applyFont="1" applyBorder="1"/>
    <xf numFmtId="164" fontId="0" fillId="0" borderId="0" xfId="0" applyNumberFormat="1"/>
    <xf numFmtId="0" fontId="0" fillId="34" borderId="0" xfId="0" applyFill="1"/>
    <xf numFmtId="14" fontId="0" fillId="34" borderId="0" xfId="0" applyNumberFormat="1" applyFill="1"/>
    <xf numFmtId="0" fontId="0" fillId="0" borderId="0" xfId="0"/>
    <xf numFmtId="0" fontId="18" fillId="0" borderId="0" xfId="0" applyFont="1" applyFill="1" applyBorder="1"/>
    <xf numFmtId="0" fontId="18" fillId="35" borderId="0" xfId="0" applyFont="1" applyFill="1" applyBorder="1"/>
    <xf numFmtId="0" fontId="0" fillId="35" borderId="0" xfId="0" applyFill="1"/>
    <xf numFmtId="164" fontId="18" fillId="35" borderId="0" xfId="42" applyNumberFormat="1" applyFont="1" applyFill="1" applyBorder="1"/>
    <xf numFmtId="14" fontId="0" fillId="35" borderId="0" xfId="0" applyNumberFormat="1" applyFill="1"/>
    <xf numFmtId="14" fontId="18" fillId="35" borderId="0" xfId="0" applyNumberFormat="1" applyFont="1" applyFill="1" applyBorder="1"/>
    <xf numFmtId="0" fontId="0" fillId="39" borderId="11" xfId="0" applyFill="1" applyBorder="1"/>
    <xf numFmtId="0" fontId="24" fillId="39" borderId="0" xfId="0" applyFont="1" applyFill="1" applyBorder="1"/>
    <xf numFmtId="0" fontId="20" fillId="0" borderId="11" xfId="0" applyFont="1" applyFill="1" applyBorder="1" applyAlignment="1">
      <alignment horizontal="center" vertical="center"/>
    </xf>
    <xf numFmtId="0" fontId="0" fillId="0" borderId="0" xfId="0"/>
    <xf numFmtId="14" fontId="0" fillId="0" borderId="0" xfId="0" applyNumberFormat="1"/>
    <xf numFmtId="0" fontId="0" fillId="43" borderId="11" xfId="0" applyFill="1" applyBorder="1"/>
    <xf numFmtId="14" fontId="18" fillId="0" borderId="0" xfId="0" applyNumberFormat="1" applyFont="1" applyFill="1" applyBorder="1"/>
    <xf numFmtId="43" fontId="0" fillId="33" borderId="0" xfId="0" applyNumberFormat="1" applyFill="1"/>
    <xf numFmtId="1" fontId="0" fillId="43" borderId="11" xfId="0" applyNumberFormat="1" applyFill="1" applyBorder="1"/>
    <xf numFmtId="164" fontId="0" fillId="33" borderId="0" xfId="42" applyNumberFormat="1" applyFont="1" applyFill="1"/>
    <xf numFmtId="0" fontId="16" fillId="0" borderId="0" xfId="0" applyFont="1"/>
    <xf numFmtId="0" fontId="18" fillId="48" borderId="0" xfId="0" applyFont="1" applyFill="1" applyBorder="1"/>
    <xf numFmtId="14" fontId="18" fillId="48" borderId="0" xfId="0" applyNumberFormat="1" applyFont="1" applyFill="1" applyBorder="1"/>
    <xf numFmtId="0" fontId="16" fillId="48" borderId="0" xfId="0" applyFont="1" applyFill="1"/>
    <xf numFmtId="164" fontId="16" fillId="48" borderId="0" xfId="42" applyNumberFormat="1" applyFont="1" applyFill="1"/>
    <xf numFmtId="14" fontId="16" fillId="0" borderId="0" xfId="0" applyNumberFormat="1" applyFont="1"/>
    <xf numFmtId="0" fontId="0" fillId="49" borderId="11" xfId="0" applyFill="1" applyBorder="1"/>
    <xf numFmtId="0" fontId="0" fillId="50" borderId="0" xfId="0" applyFill="1"/>
    <xf numFmtId="0" fontId="0" fillId="43" borderId="0" xfId="0" applyFill="1" applyBorder="1"/>
    <xf numFmtId="0" fontId="20" fillId="35" borderId="0" xfId="0" applyFont="1" applyFill="1" applyBorder="1" applyAlignment="1">
      <alignment horizontal="center" vertical="center"/>
    </xf>
    <xf numFmtId="0" fontId="0" fillId="39" borderId="0" xfId="0" applyFill="1"/>
    <xf numFmtId="0" fontId="0" fillId="0" borderId="15" xfId="0" applyFill="1" applyBorder="1"/>
    <xf numFmtId="0" fontId="16" fillId="40" borderId="11" xfId="0" applyFont="1" applyFill="1" applyBorder="1"/>
    <xf numFmtId="0" fontId="16" fillId="40" borderId="12" xfId="0" applyFont="1" applyFill="1" applyBorder="1"/>
    <xf numFmtId="1" fontId="0" fillId="0" borderId="0" xfId="0" applyNumberFormat="1"/>
    <xf numFmtId="164" fontId="0" fillId="0" borderId="11" xfId="42" applyNumberFormat="1" applyFont="1" applyBorder="1"/>
    <xf numFmtId="0" fontId="0" fillId="0" borderId="12" xfId="0" applyFill="1" applyBorder="1"/>
    <xf numFmtId="0" fontId="0" fillId="33" borderId="11" xfId="0" applyFill="1" applyBorder="1"/>
    <xf numFmtId="9" fontId="0" fillId="0" borderId="11" xfId="0" applyNumberFormat="1" applyBorder="1"/>
    <xf numFmtId="9" fontId="0" fillId="45" borderId="11" xfId="0" applyNumberFormat="1" applyFill="1" applyBorder="1"/>
    <xf numFmtId="164" fontId="16" fillId="0" borderId="0" xfId="42" applyNumberFormat="1" applyFont="1"/>
    <xf numFmtId="43" fontId="0" fillId="0" borderId="0" xfId="42" applyFont="1" applyBorder="1"/>
    <xf numFmtId="0" fontId="25" fillId="51" borderId="11" xfId="0" applyFont="1" applyFill="1" applyBorder="1" applyAlignment="1">
      <alignment horizontal="center" vertical="center"/>
    </xf>
    <xf numFmtId="0" fontId="0" fillId="0" borderId="11" xfId="0" applyBorder="1"/>
    <xf numFmtId="4" fontId="0" fillId="0" borderId="0" xfId="0" applyNumberFormat="1"/>
    <xf numFmtId="164" fontId="0" fillId="33" borderId="11" xfId="42" applyNumberFormat="1" applyFont="1" applyFill="1" applyBorder="1"/>
    <xf numFmtId="164" fontId="0" fillId="0" borderId="11" xfId="42" applyNumberFormat="1" applyFont="1" applyFill="1" applyBorder="1"/>
    <xf numFmtId="0" fontId="0" fillId="0" borderId="0" xfId="0"/>
    <xf numFmtId="0" fontId="0" fillId="53" borderId="11" xfId="0" applyFill="1" applyBorder="1"/>
    <xf numFmtId="0" fontId="0" fillId="53" borderId="11" xfId="0" applyFont="1" applyFill="1" applyBorder="1"/>
    <xf numFmtId="0" fontId="0" fillId="53" borderId="11" xfId="0" applyFont="1" applyFill="1" applyBorder="1" applyAlignment="1">
      <alignment horizontal="center"/>
    </xf>
    <xf numFmtId="9" fontId="0" fillId="0" borderId="11" xfId="43" applyFont="1" applyFill="1" applyBorder="1"/>
    <xf numFmtId="0" fontId="25" fillId="51" borderId="11" xfId="0" applyFont="1" applyFill="1" applyBorder="1"/>
    <xf numFmtId="0" fontId="0" fillId="0" borderId="11" xfId="0" applyBorder="1"/>
    <xf numFmtId="14" fontId="0" fillId="0" borderId="0" xfId="0" applyNumberFormat="1"/>
    <xf numFmtId="0" fontId="25" fillId="0" borderId="0" xfId="0" applyFont="1" applyAlignment="1">
      <alignment vertical="center"/>
    </xf>
    <xf numFmtId="14" fontId="0" fillId="0" borderId="0" xfId="42" applyNumberFormat="1" applyFont="1" applyFill="1"/>
    <xf numFmtId="0" fontId="25" fillId="51" borderId="11" xfId="0" applyFont="1" applyFill="1" applyBorder="1"/>
    <xf numFmtId="0" fontId="25" fillId="43" borderId="11" xfId="0" applyFont="1" applyFill="1" applyBorder="1"/>
    <xf numFmtId="0" fontId="25" fillId="51" borderId="11" xfId="0" applyFont="1" applyFill="1" applyBorder="1"/>
    <xf numFmtId="0" fontId="25" fillId="52" borderId="11" xfId="0" applyFont="1" applyFill="1" applyBorder="1"/>
    <xf numFmtId="0" fontId="25" fillId="43" borderId="11" xfId="0" applyFont="1" applyFill="1" applyBorder="1"/>
    <xf numFmtId="164" fontId="0" fillId="42" borderId="0" xfId="42" applyNumberFormat="1" applyFont="1" applyFill="1" applyAlignment="1">
      <alignment wrapText="1"/>
    </xf>
    <xf numFmtId="164" fontId="0" fillId="42" borderId="0" xfId="42" applyNumberFormat="1" applyFont="1" applyFill="1"/>
    <xf numFmtId="43" fontId="0" fillId="42" borderId="0" xfId="0" applyNumberFormat="1" applyFill="1"/>
    <xf numFmtId="164" fontId="22" fillId="42" borderId="0" xfId="42" applyNumberFormat="1" applyFont="1" applyFill="1"/>
    <xf numFmtId="0" fontId="0" fillId="42" borderId="0" xfId="0" applyFill="1"/>
    <xf numFmtId="14" fontId="0" fillId="42" borderId="10" xfId="0" applyNumberFormat="1" applyFill="1" applyBorder="1" applyAlignment="1">
      <alignment textRotation="90"/>
    </xf>
    <xf numFmtId="43" fontId="0" fillId="40" borderId="0" xfId="0" applyNumberFormat="1" applyFill="1"/>
    <xf numFmtId="164" fontId="22" fillId="40" borderId="0" xfId="42" applyNumberFormat="1" applyFont="1" applyFill="1"/>
    <xf numFmtId="0" fontId="0" fillId="40" borderId="0" xfId="0" applyFill="1"/>
    <xf numFmtId="14" fontId="0" fillId="40" borderId="10" xfId="0" applyNumberFormat="1" applyFill="1" applyBorder="1" applyAlignment="1">
      <alignment textRotation="90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microsoft.com/office/2006/relationships/vbaProject" Target="vbaProject.bin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1.png@01D5A325.B6B7966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121686</xdr:colOff>
      <xdr:row>0</xdr:row>
      <xdr:rowOff>16826</xdr:rowOff>
    </xdr:from>
    <xdr:to>
      <xdr:col>16</xdr:col>
      <xdr:colOff>377227</xdr:colOff>
      <xdr:row>0</xdr:row>
      <xdr:rowOff>719753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F24A6-7FFF-42F1-A3CA-7ACF273A6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26411" y="16826"/>
          <a:ext cx="2514871" cy="685782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0</xdr:row>
      <xdr:rowOff>152400</xdr:rowOff>
    </xdr:from>
    <xdr:to>
      <xdr:col>2</xdr:col>
      <xdr:colOff>292100</xdr:colOff>
      <xdr:row>0</xdr:row>
      <xdr:rowOff>611032</xdr:rowOff>
    </xdr:to>
    <xdr:pic>
      <xdr:nvPicPr>
        <xdr:cNvPr id="3" name="Picture 2" descr="cid:image001.png@01D5A325.B6B79660">
          <a:extLst>
            <a:ext uri="{FF2B5EF4-FFF2-40B4-BE49-F238E27FC236}">
              <a16:creationId xmlns:a16="http://schemas.microsoft.com/office/drawing/2014/main" id="{63AE1883-C0F3-442C-98EA-D7B4AACD2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52400"/>
          <a:ext cx="2362200" cy="458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shley Shiver" id="{104BF5DD-C84E-4986-AFC0-C0198FADCE84}" userId="S::ashley.davidson1@gerdau.com::2c600e9a-db86-4cca-8057-ecd51b03be8f" providerId="AD"/>
  <person displayName="Gregory Bieterman" id="{F6073A6F-BA8B-442D-AF80-0D1651ACA2ED}" userId="S::Gregory.Bieterman@gerdau.com::fa6721d5-52ca-4b96-b950-44d96fb98cc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10" dT="2020-04-07T12:08:56.54" personId="{104BF5DD-C84E-4986-AFC0-C0198FADCE84}" id="{031F1818-293A-47F5-A76B-8C1690832E44}">
    <text>106028702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5" dT="2020-02-12T14:42:57.22" personId="{104BF5DD-C84E-4986-AFC0-C0198FADCE84}" id="{401A6EDF-37BC-4DD8-83B4-F994C370BB65}">
    <text>Updated 2/12</text>
  </threadedComment>
  <threadedComment ref="K13" dT="2020-03-06T15:51:24.60" personId="{F6073A6F-BA8B-442D-AF80-0D1651ACA2ED}" id="{B994F45D-084B-4B94-AA61-7FBA93155671}">
    <text>Waiting on SKU Extension
SO Entered: 8737081</text>
  </threadedComment>
  <threadedComment ref="K14" dT="2020-03-06T15:51:24.60" personId="{F6073A6F-BA8B-442D-AF80-0D1651ACA2ED}" id="{E83E8715-E720-4BA8-9876-28993D652A19}">
    <text>Waiting on SKU Extension
SO Entered: 8737081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6DE9-4AE9-4FFA-A9E6-50F2D2C4DD7C}">
  <dimension ref="A1:B23"/>
  <sheetViews>
    <sheetView workbookViewId="0">
      <selection activeCell="D33" sqref="D33"/>
    </sheetView>
  </sheetViews>
  <sheetFormatPr defaultRowHeight="14.4" x14ac:dyDescent="0.3"/>
  <cols>
    <col min="2" max="2" width="46.33203125" customWidth="1"/>
  </cols>
  <sheetData>
    <row r="1" spans="1:2" s="62" customFormat="1" x14ac:dyDescent="0.3">
      <c r="A1" s="96" t="s">
        <v>0</v>
      </c>
      <c r="B1" s="96" t="s">
        <v>1</v>
      </c>
    </row>
    <row r="2" spans="1:2" x14ac:dyDescent="0.3">
      <c r="A2" s="96" t="s">
        <v>2</v>
      </c>
      <c r="B2" s="96" t="s">
        <v>3</v>
      </c>
    </row>
    <row r="3" spans="1:2" x14ac:dyDescent="0.3">
      <c r="A3" s="96" t="s">
        <v>4</v>
      </c>
      <c r="B3" s="96" t="s">
        <v>5</v>
      </c>
    </row>
    <row r="4" spans="1:2" x14ac:dyDescent="0.3">
      <c r="A4" s="96" t="s">
        <v>6</v>
      </c>
      <c r="B4" s="96" t="s">
        <v>7</v>
      </c>
    </row>
    <row r="5" spans="1:2" x14ac:dyDescent="0.3">
      <c r="A5" s="96" t="s">
        <v>8</v>
      </c>
      <c r="B5" s="96" t="s">
        <v>9</v>
      </c>
    </row>
    <row r="6" spans="1:2" x14ac:dyDescent="0.3">
      <c r="A6" s="96" t="s">
        <v>10</v>
      </c>
      <c r="B6" s="96" t="s">
        <v>11</v>
      </c>
    </row>
    <row r="7" spans="1:2" x14ac:dyDescent="0.3">
      <c r="A7" s="96" t="s">
        <v>12</v>
      </c>
      <c r="B7" s="96" t="s">
        <v>13</v>
      </c>
    </row>
    <row r="8" spans="1:2" x14ac:dyDescent="0.3">
      <c r="A8" s="96" t="s">
        <v>14</v>
      </c>
      <c r="B8" s="96" t="s">
        <v>15</v>
      </c>
    </row>
    <row r="9" spans="1:2" x14ac:dyDescent="0.3">
      <c r="A9" s="96" t="s">
        <v>16</v>
      </c>
      <c r="B9" s="96" t="s">
        <v>17</v>
      </c>
    </row>
    <row r="10" spans="1:2" x14ac:dyDescent="0.3">
      <c r="A10" s="96" t="s">
        <v>18</v>
      </c>
      <c r="B10" s="96" t="s">
        <v>19</v>
      </c>
    </row>
    <row r="11" spans="1:2" x14ac:dyDescent="0.3">
      <c r="A11" s="96" t="s">
        <v>20</v>
      </c>
      <c r="B11" s="96" t="s">
        <v>21</v>
      </c>
    </row>
    <row r="12" spans="1:2" x14ac:dyDescent="0.3">
      <c r="A12" s="96" t="s">
        <v>22</v>
      </c>
      <c r="B12" s="96" t="s">
        <v>23</v>
      </c>
    </row>
    <row r="13" spans="1:2" x14ac:dyDescent="0.3">
      <c r="A13" s="96" t="s">
        <v>24</v>
      </c>
      <c r="B13" s="96" t="s">
        <v>25</v>
      </c>
    </row>
    <row r="14" spans="1:2" x14ac:dyDescent="0.3">
      <c r="A14" s="96" t="s">
        <v>26</v>
      </c>
      <c r="B14" s="96" t="s">
        <v>27</v>
      </c>
    </row>
    <row r="15" spans="1:2" x14ac:dyDescent="0.3">
      <c r="A15" s="96" t="s">
        <v>28</v>
      </c>
      <c r="B15" s="96" t="s">
        <v>29</v>
      </c>
    </row>
    <row r="16" spans="1:2" x14ac:dyDescent="0.3">
      <c r="A16" s="96" t="s">
        <v>30</v>
      </c>
      <c r="B16" s="96" t="s">
        <v>31</v>
      </c>
    </row>
    <row r="17" spans="1:2" x14ac:dyDescent="0.3">
      <c r="A17" s="96" t="s">
        <v>32</v>
      </c>
      <c r="B17" s="96" t="s">
        <v>33</v>
      </c>
    </row>
    <row r="18" spans="1:2" x14ac:dyDescent="0.3">
      <c r="A18" s="96" t="s">
        <v>34</v>
      </c>
      <c r="B18" s="96" t="s">
        <v>35</v>
      </c>
    </row>
    <row r="19" spans="1:2" x14ac:dyDescent="0.3">
      <c r="A19" s="96" t="s">
        <v>36</v>
      </c>
      <c r="B19" s="96" t="s">
        <v>37</v>
      </c>
    </row>
    <row r="20" spans="1:2" x14ac:dyDescent="0.3">
      <c r="A20" s="96" t="s">
        <v>38</v>
      </c>
      <c r="B20" s="96" t="s">
        <v>39</v>
      </c>
    </row>
    <row r="21" spans="1:2" x14ac:dyDescent="0.3">
      <c r="A21" s="96" t="s">
        <v>40</v>
      </c>
      <c r="B21" s="96" t="s">
        <v>41</v>
      </c>
    </row>
    <row r="22" spans="1:2" x14ac:dyDescent="0.3">
      <c r="A22" s="96" t="s">
        <v>42</v>
      </c>
      <c r="B22" s="96" t="s">
        <v>43</v>
      </c>
    </row>
    <row r="23" spans="1:2" x14ac:dyDescent="0.3">
      <c r="A23" s="96" t="s">
        <v>44</v>
      </c>
      <c r="B23" s="9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2AF9-D784-4A7F-BF37-FA05DC2F61B4}">
  <dimension ref="A1:H772"/>
  <sheetViews>
    <sheetView workbookViewId="0">
      <selection activeCell="H2" sqref="H2"/>
    </sheetView>
  </sheetViews>
  <sheetFormatPr defaultRowHeight="14.4" x14ac:dyDescent="0.3"/>
  <cols>
    <col min="1" max="1" width="10.5546875" customWidth="1"/>
    <col min="4" max="4" width="8.88671875" style="62"/>
  </cols>
  <sheetData>
    <row r="1" spans="1:8" x14ac:dyDescent="0.3">
      <c r="A1" s="50" t="s">
        <v>46</v>
      </c>
      <c r="B1" s="50" t="s">
        <v>47</v>
      </c>
      <c r="C1" s="50" t="s">
        <v>48</v>
      </c>
      <c r="D1" s="50" t="s">
        <v>49</v>
      </c>
      <c r="E1" s="50" t="s">
        <v>50</v>
      </c>
      <c r="F1" s="50" t="s">
        <v>51</v>
      </c>
      <c r="G1" s="50" t="s">
        <v>52</v>
      </c>
      <c r="H1" s="50" t="s">
        <v>53</v>
      </c>
    </row>
    <row r="2" spans="1:8" x14ac:dyDescent="0.3">
      <c r="A2" s="63">
        <v>43831</v>
      </c>
      <c r="B2" s="96">
        <f>MONTH(A2)</f>
        <v>1</v>
      </c>
      <c r="C2" s="96">
        <f>YEAR(A2)</f>
        <v>2020</v>
      </c>
      <c r="D2" s="96" t="str">
        <f>CONCATENATE(C2,"/",TEXT(B2,"00"))</f>
        <v>2020/01</v>
      </c>
      <c r="E2" s="96" t="str">
        <f ca="1">CONCATENATE("M",B2-MONTH(TODAY())+12*(YEAR(TODAY())-C2))</f>
        <v>M-3</v>
      </c>
      <c r="F2" s="96" t="str">
        <f>TEXT(A2,"ddd")</f>
        <v>Wed</v>
      </c>
      <c r="G2" s="96">
        <f>IF(LEFT(F2,1)="s",0,1)</f>
        <v>1</v>
      </c>
      <c r="H2" s="96"/>
    </row>
    <row r="3" spans="1:8" x14ac:dyDescent="0.3">
      <c r="A3" s="63">
        <f>A2+1</f>
        <v>43832</v>
      </c>
      <c r="B3" s="96">
        <f t="shared" ref="B3:B66" si="0">MONTH(A3)</f>
        <v>1</v>
      </c>
      <c r="C3" s="96">
        <f t="shared" ref="C3:C66" si="1">YEAR(A3)</f>
        <v>2020</v>
      </c>
      <c r="D3" s="96" t="str">
        <f t="shared" ref="D3:D66" si="2">CONCATENATE(C3,"/",TEXT(B3,"00"))</f>
        <v>2020/01</v>
      </c>
      <c r="E3" s="96" t="str">
        <f t="shared" ref="E3:E66" ca="1" si="3">CONCATENATE("M",B3-MONTH(TODAY())+12*(YEAR(TODAY())-C3))</f>
        <v>M-3</v>
      </c>
      <c r="F3" s="96" t="str">
        <f t="shared" ref="F3:F66" si="4">TEXT(A3,"ddd")</f>
        <v>Thu</v>
      </c>
      <c r="G3" s="96">
        <f t="shared" ref="G3:G66" si="5">IF(LEFT(F3,1)="s",0,1)</f>
        <v>1</v>
      </c>
      <c r="H3" s="96"/>
    </row>
    <row r="4" spans="1:8" x14ac:dyDescent="0.3">
      <c r="A4" s="63">
        <f t="shared" ref="A4:A67" si="6">A3+1</f>
        <v>43833</v>
      </c>
      <c r="B4" s="96">
        <f t="shared" si="0"/>
        <v>1</v>
      </c>
      <c r="C4" s="96">
        <f t="shared" si="1"/>
        <v>2020</v>
      </c>
      <c r="D4" s="96" t="str">
        <f t="shared" si="2"/>
        <v>2020/01</v>
      </c>
      <c r="E4" s="96" t="str">
        <f t="shared" ca="1" si="3"/>
        <v>M-3</v>
      </c>
      <c r="F4" s="96" t="str">
        <f t="shared" si="4"/>
        <v>Fri</v>
      </c>
      <c r="G4" s="96">
        <f t="shared" si="5"/>
        <v>1</v>
      </c>
      <c r="H4" s="96"/>
    </row>
    <row r="5" spans="1:8" x14ac:dyDescent="0.3">
      <c r="A5" s="63">
        <f t="shared" si="6"/>
        <v>43834</v>
      </c>
      <c r="B5" s="96">
        <f t="shared" si="0"/>
        <v>1</v>
      </c>
      <c r="C5" s="96">
        <f t="shared" si="1"/>
        <v>2020</v>
      </c>
      <c r="D5" s="96" t="str">
        <f t="shared" si="2"/>
        <v>2020/01</v>
      </c>
      <c r="E5" s="96" t="str">
        <f t="shared" ca="1" si="3"/>
        <v>M-3</v>
      </c>
      <c r="F5" s="96" t="str">
        <f t="shared" si="4"/>
        <v>Sat</v>
      </c>
      <c r="G5" s="96">
        <f t="shared" si="5"/>
        <v>0</v>
      </c>
      <c r="H5" s="96"/>
    </row>
    <row r="6" spans="1:8" x14ac:dyDescent="0.3">
      <c r="A6" s="63">
        <f t="shared" si="6"/>
        <v>43835</v>
      </c>
      <c r="B6" s="96">
        <f t="shared" si="0"/>
        <v>1</v>
      </c>
      <c r="C6" s="96">
        <f t="shared" si="1"/>
        <v>2020</v>
      </c>
      <c r="D6" s="96" t="str">
        <f t="shared" si="2"/>
        <v>2020/01</v>
      </c>
      <c r="E6" s="96" t="str">
        <f t="shared" ca="1" si="3"/>
        <v>M-3</v>
      </c>
      <c r="F6" s="96" t="str">
        <f t="shared" si="4"/>
        <v>Sun</v>
      </c>
      <c r="G6" s="96">
        <f t="shared" si="5"/>
        <v>0</v>
      </c>
      <c r="H6" s="96"/>
    </row>
    <row r="7" spans="1:8" x14ac:dyDescent="0.3">
      <c r="A7" s="63">
        <f t="shared" si="6"/>
        <v>43836</v>
      </c>
      <c r="B7" s="96">
        <f t="shared" si="0"/>
        <v>1</v>
      </c>
      <c r="C7" s="96">
        <f t="shared" si="1"/>
        <v>2020</v>
      </c>
      <c r="D7" s="96" t="str">
        <f t="shared" si="2"/>
        <v>2020/01</v>
      </c>
      <c r="E7" s="96" t="str">
        <f t="shared" ca="1" si="3"/>
        <v>M-3</v>
      </c>
      <c r="F7" s="96" t="str">
        <f t="shared" si="4"/>
        <v>Mon</v>
      </c>
      <c r="G7" s="96">
        <f t="shared" si="5"/>
        <v>1</v>
      </c>
      <c r="H7" s="96"/>
    </row>
    <row r="8" spans="1:8" x14ac:dyDescent="0.3">
      <c r="A8" s="63">
        <f t="shared" si="6"/>
        <v>43837</v>
      </c>
      <c r="B8" s="96">
        <f t="shared" si="0"/>
        <v>1</v>
      </c>
      <c r="C8" s="96">
        <f t="shared" si="1"/>
        <v>2020</v>
      </c>
      <c r="D8" s="96" t="str">
        <f t="shared" si="2"/>
        <v>2020/01</v>
      </c>
      <c r="E8" s="96" t="str">
        <f t="shared" ca="1" si="3"/>
        <v>M-3</v>
      </c>
      <c r="F8" s="96" t="str">
        <f t="shared" si="4"/>
        <v>Tue</v>
      </c>
      <c r="G8" s="96">
        <f t="shared" si="5"/>
        <v>1</v>
      </c>
      <c r="H8" s="96"/>
    </row>
    <row r="9" spans="1:8" x14ac:dyDescent="0.3">
      <c r="A9" s="63">
        <f t="shared" si="6"/>
        <v>43838</v>
      </c>
      <c r="B9" s="96">
        <f t="shared" si="0"/>
        <v>1</v>
      </c>
      <c r="C9" s="96">
        <f t="shared" si="1"/>
        <v>2020</v>
      </c>
      <c r="D9" s="96" t="str">
        <f t="shared" si="2"/>
        <v>2020/01</v>
      </c>
      <c r="E9" s="96" t="str">
        <f t="shared" ca="1" si="3"/>
        <v>M-3</v>
      </c>
      <c r="F9" s="96" t="str">
        <f t="shared" si="4"/>
        <v>Wed</v>
      </c>
      <c r="G9" s="96">
        <f t="shared" si="5"/>
        <v>1</v>
      </c>
      <c r="H9" s="96"/>
    </row>
    <row r="10" spans="1:8" x14ac:dyDescent="0.3">
      <c r="A10" s="63">
        <f t="shared" si="6"/>
        <v>43839</v>
      </c>
      <c r="B10" s="96">
        <f t="shared" si="0"/>
        <v>1</v>
      </c>
      <c r="C10" s="96">
        <f t="shared" si="1"/>
        <v>2020</v>
      </c>
      <c r="D10" s="96" t="str">
        <f t="shared" si="2"/>
        <v>2020/01</v>
      </c>
      <c r="E10" s="96" t="str">
        <f t="shared" ca="1" si="3"/>
        <v>M-3</v>
      </c>
      <c r="F10" s="96" t="str">
        <f t="shared" si="4"/>
        <v>Thu</v>
      </c>
      <c r="G10" s="96">
        <f t="shared" si="5"/>
        <v>1</v>
      </c>
      <c r="H10" s="96"/>
    </row>
    <row r="11" spans="1:8" x14ac:dyDescent="0.3">
      <c r="A11" s="63">
        <f t="shared" si="6"/>
        <v>43840</v>
      </c>
      <c r="B11" s="96">
        <f t="shared" si="0"/>
        <v>1</v>
      </c>
      <c r="C11" s="96">
        <f t="shared" si="1"/>
        <v>2020</v>
      </c>
      <c r="D11" s="96" t="str">
        <f t="shared" si="2"/>
        <v>2020/01</v>
      </c>
      <c r="E11" s="96" t="str">
        <f t="shared" ca="1" si="3"/>
        <v>M-3</v>
      </c>
      <c r="F11" s="96" t="str">
        <f t="shared" si="4"/>
        <v>Fri</v>
      </c>
      <c r="G11" s="96">
        <f t="shared" si="5"/>
        <v>1</v>
      </c>
      <c r="H11" s="96"/>
    </row>
    <row r="12" spans="1:8" x14ac:dyDescent="0.3">
      <c r="A12" s="63">
        <f t="shared" si="6"/>
        <v>43841</v>
      </c>
      <c r="B12" s="96">
        <f t="shared" si="0"/>
        <v>1</v>
      </c>
      <c r="C12" s="96">
        <f t="shared" si="1"/>
        <v>2020</v>
      </c>
      <c r="D12" s="96" t="str">
        <f t="shared" si="2"/>
        <v>2020/01</v>
      </c>
      <c r="E12" s="96" t="str">
        <f t="shared" ca="1" si="3"/>
        <v>M-3</v>
      </c>
      <c r="F12" s="96" t="str">
        <f t="shared" si="4"/>
        <v>Sat</v>
      </c>
      <c r="G12" s="96">
        <f t="shared" si="5"/>
        <v>0</v>
      </c>
      <c r="H12" s="96"/>
    </row>
    <row r="13" spans="1:8" x14ac:dyDescent="0.3">
      <c r="A13" s="63">
        <f t="shared" si="6"/>
        <v>43842</v>
      </c>
      <c r="B13" s="96">
        <f t="shared" si="0"/>
        <v>1</v>
      </c>
      <c r="C13" s="96">
        <f t="shared" si="1"/>
        <v>2020</v>
      </c>
      <c r="D13" s="96" t="str">
        <f t="shared" si="2"/>
        <v>2020/01</v>
      </c>
      <c r="E13" s="96" t="str">
        <f t="shared" ca="1" si="3"/>
        <v>M-3</v>
      </c>
      <c r="F13" s="96" t="str">
        <f t="shared" si="4"/>
        <v>Sun</v>
      </c>
      <c r="G13" s="96">
        <f t="shared" si="5"/>
        <v>0</v>
      </c>
      <c r="H13" s="96"/>
    </row>
    <row r="14" spans="1:8" x14ac:dyDescent="0.3">
      <c r="A14" s="63">
        <f t="shared" si="6"/>
        <v>43843</v>
      </c>
      <c r="B14" s="96">
        <f t="shared" si="0"/>
        <v>1</v>
      </c>
      <c r="C14" s="96">
        <f t="shared" si="1"/>
        <v>2020</v>
      </c>
      <c r="D14" s="96" t="str">
        <f t="shared" si="2"/>
        <v>2020/01</v>
      </c>
      <c r="E14" s="96" t="str">
        <f t="shared" ca="1" si="3"/>
        <v>M-3</v>
      </c>
      <c r="F14" s="96" t="str">
        <f t="shared" si="4"/>
        <v>Mon</v>
      </c>
      <c r="G14" s="96">
        <f t="shared" si="5"/>
        <v>1</v>
      </c>
      <c r="H14" s="96"/>
    </row>
    <row r="15" spans="1:8" x14ac:dyDescent="0.3">
      <c r="A15" s="63">
        <f t="shared" si="6"/>
        <v>43844</v>
      </c>
      <c r="B15" s="96">
        <f t="shared" si="0"/>
        <v>1</v>
      </c>
      <c r="C15" s="96">
        <f t="shared" si="1"/>
        <v>2020</v>
      </c>
      <c r="D15" s="96" t="str">
        <f t="shared" si="2"/>
        <v>2020/01</v>
      </c>
      <c r="E15" s="96" t="str">
        <f t="shared" ca="1" si="3"/>
        <v>M-3</v>
      </c>
      <c r="F15" s="96" t="str">
        <f t="shared" si="4"/>
        <v>Tue</v>
      </c>
      <c r="G15" s="96">
        <f t="shared" si="5"/>
        <v>1</v>
      </c>
      <c r="H15" s="96"/>
    </row>
    <row r="16" spans="1:8" x14ac:dyDescent="0.3">
      <c r="A16" s="63">
        <f t="shared" si="6"/>
        <v>43845</v>
      </c>
      <c r="B16" s="96">
        <f t="shared" si="0"/>
        <v>1</v>
      </c>
      <c r="C16" s="96">
        <f t="shared" si="1"/>
        <v>2020</v>
      </c>
      <c r="D16" s="96" t="str">
        <f t="shared" si="2"/>
        <v>2020/01</v>
      </c>
      <c r="E16" s="96" t="str">
        <f t="shared" ca="1" si="3"/>
        <v>M-3</v>
      </c>
      <c r="F16" s="96" t="str">
        <f t="shared" si="4"/>
        <v>Wed</v>
      </c>
      <c r="G16" s="96">
        <f t="shared" si="5"/>
        <v>1</v>
      </c>
      <c r="H16" s="96"/>
    </row>
    <row r="17" spans="1:7" x14ac:dyDescent="0.3">
      <c r="A17" s="63">
        <f t="shared" si="6"/>
        <v>43846</v>
      </c>
      <c r="B17" s="96">
        <f t="shared" si="0"/>
        <v>1</v>
      </c>
      <c r="C17" s="96">
        <f t="shared" si="1"/>
        <v>2020</v>
      </c>
      <c r="D17" s="96" t="str">
        <f t="shared" si="2"/>
        <v>2020/01</v>
      </c>
      <c r="E17" s="96" t="str">
        <f t="shared" ca="1" si="3"/>
        <v>M-3</v>
      </c>
      <c r="F17" s="96" t="str">
        <f t="shared" si="4"/>
        <v>Thu</v>
      </c>
      <c r="G17" s="96">
        <f t="shared" si="5"/>
        <v>1</v>
      </c>
    </row>
    <row r="18" spans="1:7" x14ac:dyDescent="0.3">
      <c r="A18" s="63">
        <f t="shared" si="6"/>
        <v>43847</v>
      </c>
      <c r="B18" s="96">
        <f t="shared" si="0"/>
        <v>1</v>
      </c>
      <c r="C18" s="96">
        <f t="shared" si="1"/>
        <v>2020</v>
      </c>
      <c r="D18" s="96" t="str">
        <f t="shared" si="2"/>
        <v>2020/01</v>
      </c>
      <c r="E18" s="96" t="str">
        <f t="shared" ca="1" si="3"/>
        <v>M-3</v>
      </c>
      <c r="F18" s="96" t="str">
        <f t="shared" si="4"/>
        <v>Fri</v>
      </c>
      <c r="G18" s="96">
        <f t="shared" si="5"/>
        <v>1</v>
      </c>
    </row>
    <row r="19" spans="1:7" x14ac:dyDescent="0.3">
      <c r="A19" s="63">
        <f t="shared" si="6"/>
        <v>43848</v>
      </c>
      <c r="B19" s="96">
        <f t="shared" si="0"/>
        <v>1</v>
      </c>
      <c r="C19" s="96">
        <f t="shared" si="1"/>
        <v>2020</v>
      </c>
      <c r="D19" s="96" t="str">
        <f t="shared" si="2"/>
        <v>2020/01</v>
      </c>
      <c r="E19" s="96" t="str">
        <f t="shared" ca="1" si="3"/>
        <v>M-3</v>
      </c>
      <c r="F19" s="96" t="str">
        <f t="shared" si="4"/>
        <v>Sat</v>
      </c>
      <c r="G19" s="96">
        <f t="shared" si="5"/>
        <v>0</v>
      </c>
    </row>
    <row r="20" spans="1:7" x14ac:dyDescent="0.3">
      <c r="A20" s="63">
        <f t="shared" si="6"/>
        <v>43849</v>
      </c>
      <c r="B20" s="96">
        <f t="shared" si="0"/>
        <v>1</v>
      </c>
      <c r="C20" s="96">
        <f t="shared" si="1"/>
        <v>2020</v>
      </c>
      <c r="D20" s="96" t="str">
        <f t="shared" si="2"/>
        <v>2020/01</v>
      </c>
      <c r="E20" s="96" t="str">
        <f t="shared" ca="1" si="3"/>
        <v>M-3</v>
      </c>
      <c r="F20" s="96" t="str">
        <f t="shared" si="4"/>
        <v>Sun</v>
      </c>
      <c r="G20" s="96">
        <f t="shared" si="5"/>
        <v>0</v>
      </c>
    </row>
    <row r="21" spans="1:7" x14ac:dyDescent="0.3">
      <c r="A21" s="63">
        <f t="shared" si="6"/>
        <v>43850</v>
      </c>
      <c r="B21" s="96">
        <f t="shared" si="0"/>
        <v>1</v>
      </c>
      <c r="C21" s="96">
        <f t="shared" si="1"/>
        <v>2020</v>
      </c>
      <c r="D21" s="96" t="str">
        <f t="shared" si="2"/>
        <v>2020/01</v>
      </c>
      <c r="E21" s="96" t="str">
        <f t="shared" ca="1" si="3"/>
        <v>M-3</v>
      </c>
      <c r="F21" s="96" t="str">
        <f t="shared" si="4"/>
        <v>Mon</v>
      </c>
      <c r="G21" s="96">
        <f t="shared" si="5"/>
        <v>1</v>
      </c>
    </row>
    <row r="22" spans="1:7" x14ac:dyDescent="0.3">
      <c r="A22" s="63">
        <f t="shared" si="6"/>
        <v>43851</v>
      </c>
      <c r="B22" s="96">
        <f t="shared" si="0"/>
        <v>1</v>
      </c>
      <c r="C22" s="96">
        <f t="shared" si="1"/>
        <v>2020</v>
      </c>
      <c r="D22" s="96" t="str">
        <f t="shared" si="2"/>
        <v>2020/01</v>
      </c>
      <c r="E22" s="96" t="str">
        <f t="shared" ca="1" si="3"/>
        <v>M-3</v>
      </c>
      <c r="F22" s="96" t="str">
        <f t="shared" si="4"/>
        <v>Tue</v>
      </c>
      <c r="G22" s="96">
        <f t="shared" si="5"/>
        <v>1</v>
      </c>
    </row>
    <row r="23" spans="1:7" x14ac:dyDescent="0.3">
      <c r="A23" s="63">
        <f t="shared" si="6"/>
        <v>43852</v>
      </c>
      <c r="B23" s="96">
        <f t="shared" si="0"/>
        <v>1</v>
      </c>
      <c r="C23" s="96">
        <f t="shared" si="1"/>
        <v>2020</v>
      </c>
      <c r="D23" s="96" t="str">
        <f t="shared" si="2"/>
        <v>2020/01</v>
      </c>
      <c r="E23" s="96" t="str">
        <f t="shared" ca="1" si="3"/>
        <v>M-3</v>
      </c>
      <c r="F23" s="96" t="str">
        <f t="shared" si="4"/>
        <v>Wed</v>
      </c>
      <c r="G23" s="96">
        <f t="shared" si="5"/>
        <v>1</v>
      </c>
    </row>
    <row r="24" spans="1:7" x14ac:dyDescent="0.3">
      <c r="A24" s="63">
        <f t="shared" si="6"/>
        <v>43853</v>
      </c>
      <c r="B24" s="96">
        <f t="shared" si="0"/>
        <v>1</v>
      </c>
      <c r="C24" s="96">
        <f t="shared" si="1"/>
        <v>2020</v>
      </c>
      <c r="D24" s="96" t="str">
        <f t="shared" si="2"/>
        <v>2020/01</v>
      </c>
      <c r="E24" s="96" t="str">
        <f t="shared" ca="1" si="3"/>
        <v>M-3</v>
      </c>
      <c r="F24" s="96" t="str">
        <f t="shared" si="4"/>
        <v>Thu</v>
      </c>
      <c r="G24" s="96">
        <f t="shared" si="5"/>
        <v>1</v>
      </c>
    </row>
    <row r="25" spans="1:7" x14ac:dyDescent="0.3">
      <c r="A25" s="63">
        <f t="shared" si="6"/>
        <v>43854</v>
      </c>
      <c r="B25" s="96">
        <f t="shared" si="0"/>
        <v>1</v>
      </c>
      <c r="C25" s="96">
        <f t="shared" si="1"/>
        <v>2020</v>
      </c>
      <c r="D25" s="96" t="str">
        <f t="shared" si="2"/>
        <v>2020/01</v>
      </c>
      <c r="E25" s="96" t="str">
        <f t="shared" ca="1" si="3"/>
        <v>M-3</v>
      </c>
      <c r="F25" s="96" t="str">
        <f t="shared" si="4"/>
        <v>Fri</v>
      </c>
      <c r="G25" s="96">
        <f t="shared" si="5"/>
        <v>1</v>
      </c>
    </row>
    <row r="26" spans="1:7" x14ac:dyDescent="0.3">
      <c r="A26" s="63">
        <f t="shared" si="6"/>
        <v>43855</v>
      </c>
      <c r="B26" s="96">
        <f t="shared" si="0"/>
        <v>1</v>
      </c>
      <c r="C26" s="96">
        <f t="shared" si="1"/>
        <v>2020</v>
      </c>
      <c r="D26" s="96" t="str">
        <f t="shared" si="2"/>
        <v>2020/01</v>
      </c>
      <c r="E26" s="96" t="str">
        <f t="shared" ca="1" si="3"/>
        <v>M-3</v>
      </c>
      <c r="F26" s="96" t="str">
        <f t="shared" si="4"/>
        <v>Sat</v>
      </c>
      <c r="G26" s="96">
        <f t="shared" si="5"/>
        <v>0</v>
      </c>
    </row>
    <row r="27" spans="1:7" x14ac:dyDescent="0.3">
      <c r="A27" s="63">
        <f t="shared" si="6"/>
        <v>43856</v>
      </c>
      <c r="B27" s="96">
        <f t="shared" si="0"/>
        <v>1</v>
      </c>
      <c r="C27" s="96">
        <f t="shared" si="1"/>
        <v>2020</v>
      </c>
      <c r="D27" s="96" t="str">
        <f t="shared" si="2"/>
        <v>2020/01</v>
      </c>
      <c r="E27" s="96" t="str">
        <f t="shared" ca="1" si="3"/>
        <v>M-3</v>
      </c>
      <c r="F27" s="96" t="str">
        <f t="shared" si="4"/>
        <v>Sun</v>
      </c>
      <c r="G27" s="96">
        <f t="shared" si="5"/>
        <v>0</v>
      </c>
    </row>
    <row r="28" spans="1:7" x14ac:dyDescent="0.3">
      <c r="A28" s="63">
        <f t="shared" si="6"/>
        <v>43857</v>
      </c>
      <c r="B28" s="96">
        <f t="shared" si="0"/>
        <v>1</v>
      </c>
      <c r="C28" s="96">
        <f t="shared" si="1"/>
        <v>2020</v>
      </c>
      <c r="D28" s="96" t="str">
        <f t="shared" si="2"/>
        <v>2020/01</v>
      </c>
      <c r="E28" s="96" t="str">
        <f t="shared" ca="1" si="3"/>
        <v>M-3</v>
      </c>
      <c r="F28" s="96" t="str">
        <f t="shared" si="4"/>
        <v>Mon</v>
      </c>
      <c r="G28" s="96">
        <f t="shared" si="5"/>
        <v>1</v>
      </c>
    </row>
    <row r="29" spans="1:7" x14ac:dyDescent="0.3">
      <c r="A29" s="63">
        <f t="shared" si="6"/>
        <v>43858</v>
      </c>
      <c r="B29" s="96">
        <f t="shared" si="0"/>
        <v>1</v>
      </c>
      <c r="C29" s="96">
        <f t="shared" si="1"/>
        <v>2020</v>
      </c>
      <c r="D29" s="96" t="str">
        <f t="shared" si="2"/>
        <v>2020/01</v>
      </c>
      <c r="E29" s="96" t="str">
        <f t="shared" ca="1" si="3"/>
        <v>M-3</v>
      </c>
      <c r="F29" s="96" t="str">
        <f t="shared" si="4"/>
        <v>Tue</v>
      </c>
      <c r="G29" s="96">
        <f t="shared" si="5"/>
        <v>1</v>
      </c>
    </row>
    <row r="30" spans="1:7" x14ac:dyDescent="0.3">
      <c r="A30" s="63">
        <f t="shared" si="6"/>
        <v>43859</v>
      </c>
      <c r="B30" s="96">
        <f t="shared" si="0"/>
        <v>1</v>
      </c>
      <c r="C30" s="96">
        <f t="shared" si="1"/>
        <v>2020</v>
      </c>
      <c r="D30" s="96" t="str">
        <f t="shared" si="2"/>
        <v>2020/01</v>
      </c>
      <c r="E30" s="96" t="str">
        <f t="shared" ca="1" si="3"/>
        <v>M-3</v>
      </c>
      <c r="F30" s="96" t="str">
        <f t="shared" si="4"/>
        <v>Wed</v>
      </c>
      <c r="G30" s="96">
        <f t="shared" si="5"/>
        <v>1</v>
      </c>
    </row>
    <row r="31" spans="1:7" x14ac:dyDescent="0.3">
      <c r="A31" s="63">
        <f t="shared" si="6"/>
        <v>43860</v>
      </c>
      <c r="B31" s="96">
        <f t="shared" si="0"/>
        <v>1</v>
      </c>
      <c r="C31" s="96">
        <f t="shared" si="1"/>
        <v>2020</v>
      </c>
      <c r="D31" s="96" t="str">
        <f t="shared" si="2"/>
        <v>2020/01</v>
      </c>
      <c r="E31" s="96" t="str">
        <f t="shared" ca="1" si="3"/>
        <v>M-3</v>
      </c>
      <c r="F31" s="96" t="str">
        <f t="shared" si="4"/>
        <v>Thu</v>
      </c>
      <c r="G31" s="96">
        <f t="shared" si="5"/>
        <v>1</v>
      </c>
    </row>
    <row r="32" spans="1:7" x14ac:dyDescent="0.3">
      <c r="A32" s="63">
        <f t="shared" si="6"/>
        <v>43861</v>
      </c>
      <c r="B32" s="96">
        <f t="shared" si="0"/>
        <v>1</v>
      </c>
      <c r="C32" s="96">
        <f t="shared" si="1"/>
        <v>2020</v>
      </c>
      <c r="D32" s="96" t="str">
        <f t="shared" si="2"/>
        <v>2020/01</v>
      </c>
      <c r="E32" s="96" t="str">
        <f t="shared" ca="1" si="3"/>
        <v>M-3</v>
      </c>
      <c r="F32" s="96" t="str">
        <f t="shared" si="4"/>
        <v>Fri</v>
      </c>
      <c r="G32" s="96">
        <f t="shared" si="5"/>
        <v>1</v>
      </c>
    </row>
    <row r="33" spans="1:7" x14ac:dyDescent="0.3">
      <c r="A33" s="63">
        <f t="shared" si="6"/>
        <v>43862</v>
      </c>
      <c r="B33" s="96">
        <f t="shared" si="0"/>
        <v>2</v>
      </c>
      <c r="C33" s="96">
        <f t="shared" si="1"/>
        <v>2020</v>
      </c>
      <c r="D33" s="96" t="str">
        <f t="shared" si="2"/>
        <v>2020/02</v>
      </c>
      <c r="E33" s="96" t="str">
        <f t="shared" ca="1" si="3"/>
        <v>M-2</v>
      </c>
      <c r="F33" s="96" t="str">
        <f t="shared" si="4"/>
        <v>Sat</v>
      </c>
      <c r="G33" s="96">
        <f t="shared" si="5"/>
        <v>0</v>
      </c>
    </row>
    <row r="34" spans="1:7" x14ac:dyDescent="0.3">
      <c r="A34" s="63">
        <f t="shared" si="6"/>
        <v>43863</v>
      </c>
      <c r="B34" s="96">
        <f t="shared" si="0"/>
        <v>2</v>
      </c>
      <c r="C34" s="96">
        <f t="shared" si="1"/>
        <v>2020</v>
      </c>
      <c r="D34" s="96" t="str">
        <f t="shared" si="2"/>
        <v>2020/02</v>
      </c>
      <c r="E34" s="96" t="str">
        <f t="shared" ca="1" si="3"/>
        <v>M-2</v>
      </c>
      <c r="F34" s="96" t="str">
        <f t="shared" si="4"/>
        <v>Sun</v>
      </c>
      <c r="G34" s="96">
        <f t="shared" si="5"/>
        <v>0</v>
      </c>
    </row>
    <row r="35" spans="1:7" x14ac:dyDescent="0.3">
      <c r="A35" s="63">
        <f t="shared" si="6"/>
        <v>43864</v>
      </c>
      <c r="B35" s="96">
        <f t="shared" si="0"/>
        <v>2</v>
      </c>
      <c r="C35" s="96">
        <f t="shared" si="1"/>
        <v>2020</v>
      </c>
      <c r="D35" s="96" t="str">
        <f t="shared" si="2"/>
        <v>2020/02</v>
      </c>
      <c r="E35" s="96" t="str">
        <f t="shared" ca="1" si="3"/>
        <v>M-2</v>
      </c>
      <c r="F35" s="96" t="str">
        <f t="shared" si="4"/>
        <v>Mon</v>
      </c>
      <c r="G35" s="96">
        <f t="shared" si="5"/>
        <v>1</v>
      </c>
    </row>
    <row r="36" spans="1:7" x14ac:dyDescent="0.3">
      <c r="A36" s="63">
        <f t="shared" si="6"/>
        <v>43865</v>
      </c>
      <c r="B36" s="96">
        <f t="shared" si="0"/>
        <v>2</v>
      </c>
      <c r="C36" s="96">
        <f t="shared" si="1"/>
        <v>2020</v>
      </c>
      <c r="D36" s="96" t="str">
        <f t="shared" si="2"/>
        <v>2020/02</v>
      </c>
      <c r="E36" s="96" t="str">
        <f t="shared" ca="1" si="3"/>
        <v>M-2</v>
      </c>
      <c r="F36" s="96" t="str">
        <f t="shared" si="4"/>
        <v>Tue</v>
      </c>
      <c r="G36" s="96">
        <f t="shared" si="5"/>
        <v>1</v>
      </c>
    </row>
    <row r="37" spans="1:7" x14ac:dyDescent="0.3">
      <c r="A37" s="63">
        <f t="shared" si="6"/>
        <v>43866</v>
      </c>
      <c r="B37" s="96">
        <f t="shared" si="0"/>
        <v>2</v>
      </c>
      <c r="C37" s="96">
        <f t="shared" si="1"/>
        <v>2020</v>
      </c>
      <c r="D37" s="96" t="str">
        <f t="shared" si="2"/>
        <v>2020/02</v>
      </c>
      <c r="E37" s="96" t="str">
        <f t="shared" ca="1" si="3"/>
        <v>M-2</v>
      </c>
      <c r="F37" s="96" t="str">
        <f t="shared" si="4"/>
        <v>Wed</v>
      </c>
      <c r="G37" s="96">
        <f t="shared" si="5"/>
        <v>1</v>
      </c>
    </row>
    <row r="38" spans="1:7" x14ac:dyDescent="0.3">
      <c r="A38" s="63">
        <f t="shared" si="6"/>
        <v>43867</v>
      </c>
      <c r="B38" s="96">
        <f t="shared" si="0"/>
        <v>2</v>
      </c>
      <c r="C38" s="96">
        <f t="shared" si="1"/>
        <v>2020</v>
      </c>
      <c r="D38" s="96" t="str">
        <f t="shared" si="2"/>
        <v>2020/02</v>
      </c>
      <c r="E38" s="96" t="str">
        <f t="shared" ca="1" si="3"/>
        <v>M-2</v>
      </c>
      <c r="F38" s="96" t="str">
        <f t="shared" si="4"/>
        <v>Thu</v>
      </c>
      <c r="G38" s="96">
        <f t="shared" si="5"/>
        <v>1</v>
      </c>
    </row>
    <row r="39" spans="1:7" x14ac:dyDescent="0.3">
      <c r="A39" s="63">
        <f t="shared" si="6"/>
        <v>43868</v>
      </c>
      <c r="B39" s="96">
        <f t="shared" si="0"/>
        <v>2</v>
      </c>
      <c r="C39" s="96">
        <f t="shared" si="1"/>
        <v>2020</v>
      </c>
      <c r="D39" s="96" t="str">
        <f t="shared" si="2"/>
        <v>2020/02</v>
      </c>
      <c r="E39" s="96" t="str">
        <f t="shared" ca="1" si="3"/>
        <v>M-2</v>
      </c>
      <c r="F39" s="96" t="str">
        <f t="shared" si="4"/>
        <v>Fri</v>
      </c>
      <c r="G39" s="96">
        <f t="shared" si="5"/>
        <v>1</v>
      </c>
    </row>
    <row r="40" spans="1:7" x14ac:dyDescent="0.3">
      <c r="A40" s="63">
        <f t="shared" si="6"/>
        <v>43869</v>
      </c>
      <c r="B40" s="96">
        <f t="shared" si="0"/>
        <v>2</v>
      </c>
      <c r="C40" s="96">
        <f t="shared" si="1"/>
        <v>2020</v>
      </c>
      <c r="D40" s="96" t="str">
        <f t="shared" si="2"/>
        <v>2020/02</v>
      </c>
      <c r="E40" s="96" t="str">
        <f t="shared" ca="1" si="3"/>
        <v>M-2</v>
      </c>
      <c r="F40" s="96" t="str">
        <f t="shared" si="4"/>
        <v>Sat</v>
      </c>
      <c r="G40" s="96">
        <f t="shared" si="5"/>
        <v>0</v>
      </c>
    </row>
    <row r="41" spans="1:7" x14ac:dyDescent="0.3">
      <c r="A41" s="63">
        <f t="shared" si="6"/>
        <v>43870</v>
      </c>
      <c r="B41" s="96">
        <f t="shared" si="0"/>
        <v>2</v>
      </c>
      <c r="C41" s="96">
        <f t="shared" si="1"/>
        <v>2020</v>
      </c>
      <c r="D41" s="96" t="str">
        <f t="shared" si="2"/>
        <v>2020/02</v>
      </c>
      <c r="E41" s="96" t="str">
        <f t="shared" ca="1" si="3"/>
        <v>M-2</v>
      </c>
      <c r="F41" s="96" t="str">
        <f t="shared" si="4"/>
        <v>Sun</v>
      </c>
      <c r="G41" s="96">
        <f t="shared" si="5"/>
        <v>0</v>
      </c>
    </row>
    <row r="42" spans="1:7" x14ac:dyDescent="0.3">
      <c r="A42" s="63">
        <f t="shared" si="6"/>
        <v>43871</v>
      </c>
      <c r="B42" s="96">
        <f t="shared" si="0"/>
        <v>2</v>
      </c>
      <c r="C42" s="96">
        <f t="shared" si="1"/>
        <v>2020</v>
      </c>
      <c r="D42" s="96" t="str">
        <f t="shared" si="2"/>
        <v>2020/02</v>
      </c>
      <c r="E42" s="96" t="str">
        <f t="shared" ca="1" si="3"/>
        <v>M-2</v>
      </c>
      <c r="F42" s="96" t="str">
        <f t="shared" si="4"/>
        <v>Mon</v>
      </c>
      <c r="G42" s="96">
        <f t="shared" si="5"/>
        <v>1</v>
      </c>
    </row>
    <row r="43" spans="1:7" x14ac:dyDescent="0.3">
      <c r="A43" s="63">
        <f t="shared" si="6"/>
        <v>43872</v>
      </c>
      <c r="B43" s="96">
        <f t="shared" si="0"/>
        <v>2</v>
      </c>
      <c r="C43" s="96">
        <f t="shared" si="1"/>
        <v>2020</v>
      </c>
      <c r="D43" s="96" t="str">
        <f t="shared" si="2"/>
        <v>2020/02</v>
      </c>
      <c r="E43" s="96" t="str">
        <f t="shared" ca="1" si="3"/>
        <v>M-2</v>
      </c>
      <c r="F43" s="96" t="str">
        <f t="shared" si="4"/>
        <v>Tue</v>
      </c>
      <c r="G43" s="96">
        <f t="shared" si="5"/>
        <v>1</v>
      </c>
    </row>
    <row r="44" spans="1:7" x14ac:dyDescent="0.3">
      <c r="A44" s="63">
        <f t="shared" si="6"/>
        <v>43873</v>
      </c>
      <c r="B44" s="96">
        <f t="shared" si="0"/>
        <v>2</v>
      </c>
      <c r="C44" s="96">
        <f t="shared" si="1"/>
        <v>2020</v>
      </c>
      <c r="D44" s="96" t="str">
        <f t="shared" si="2"/>
        <v>2020/02</v>
      </c>
      <c r="E44" s="96" t="str">
        <f t="shared" ca="1" si="3"/>
        <v>M-2</v>
      </c>
      <c r="F44" s="96" t="str">
        <f t="shared" si="4"/>
        <v>Wed</v>
      </c>
      <c r="G44" s="96">
        <f t="shared" si="5"/>
        <v>1</v>
      </c>
    </row>
    <row r="45" spans="1:7" x14ac:dyDescent="0.3">
      <c r="A45" s="63">
        <f t="shared" si="6"/>
        <v>43874</v>
      </c>
      <c r="B45" s="96">
        <f t="shared" si="0"/>
        <v>2</v>
      </c>
      <c r="C45" s="96">
        <f t="shared" si="1"/>
        <v>2020</v>
      </c>
      <c r="D45" s="96" t="str">
        <f t="shared" si="2"/>
        <v>2020/02</v>
      </c>
      <c r="E45" s="96" t="str">
        <f t="shared" ca="1" si="3"/>
        <v>M-2</v>
      </c>
      <c r="F45" s="96" t="str">
        <f t="shared" si="4"/>
        <v>Thu</v>
      </c>
      <c r="G45" s="96">
        <f t="shared" si="5"/>
        <v>1</v>
      </c>
    </row>
    <row r="46" spans="1:7" x14ac:dyDescent="0.3">
      <c r="A46" s="63">
        <f t="shared" si="6"/>
        <v>43875</v>
      </c>
      <c r="B46" s="96">
        <f t="shared" si="0"/>
        <v>2</v>
      </c>
      <c r="C46" s="96">
        <f t="shared" si="1"/>
        <v>2020</v>
      </c>
      <c r="D46" s="96" t="str">
        <f t="shared" si="2"/>
        <v>2020/02</v>
      </c>
      <c r="E46" s="96" t="str">
        <f t="shared" ca="1" si="3"/>
        <v>M-2</v>
      </c>
      <c r="F46" s="96" t="str">
        <f t="shared" si="4"/>
        <v>Fri</v>
      </c>
      <c r="G46" s="96">
        <f t="shared" si="5"/>
        <v>1</v>
      </c>
    </row>
    <row r="47" spans="1:7" x14ac:dyDescent="0.3">
      <c r="A47" s="63">
        <f t="shared" si="6"/>
        <v>43876</v>
      </c>
      <c r="B47" s="96">
        <f t="shared" si="0"/>
        <v>2</v>
      </c>
      <c r="C47" s="96">
        <f t="shared" si="1"/>
        <v>2020</v>
      </c>
      <c r="D47" s="96" t="str">
        <f t="shared" si="2"/>
        <v>2020/02</v>
      </c>
      <c r="E47" s="96" t="str">
        <f t="shared" ca="1" si="3"/>
        <v>M-2</v>
      </c>
      <c r="F47" s="96" t="str">
        <f t="shared" si="4"/>
        <v>Sat</v>
      </c>
      <c r="G47" s="96">
        <f t="shared" si="5"/>
        <v>0</v>
      </c>
    </row>
    <row r="48" spans="1:7" x14ac:dyDescent="0.3">
      <c r="A48" s="63">
        <f t="shared" si="6"/>
        <v>43877</v>
      </c>
      <c r="B48" s="96">
        <f t="shared" si="0"/>
        <v>2</v>
      </c>
      <c r="C48" s="96">
        <f t="shared" si="1"/>
        <v>2020</v>
      </c>
      <c r="D48" s="96" t="str">
        <f t="shared" si="2"/>
        <v>2020/02</v>
      </c>
      <c r="E48" s="96" t="str">
        <f t="shared" ca="1" si="3"/>
        <v>M-2</v>
      </c>
      <c r="F48" s="96" t="str">
        <f t="shared" si="4"/>
        <v>Sun</v>
      </c>
      <c r="G48" s="96">
        <f t="shared" si="5"/>
        <v>0</v>
      </c>
    </row>
    <row r="49" spans="1:7" x14ac:dyDescent="0.3">
      <c r="A49" s="63">
        <f t="shared" si="6"/>
        <v>43878</v>
      </c>
      <c r="B49" s="96">
        <f t="shared" si="0"/>
        <v>2</v>
      </c>
      <c r="C49" s="96">
        <f t="shared" si="1"/>
        <v>2020</v>
      </c>
      <c r="D49" s="96" t="str">
        <f t="shared" si="2"/>
        <v>2020/02</v>
      </c>
      <c r="E49" s="96" t="str">
        <f t="shared" ca="1" si="3"/>
        <v>M-2</v>
      </c>
      <c r="F49" s="96" t="str">
        <f t="shared" si="4"/>
        <v>Mon</v>
      </c>
      <c r="G49" s="96">
        <f t="shared" si="5"/>
        <v>1</v>
      </c>
    </row>
    <row r="50" spans="1:7" x14ac:dyDescent="0.3">
      <c r="A50" s="63">
        <f t="shared" si="6"/>
        <v>43879</v>
      </c>
      <c r="B50" s="96">
        <f t="shared" si="0"/>
        <v>2</v>
      </c>
      <c r="C50" s="96">
        <f t="shared" si="1"/>
        <v>2020</v>
      </c>
      <c r="D50" s="96" t="str">
        <f t="shared" si="2"/>
        <v>2020/02</v>
      </c>
      <c r="E50" s="96" t="str">
        <f t="shared" ca="1" si="3"/>
        <v>M-2</v>
      </c>
      <c r="F50" s="96" t="str">
        <f t="shared" si="4"/>
        <v>Tue</v>
      </c>
      <c r="G50" s="96">
        <f t="shared" si="5"/>
        <v>1</v>
      </c>
    </row>
    <row r="51" spans="1:7" x14ac:dyDescent="0.3">
      <c r="A51" s="63">
        <f t="shared" si="6"/>
        <v>43880</v>
      </c>
      <c r="B51" s="96">
        <f t="shared" si="0"/>
        <v>2</v>
      </c>
      <c r="C51" s="96">
        <f t="shared" si="1"/>
        <v>2020</v>
      </c>
      <c r="D51" s="96" t="str">
        <f t="shared" si="2"/>
        <v>2020/02</v>
      </c>
      <c r="E51" s="96" t="str">
        <f t="shared" ca="1" si="3"/>
        <v>M-2</v>
      </c>
      <c r="F51" s="96" t="str">
        <f t="shared" si="4"/>
        <v>Wed</v>
      </c>
      <c r="G51" s="96">
        <f t="shared" si="5"/>
        <v>1</v>
      </c>
    </row>
    <row r="52" spans="1:7" x14ac:dyDescent="0.3">
      <c r="A52" s="63">
        <f t="shared" si="6"/>
        <v>43881</v>
      </c>
      <c r="B52" s="96">
        <f t="shared" si="0"/>
        <v>2</v>
      </c>
      <c r="C52" s="96">
        <f t="shared" si="1"/>
        <v>2020</v>
      </c>
      <c r="D52" s="96" t="str">
        <f t="shared" si="2"/>
        <v>2020/02</v>
      </c>
      <c r="E52" s="96" t="str">
        <f t="shared" ca="1" si="3"/>
        <v>M-2</v>
      </c>
      <c r="F52" s="96" t="str">
        <f t="shared" si="4"/>
        <v>Thu</v>
      </c>
      <c r="G52" s="96">
        <f t="shared" si="5"/>
        <v>1</v>
      </c>
    </row>
    <row r="53" spans="1:7" x14ac:dyDescent="0.3">
      <c r="A53" s="63">
        <f t="shared" si="6"/>
        <v>43882</v>
      </c>
      <c r="B53" s="96">
        <f t="shared" si="0"/>
        <v>2</v>
      </c>
      <c r="C53" s="96">
        <f t="shared" si="1"/>
        <v>2020</v>
      </c>
      <c r="D53" s="96" t="str">
        <f t="shared" si="2"/>
        <v>2020/02</v>
      </c>
      <c r="E53" s="96" t="str">
        <f t="shared" ca="1" si="3"/>
        <v>M-2</v>
      </c>
      <c r="F53" s="96" t="str">
        <f t="shared" si="4"/>
        <v>Fri</v>
      </c>
      <c r="G53" s="96">
        <f t="shared" si="5"/>
        <v>1</v>
      </c>
    </row>
    <row r="54" spans="1:7" x14ac:dyDescent="0.3">
      <c r="A54" s="63">
        <f t="shared" si="6"/>
        <v>43883</v>
      </c>
      <c r="B54" s="96">
        <f t="shared" si="0"/>
        <v>2</v>
      </c>
      <c r="C54" s="96">
        <f t="shared" si="1"/>
        <v>2020</v>
      </c>
      <c r="D54" s="96" t="str">
        <f t="shared" si="2"/>
        <v>2020/02</v>
      </c>
      <c r="E54" s="96" t="str">
        <f t="shared" ca="1" si="3"/>
        <v>M-2</v>
      </c>
      <c r="F54" s="96" t="str">
        <f t="shared" si="4"/>
        <v>Sat</v>
      </c>
      <c r="G54" s="96">
        <f t="shared" si="5"/>
        <v>0</v>
      </c>
    </row>
    <row r="55" spans="1:7" x14ac:dyDescent="0.3">
      <c r="A55" s="63">
        <f t="shared" si="6"/>
        <v>43884</v>
      </c>
      <c r="B55" s="96">
        <f t="shared" si="0"/>
        <v>2</v>
      </c>
      <c r="C55" s="96">
        <f t="shared" si="1"/>
        <v>2020</v>
      </c>
      <c r="D55" s="96" t="str">
        <f t="shared" si="2"/>
        <v>2020/02</v>
      </c>
      <c r="E55" s="96" t="str">
        <f t="shared" ca="1" si="3"/>
        <v>M-2</v>
      </c>
      <c r="F55" s="96" t="str">
        <f t="shared" si="4"/>
        <v>Sun</v>
      </c>
      <c r="G55" s="96">
        <f t="shared" si="5"/>
        <v>0</v>
      </c>
    </row>
    <row r="56" spans="1:7" x14ac:dyDescent="0.3">
      <c r="A56" s="63">
        <f t="shared" si="6"/>
        <v>43885</v>
      </c>
      <c r="B56" s="96">
        <f t="shared" si="0"/>
        <v>2</v>
      </c>
      <c r="C56" s="96">
        <f t="shared" si="1"/>
        <v>2020</v>
      </c>
      <c r="D56" s="96" t="str">
        <f t="shared" si="2"/>
        <v>2020/02</v>
      </c>
      <c r="E56" s="96" t="str">
        <f t="shared" ca="1" si="3"/>
        <v>M-2</v>
      </c>
      <c r="F56" s="96" t="str">
        <f t="shared" si="4"/>
        <v>Mon</v>
      </c>
      <c r="G56" s="96">
        <f t="shared" si="5"/>
        <v>1</v>
      </c>
    </row>
    <row r="57" spans="1:7" x14ac:dyDescent="0.3">
      <c r="A57" s="63">
        <f t="shared" si="6"/>
        <v>43886</v>
      </c>
      <c r="B57" s="96">
        <f t="shared" si="0"/>
        <v>2</v>
      </c>
      <c r="C57" s="96">
        <f t="shared" si="1"/>
        <v>2020</v>
      </c>
      <c r="D57" s="96" t="str">
        <f t="shared" si="2"/>
        <v>2020/02</v>
      </c>
      <c r="E57" s="96" t="str">
        <f t="shared" ca="1" si="3"/>
        <v>M-2</v>
      </c>
      <c r="F57" s="96" t="str">
        <f t="shared" si="4"/>
        <v>Tue</v>
      </c>
      <c r="G57" s="96">
        <f t="shared" si="5"/>
        <v>1</v>
      </c>
    </row>
    <row r="58" spans="1:7" x14ac:dyDescent="0.3">
      <c r="A58" s="63">
        <f t="shared" si="6"/>
        <v>43887</v>
      </c>
      <c r="B58" s="96">
        <f t="shared" si="0"/>
        <v>2</v>
      </c>
      <c r="C58" s="96">
        <f t="shared" si="1"/>
        <v>2020</v>
      </c>
      <c r="D58" s="96" t="str">
        <f t="shared" si="2"/>
        <v>2020/02</v>
      </c>
      <c r="E58" s="96" t="str">
        <f t="shared" ca="1" si="3"/>
        <v>M-2</v>
      </c>
      <c r="F58" s="96" t="str">
        <f t="shared" si="4"/>
        <v>Wed</v>
      </c>
      <c r="G58" s="96">
        <f t="shared" si="5"/>
        <v>1</v>
      </c>
    </row>
    <row r="59" spans="1:7" x14ac:dyDescent="0.3">
      <c r="A59" s="63">
        <f t="shared" si="6"/>
        <v>43888</v>
      </c>
      <c r="B59" s="96">
        <f t="shared" si="0"/>
        <v>2</v>
      </c>
      <c r="C59" s="96">
        <f t="shared" si="1"/>
        <v>2020</v>
      </c>
      <c r="D59" s="96" t="str">
        <f t="shared" si="2"/>
        <v>2020/02</v>
      </c>
      <c r="E59" s="96" t="str">
        <f t="shared" ca="1" si="3"/>
        <v>M-2</v>
      </c>
      <c r="F59" s="96" t="str">
        <f t="shared" si="4"/>
        <v>Thu</v>
      </c>
      <c r="G59" s="96">
        <f t="shared" si="5"/>
        <v>1</v>
      </c>
    </row>
    <row r="60" spans="1:7" x14ac:dyDescent="0.3">
      <c r="A60" s="63">
        <f t="shared" si="6"/>
        <v>43889</v>
      </c>
      <c r="B60" s="96">
        <f t="shared" si="0"/>
        <v>2</v>
      </c>
      <c r="C60" s="96">
        <f t="shared" si="1"/>
        <v>2020</v>
      </c>
      <c r="D60" s="96" t="str">
        <f t="shared" si="2"/>
        <v>2020/02</v>
      </c>
      <c r="E60" s="96" t="str">
        <f t="shared" ca="1" si="3"/>
        <v>M-2</v>
      </c>
      <c r="F60" s="96" t="str">
        <f t="shared" si="4"/>
        <v>Fri</v>
      </c>
      <c r="G60" s="96">
        <f t="shared" si="5"/>
        <v>1</v>
      </c>
    </row>
    <row r="61" spans="1:7" x14ac:dyDescent="0.3">
      <c r="A61" s="63">
        <f t="shared" si="6"/>
        <v>43890</v>
      </c>
      <c r="B61" s="96">
        <f t="shared" si="0"/>
        <v>2</v>
      </c>
      <c r="C61" s="96">
        <f t="shared" si="1"/>
        <v>2020</v>
      </c>
      <c r="D61" s="96" t="str">
        <f t="shared" si="2"/>
        <v>2020/02</v>
      </c>
      <c r="E61" s="96" t="str">
        <f t="shared" ca="1" si="3"/>
        <v>M-2</v>
      </c>
      <c r="F61" s="96" t="str">
        <f t="shared" si="4"/>
        <v>Sat</v>
      </c>
      <c r="G61" s="96">
        <f t="shared" si="5"/>
        <v>0</v>
      </c>
    </row>
    <row r="62" spans="1:7" x14ac:dyDescent="0.3">
      <c r="A62" s="63">
        <f t="shared" si="6"/>
        <v>43891</v>
      </c>
      <c r="B62" s="96">
        <f t="shared" si="0"/>
        <v>3</v>
      </c>
      <c r="C62" s="96">
        <f t="shared" si="1"/>
        <v>2020</v>
      </c>
      <c r="D62" s="96" t="str">
        <f t="shared" si="2"/>
        <v>2020/03</v>
      </c>
      <c r="E62" s="96" t="str">
        <f t="shared" ca="1" si="3"/>
        <v>M-1</v>
      </c>
      <c r="F62" s="96" t="str">
        <f t="shared" si="4"/>
        <v>Sun</v>
      </c>
      <c r="G62" s="96">
        <f t="shared" si="5"/>
        <v>0</v>
      </c>
    </row>
    <row r="63" spans="1:7" x14ac:dyDescent="0.3">
      <c r="A63" s="63">
        <f t="shared" si="6"/>
        <v>43892</v>
      </c>
      <c r="B63" s="96">
        <f t="shared" si="0"/>
        <v>3</v>
      </c>
      <c r="C63" s="96">
        <f t="shared" si="1"/>
        <v>2020</v>
      </c>
      <c r="D63" s="96" t="str">
        <f t="shared" si="2"/>
        <v>2020/03</v>
      </c>
      <c r="E63" s="96" t="str">
        <f t="shared" ca="1" si="3"/>
        <v>M-1</v>
      </c>
      <c r="F63" s="96" t="str">
        <f t="shared" si="4"/>
        <v>Mon</v>
      </c>
      <c r="G63" s="96">
        <f t="shared" si="5"/>
        <v>1</v>
      </c>
    </row>
    <row r="64" spans="1:7" x14ac:dyDescent="0.3">
      <c r="A64" s="63">
        <f t="shared" si="6"/>
        <v>43893</v>
      </c>
      <c r="B64" s="96">
        <f t="shared" si="0"/>
        <v>3</v>
      </c>
      <c r="C64" s="96">
        <f t="shared" si="1"/>
        <v>2020</v>
      </c>
      <c r="D64" s="96" t="str">
        <f t="shared" si="2"/>
        <v>2020/03</v>
      </c>
      <c r="E64" s="96" t="str">
        <f t="shared" ca="1" si="3"/>
        <v>M-1</v>
      </c>
      <c r="F64" s="96" t="str">
        <f t="shared" si="4"/>
        <v>Tue</v>
      </c>
      <c r="G64" s="96">
        <f t="shared" si="5"/>
        <v>1</v>
      </c>
    </row>
    <row r="65" spans="1:7" x14ac:dyDescent="0.3">
      <c r="A65" s="63">
        <f t="shared" si="6"/>
        <v>43894</v>
      </c>
      <c r="B65" s="96">
        <f t="shared" si="0"/>
        <v>3</v>
      </c>
      <c r="C65" s="96">
        <f t="shared" si="1"/>
        <v>2020</v>
      </c>
      <c r="D65" s="96" t="str">
        <f t="shared" si="2"/>
        <v>2020/03</v>
      </c>
      <c r="E65" s="96" t="str">
        <f t="shared" ca="1" si="3"/>
        <v>M-1</v>
      </c>
      <c r="F65" s="96" t="str">
        <f t="shared" si="4"/>
        <v>Wed</v>
      </c>
      <c r="G65" s="96">
        <f t="shared" si="5"/>
        <v>1</v>
      </c>
    </row>
    <row r="66" spans="1:7" x14ac:dyDescent="0.3">
      <c r="A66" s="63">
        <f t="shared" si="6"/>
        <v>43895</v>
      </c>
      <c r="B66" s="96">
        <f t="shared" si="0"/>
        <v>3</v>
      </c>
      <c r="C66" s="96">
        <f t="shared" si="1"/>
        <v>2020</v>
      </c>
      <c r="D66" s="96" t="str">
        <f t="shared" si="2"/>
        <v>2020/03</v>
      </c>
      <c r="E66" s="96" t="str">
        <f t="shared" ca="1" si="3"/>
        <v>M-1</v>
      </c>
      <c r="F66" s="96" t="str">
        <f t="shared" si="4"/>
        <v>Thu</v>
      </c>
      <c r="G66" s="96">
        <f t="shared" si="5"/>
        <v>1</v>
      </c>
    </row>
    <row r="67" spans="1:7" x14ac:dyDescent="0.3">
      <c r="A67" s="63">
        <f t="shared" si="6"/>
        <v>43896</v>
      </c>
      <c r="B67" s="96">
        <f t="shared" ref="B67:B130" si="7">MONTH(A67)</f>
        <v>3</v>
      </c>
      <c r="C67" s="96">
        <f t="shared" ref="C67:C130" si="8">YEAR(A67)</f>
        <v>2020</v>
      </c>
      <c r="D67" s="96" t="str">
        <f t="shared" ref="D67:D130" si="9">CONCATENATE(C67,"/",TEXT(B67,"00"))</f>
        <v>2020/03</v>
      </c>
      <c r="E67" s="96" t="str">
        <f t="shared" ref="E67:E130" ca="1" si="10">CONCATENATE("M",B67-MONTH(TODAY())+12*(YEAR(TODAY())-C67))</f>
        <v>M-1</v>
      </c>
      <c r="F67" s="96" t="str">
        <f t="shared" ref="F67:F130" si="11">TEXT(A67,"ddd")</f>
        <v>Fri</v>
      </c>
      <c r="G67" s="96">
        <f t="shared" ref="G67:G130" si="12">IF(LEFT(F67,1)="s",0,1)</f>
        <v>1</v>
      </c>
    </row>
    <row r="68" spans="1:7" x14ac:dyDescent="0.3">
      <c r="A68" s="63">
        <f t="shared" ref="A68:A131" si="13">A67+1</f>
        <v>43897</v>
      </c>
      <c r="B68" s="96">
        <f t="shared" si="7"/>
        <v>3</v>
      </c>
      <c r="C68" s="96">
        <f t="shared" si="8"/>
        <v>2020</v>
      </c>
      <c r="D68" s="96" t="str">
        <f t="shared" si="9"/>
        <v>2020/03</v>
      </c>
      <c r="E68" s="96" t="str">
        <f t="shared" ca="1" si="10"/>
        <v>M-1</v>
      </c>
      <c r="F68" s="96" t="str">
        <f t="shared" si="11"/>
        <v>Sat</v>
      </c>
      <c r="G68" s="96">
        <f t="shared" si="12"/>
        <v>0</v>
      </c>
    </row>
    <row r="69" spans="1:7" x14ac:dyDescent="0.3">
      <c r="A69" s="63">
        <f t="shared" si="13"/>
        <v>43898</v>
      </c>
      <c r="B69" s="96">
        <f t="shared" si="7"/>
        <v>3</v>
      </c>
      <c r="C69" s="96">
        <f t="shared" si="8"/>
        <v>2020</v>
      </c>
      <c r="D69" s="96" t="str">
        <f t="shared" si="9"/>
        <v>2020/03</v>
      </c>
      <c r="E69" s="96" t="str">
        <f t="shared" ca="1" si="10"/>
        <v>M-1</v>
      </c>
      <c r="F69" s="96" t="str">
        <f t="shared" si="11"/>
        <v>Sun</v>
      </c>
      <c r="G69" s="96">
        <f t="shared" si="12"/>
        <v>0</v>
      </c>
    </row>
    <row r="70" spans="1:7" x14ac:dyDescent="0.3">
      <c r="A70" s="63">
        <f t="shared" si="13"/>
        <v>43899</v>
      </c>
      <c r="B70" s="96">
        <f t="shared" si="7"/>
        <v>3</v>
      </c>
      <c r="C70" s="96">
        <f t="shared" si="8"/>
        <v>2020</v>
      </c>
      <c r="D70" s="96" t="str">
        <f t="shared" si="9"/>
        <v>2020/03</v>
      </c>
      <c r="E70" s="96" t="str">
        <f t="shared" ca="1" si="10"/>
        <v>M-1</v>
      </c>
      <c r="F70" s="96" t="str">
        <f t="shared" si="11"/>
        <v>Mon</v>
      </c>
      <c r="G70" s="96">
        <f t="shared" si="12"/>
        <v>1</v>
      </c>
    </row>
    <row r="71" spans="1:7" x14ac:dyDescent="0.3">
      <c r="A71" s="63">
        <f t="shared" si="13"/>
        <v>43900</v>
      </c>
      <c r="B71" s="96">
        <f t="shared" si="7"/>
        <v>3</v>
      </c>
      <c r="C71" s="96">
        <f t="shared" si="8"/>
        <v>2020</v>
      </c>
      <c r="D71" s="96" t="str">
        <f t="shared" si="9"/>
        <v>2020/03</v>
      </c>
      <c r="E71" s="96" t="str">
        <f t="shared" ca="1" si="10"/>
        <v>M-1</v>
      </c>
      <c r="F71" s="96" t="str">
        <f t="shared" si="11"/>
        <v>Tue</v>
      </c>
      <c r="G71" s="96">
        <f t="shared" si="12"/>
        <v>1</v>
      </c>
    </row>
    <row r="72" spans="1:7" x14ac:dyDescent="0.3">
      <c r="A72" s="63">
        <f t="shared" si="13"/>
        <v>43901</v>
      </c>
      <c r="B72" s="96">
        <f t="shared" si="7"/>
        <v>3</v>
      </c>
      <c r="C72" s="96">
        <f t="shared" si="8"/>
        <v>2020</v>
      </c>
      <c r="D72" s="96" t="str">
        <f t="shared" si="9"/>
        <v>2020/03</v>
      </c>
      <c r="E72" s="96" t="str">
        <f t="shared" ca="1" si="10"/>
        <v>M-1</v>
      </c>
      <c r="F72" s="96" t="str">
        <f t="shared" si="11"/>
        <v>Wed</v>
      </c>
      <c r="G72" s="96">
        <f t="shared" si="12"/>
        <v>1</v>
      </c>
    </row>
    <row r="73" spans="1:7" x14ac:dyDescent="0.3">
      <c r="A73" s="63">
        <f t="shared" si="13"/>
        <v>43902</v>
      </c>
      <c r="B73" s="96">
        <f t="shared" si="7"/>
        <v>3</v>
      </c>
      <c r="C73" s="96">
        <f t="shared" si="8"/>
        <v>2020</v>
      </c>
      <c r="D73" s="96" t="str">
        <f t="shared" si="9"/>
        <v>2020/03</v>
      </c>
      <c r="E73" s="96" t="str">
        <f t="shared" ca="1" si="10"/>
        <v>M-1</v>
      </c>
      <c r="F73" s="96" t="str">
        <f t="shared" si="11"/>
        <v>Thu</v>
      </c>
      <c r="G73" s="96">
        <f t="shared" si="12"/>
        <v>1</v>
      </c>
    </row>
    <row r="74" spans="1:7" x14ac:dyDescent="0.3">
      <c r="A74" s="63">
        <f t="shared" si="13"/>
        <v>43903</v>
      </c>
      <c r="B74" s="96">
        <f t="shared" si="7"/>
        <v>3</v>
      </c>
      <c r="C74" s="96">
        <f t="shared" si="8"/>
        <v>2020</v>
      </c>
      <c r="D74" s="96" t="str">
        <f t="shared" si="9"/>
        <v>2020/03</v>
      </c>
      <c r="E74" s="96" t="str">
        <f t="shared" ca="1" si="10"/>
        <v>M-1</v>
      </c>
      <c r="F74" s="96" t="str">
        <f t="shared" si="11"/>
        <v>Fri</v>
      </c>
      <c r="G74" s="96">
        <f t="shared" si="12"/>
        <v>1</v>
      </c>
    </row>
    <row r="75" spans="1:7" x14ac:dyDescent="0.3">
      <c r="A75" s="63">
        <f t="shared" si="13"/>
        <v>43904</v>
      </c>
      <c r="B75" s="96">
        <f t="shared" si="7"/>
        <v>3</v>
      </c>
      <c r="C75" s="96">
        <f t="shared" si="8"/>
        <v>2020</v>
      </c>
      <c r="D75" s="96" t="str">
        <f t="shared" si="9"/>
        <v>2020/03</v>
      </c>
      <c r="E75" s="96" t="str">
        <f t="shared" ca="1" si="10"/>
        <v>M-1</v>
      </c>
      <c r="F75" s="96" t="str">
        <f t="shared" si="11"/>
        <v>Sat</v>
      </c>
      <c r="G75" s="96">
        <f t="shared" si="12"/>
        <v>0</v>
      </c>
    </row>
    <row r="76" spans="1:7" x14ac:dyDescent="0.3">
      <c r="A76" s="63">
        <f t="shared" si="13"/>
        <v>43905</v>
      </c>
      <c r="B76" s="96">
        <f t="shared" si="7"/>
        <v>3</v>
      </c>
      <c r="C76" s="96">
        <f t="shared" si="8"/>
        <v>2020</v>
      </c>
      <c r="D76" s="96" t="str">
        <f t="shared" si="9"/>
        <v>2020/03</v>
      </c>
      <c r="E76" s="96" t="str">
        <f t="shared" ca="1" si="10"/>
        <v>M-1</v>
      </c>
      <c r="F76" s="96" t="str">
        <f t="shared" si="11"/>
        <v>Sun</v>
      </c>
      <c r="G76" s="96">
        <f t="shared" si="12"/>
        <v>0</v>
      </c>
    </row>
    <row r="77" spans="1:7" x14ac:dyDescent="0.3">
      <c r="A77" s="63">
        <f t="shared" si="13"/>
        <v>43906</v>
      </c>
      <c r="B77" s="96">
        <f t="shared" si="7"/>
        <v>3</v>
      </c>
      <c r="C77" s="96">
        <f t="shared" si="8"/>
        <v>2020</v>
      </c>
      <c r="D77" s="96" t="str">
        <f t="shared" si="9"/>
        <v>2020/03</v>
      </c>
      <c r="E77" s="96" t="str">
        <f t="shared" ca="1" si="10"/>
        <v>M-1</v>
      </c>
      <c r="F77" s="96" t="str">
        <f t="shared" si="11"/>
        <v>Mon</v>
      </c>
      <c r="G77" s="96">
        <f t="shared" si="12"/>
        <v>1</v>
      </c>
    </row>
    <row r="78" spans="1:7" x14ac:dyDescent="0.3">
      <c r="A78" s="63">
        <f t="shared" si="13"/>
        <v>43907</v>
      </c>
      <c r="B78" s="96">
        <f t="shared" si="7"/>
        <v>3</v>
      </c>
      <c r="C78" s="96">
        <f t="shared" si="8"/>
        <v>2020</v>
      </c>
      <c r="D78" s="96" t="str">
        <f t="shared" si="9"/>
        <v>2020/03</v>
      </c>
      <c r="E78" s="96" t="str">
        <f t="shared" ca="1" si="10"/>
        <v>M-1</v>
      </c>
      <c r="F78" s="96" t="str">
        <f t="shared" si="11"/>
        <v>Tue</v>
      </c>
      <c r="G78" s="96">
        <f t="shared" si="12"/>
        <v>1</v>
      </c>
    </row>
    <row r="79" spans="1:7" x14ac:dyDescent="0.3">
      <c r="A79" s="63">
        <f t="shared" si="13"/>
        <v>43908</v>
      </c>
      <c r="B79" s="96">
        <f t="shared" si="7"/>
        <v>3</v>
      </c>
      <c r="C79" s="96">
        <f t="shared" si="8"/>
        <v>2020</v>
      </c>
      <c r="D79" s="96" t="str">
        <f t="shared" si="9"/>
        <v>2020/03</v>
      </c>
      <c r="E79" s="96" t="str">
        <f t="shared" ca="1" si="10"/>
        <v>M-1</v>
      </c>
      <c r="F79" s="96" t="str">
        <f t="shared" si="11"/>
        <v>Wed</v>
      </c>
      <c r="G79" s="96">
        <f t="shared" si="12"/>
        <v>1</v>
      </c>
    </row>
    <row r="80" spans="1:7" x14ac:dyDescent="0.3">
      <c r="A80" s="63">
        <f t="shared" si="13"/>
        <v>43909</v>
      </c>
      <c r="B80" s="96">
        <f t="shared" si="7"/>
        <v>3</v>
      </c>
      <c r="C80" s="96">
        <f t="shared" si="8"/>
        <v>2020</v>
      </c>
      <c r="D80" s="96" t="str">
        <f t="shared" si="9"/>
        <v>2020/03</v>
      </c>
      <c r="E80" s="96" t="str">
        <f t="shared" ca="1" si="10"/>
        <v>M-1</v>
      </c>
      <c r="F80" s="96" t="str">
        <f t="shared" si="11"/>
        <v>Thu</v>
      </c>
      <c r="G80" s="96">
        <f t="shared" si="12"/>
        <v>1</v>
      </c>
    </row>
    <row r="81" spans="1:7" x14ac:dyDescent="0.3">
      <c r="A81" s="63">
        <f t="shared" si="13"/>
        <v>43910</v>
      </c>
      <c r="B81" s="96">
        <f t="shared" si="7"/>
        <v>3</v>
      </c>
      <c r="C81" s="96">
        <f t="shared" si="8"/>
        <v>2020</v>
      </c>
      <c r="D81" s="96" t="str">
        <f t="shared" si="9"/>
        <v>2020/03</v>
      </c>
      <c r="E81" s="96" t="str">
        <f t="shared" ca="1" si="10"/>
        <v>M-1</v>
      </c>
      <c r="F81" s="96" t="str">
        <f t="shared" si="11"/>
        <v>Fri</v>
      </c>
      <c r="G81" s="96">
        <f t="shared" si="12"/>
        <v>1</v>
      </c>
    </row>
    <row r="82" spans="1:7" x14ac:dyDescent="0.3">
      <c r="A82" s="63">
        <f t="shared" si="13"/>
        <v>43911</v>
      </c>
      <c r="B82" s="96">
        <f t="shared" si="7"/>
        <v>3</v>
      </c>
      <c r="C82" s="96">
        <f t="shared" si="8"/>
        <v>2020</v>
      </c>
      <c r="D82" s="96" t="str">
        <f t="shared" si="9"/>
        <v>2020/03</v>
      </c>
      <c r="E82" s="96" t="str">
        <f t="shared" ca="1" si="10"/>
        <v>M-1</v>
      </c>
      <c r="F82" s="96" t="str">
        <f t="shared" si="11"/>
        <v>Sat</v>
      </c>
      <c r="G82" s="96">
        <f t="shared" si="12"/>
        <v>0</v>
      </c>
    </row>
    <row r="83" spans="1:7" x14ac:dyDescent="0.3">
      <c r="A83" s="63">
        <f t="shared" si="13"/>
        <v>43912</v>
      </c>
      <c r="B83" s="96">
        <f t="shared" si="7"/>
        <v>3</v>
      </c>
      <c r="C83" s="96">
        <f t="shared" si="8"/>
        <v>2020</v>
      </c>
      <c r="D83" s="96" t="str">
        <f t="shared" si="9"/>
        <v>2020/03</v>
      </c>
      <c r="E83" s="96" t="str">
        <f t="shared" ca="1" si="10"/>
        <v>M-1</v>
      </c>
      <c r="F83" s="96" t="str">
        <f t="shared" si="11"/>
        <v>Sun</v>
      </c>
      <c r="G83" s="96">
        <f t="shared" si="12"/>
        <v>0</v>
      </c>
    </row>
    <row r="84" spans="1:7" x14ac:dyDescent="0.3">
      <c r="A84" s="63">
        <f t="shared" si="13"/>
        <v>43913</v>
      </c>
      <c r="B84" s="96">
        <f t="shared" si="7"/>
        <v>3</v>
      </c>
      <c r="C84" s="96">
        <f t="shared" si="8"/>
        <v>2020</v>
      </c>
      <c r="D84" s="96" t="str">
        <f t="shared" si="9"/>
        <v>2020/03</v>
      </c>
      <c r="E84" s="96" t="str">
        <f t="shared" ca="1" si="10"/>
        <v>M-1</v>
      </c>
      <c r="F84" s="96" t="str">
        <f t="shared" si="11"/>
        <v>Mon</v>
      </c>
      <c r="G84" s="96">
        <f t="shared" si="12"/>
        <v>1</v>
      </c>
    </row>
    <row r="85" spans="1:7" x14ac:dyDescent="0.3">
      <c r="A85" s="63">
        <f t="shared" si="13"/>
        <v>43914</v>
      </c>
      <c r="B85" s="96">
        <f t="shared" si="7"/>
        <v>3</v>
      </c>
      <c r="C85" s="96">
        <f t="shared" si="8"/>
        <v>2020</v>
      </c>
      <c r="D85" s="96" t="str">
        <f t="shared" si="9"/>
        <v>2020/03</v>
      </c>
      <c r="E85" s="96" t="str">
        <f t="shared" ca="1" si="10"/>
        <v>M-1</v>
      </c>
      <c r="F85" s="96" t="str">
        <f t="shared" si="11"/>
        <v>Tue</v>
      </c>
      <c r="G85" s="96">
        <f t="shared" si="12"/>
        <v>1</v>
      </c>
    </row>
    <row r="86" spans="1:7" x14ac:dyDescent="0.3">
      <c r="A86" s="63">
        <f t="shared" si="13"/>
        <v>43915</v>
      </c>
      <c r="B86" s="96">
        <f t="shared" si="7"/>
        <v>3</v>
      </c>
      <c r="C86" s="96">
        <f t="shared" si="8"/>
        <v>2020</v>
      </c>
      <c r="D86" s="96" t="str">
        <f t="shared" si="9"/>
        <v>2020/03</v>
      </c>
      <c r="E86" s="96" t="str">
        <f t="shared" ca="1" si="10"/>
        <v>M-1</v>
      </c>
      <c r="F86" s="96" t="str">
        <f t="shared" si="11"/>
        <v>Wed</v>
      </c>
      <c r="G86" s="96">
        <f t="shared" si="12"/>
        <v>1</v>
      </c>
    </row>
    <row r="87" spans="1:7" x14ac:dyDescent="0.3">
      <c r="A87" s="63">
        <f t="shared" si="13"/>
        <v>43916</v>
      </c>
      <c r="B87" s="96">
        <f t="shared" si="7"/>
        <v>3</v>
      </c>
      <c r="C87" s="96">
        <f t="shared" si="8"/>
        <v>2020</v>
      </c>
      <c r="D87" s="96" t="str">
        <f t="shared" si="9"/>
        <v>2020/03</v>
      </c>
      <c r="E87" s="96" t="str">
        <f t="shared" ca="1" si="10"/>
        <v>M-1</v>
      </c>
      <c r="F87" s="96" t="str">
        <f t="shared" si="11"/>
        <v>Thu</v>
      </c>
      <c r="G87" s="96">
        <f t="shared" si="12"/>
        <v>1</v>
      </c>
    </row>
    <row r="88" spans="1:7" x14ac:dyDescent="0.3">
      <c r="A88" s="63">
        <f t="shared" si="13"/>
        <v>43917</v>
      </c>
      <c r="B88" s="96">
        <f t="shared" si="7"/>
        <v>3</v>
      </c>
      <c r="C88" s="96">
        <f t="shared" si="8"/>
        <v>2020</v>
      </c>
      <c r="D88" s="96" t="str">
        <f t="shared" si="9"/>
        <v>2020/03</v>
      </c>
      <c r="E88" s="96" t="str">
        <f t="shared" ca="1" si="10"/>
        <v>M-1</v>
      </c>
      <c r="F88" s="96" t="str">
        <f t="shared" si="11"/>
        <v>Fri</v>
      </c>
      <c r="G88" s="96">
        <f t="shared" si="12"/>
        <v>1</v>
      </c>
    </row>
    <row r="89" spans="1:7" x14ac:dyDescent="0.3">
      <c r="A89" s="63">
        <f t="shared" si="13"/>
        <v>43918</v>
      </c>
      <c r="B89" s="96">
        <f t="shared" si="7"/>
        <v>3</v>
      </c>
      <c r="C89" s="96">
        <f t="shared" si="8"/>
        <v>2020</v>
      </c>
      <c r="D89" s="96" t="str">
        <f t="shared" si="9"/>
        <v>2020/03</v>
      </c>
      <c r="E89" s="96" t="str">
        <f t="shared" ca="1" si="10"/>
        <v>M-1</v>
      </c>
      <c r="F89" s="96" t="str">
        <f t="shared" si="11"/>
        <v>Sat</v>
      </c>
      <c r="G89" s="96">
        <f t="shared" si="12"/>
        <v>0</v>
      </c>
    </row>
    <row r="90" spans="1:7" x14ac:dyDescent="0.3">
      <c r="A90" s="63">
        <f t="shared" si="13"/>
        <v>43919</v>
      </c>
      <c r="B90" s="96">
        <f t="shared" si="7"/>
        <v>3</v>
      </c>
      <c r="C90" s="96">
        <f t="shared" si="8"/>
        <v>2020</v>
      </c>
      <c r="D90" s="96" t="str">
        <f t="shared" si="9"/>
        <v>2020/03</v>
      </c>
      <c r="E90" s="96" t="str">
        <f t="shared" ca="1" si="10"/>
        <v>M-1</v>
      </c>
      <c r="F90" s="96" t="str">
        <f t="shared" si="11"/>
        <v>Sun</v>
      </c>
      <c r="G90" s="96">
        <f t="shared" si="12"/>
        <v>0</v>
      </c>
    </row>
    <row r="91" spans="1:7" x14ac:dyDescent="0.3">
      <c r="A91" s="63">
        <f t="shared" si="13"/>
        <v>43920</v>
      </c>
      <c r="B91" s="96">
        <f t="shared" si="7"/>
        <v>3</v>
      </c>
      <c r="C91" s="96">
        <f t="shared" si="8"/>
        <v>2020</v>
      </c>
      <c r="D91" s="96" t="str">
        <f t="shared" si="9"/>
        <v>2020/03</v>
      </c>
      <c r="E91" s="96" t="str">
        <f t="shared" ca="1" si="10"/>
        <v>M-1</v>
      </c>
      <c r="F91" s="96" t="str">
        <f t="shared" si="11"/>
        <v>Mon</v>
      </c>
      <c r="G91" s="96">
        <f t="shared" si="12"/>
        <v>1</v>
      </c>
    </row>
    <row r="92" spans="1:7" x14ac:dyDescent="0.3">
      <c r="A92" s="63">
        <f t="shared" si="13"/>
        <v>43921</v>
      </c>
      <c r="B92" s="96">
        <f t="shared" si="7"/>
        <v>3</v>
      </c>
      <c r="C92" s="96">
        <f t="shared" si="8"/>
        <v>2020</v>
      </c>
      <c r="D92" s="96" t="str">
        <f t="shared" si="9"/>
        <v>2020/03</v>
      </c>
      <c r="E92" s="96" t="str">
        <f t="shared" ca="1" si="10"/>
        <v>M-1</v>
      </c>
      <c r="F92" s="96" t="str">
        <f t="shared" si="11"/>
        <v>Tue</v>
      </c>
      <c r="G92" s="96">
        <f t="shared" si="12"/>
        <v>1</v>
      </c>
    </row>
    <row r="93" spans="1:7" x14ac:dyDescent="0.3">
      <c r="A93" s="63">
        <f t="shared" si="13"/>
        <v>43922</v>
      </c>
      <c r="B93" s="96">
        <f t="shared" si="7"/>
        <v>4</v>
      </c>
      <c r="C93" s="96">
        <f t="shared" si="8"/>
        <v>2020</v>
      </c>
      <c r="D93" s="96" t="str">
        <f t="shared" si="9"/>
        <v>2020/04</v>
      </c>
      <c r="E93" s="96" t="str">
        <f t="shared" ca="1" si="10"/>
        <v>M0</v>
      </c>
      <c r="F93" s="96" t="str">
        <f t="shared" si="11"/>
        <v>Wed</v>
      </c>
      <c r="G93" s="96">
        <f t="shared" si="12"/>
        <v>1</v>
      </c>
    </row>
    <row r="94" spans="1:7" x14ac:dyDescent="0.3">
      <c r="A94" s="63">
        <f t="shared" si="13"/>
        <v>43923</v>
      </c>
      <c r="B94" s="96">
        <f t="shared" si="7"/>
        <v>4</v>
      </c>
      <c r="C94" s="96">
        <f t="shared" si="8"/>
        <v>2020</v>
      </c>
      <c r="D94" s="96" t="str">
        <f t="shared" si="9"/>
        <v>2020/04</v>
      </c>
      <c r="E94" s="96" t="str">
        <f t="shared" ca="1" si="10"/>
        <v>M0</v>
      </c>
      <c r="F94" s="96" t="str">
        <f t="shared" si="11"/>
        <v>Thu</v>
      </c>
      <c r="G94" s="96">
        <f t="shared" si="12"/>
        <v>1</v>
      </c>
    </row>
    <row r="95" spans="1:7" x14ac:dyDescent="0.3">
      <c r="A95" s="63">
        <f t="shared" si="13"/>
        <v>43924</v>
      </c>
      <c r="B95" s="96">
        <f t="shared" si="7"/>
        <v>4</v>
      </c>
      <c r="C95" s="96">
        <f t="shared" si="8"/>
        <v>2020</v>
      </c>
      <c r="D95" s="96" t="str">
        <f t="shared" si="9"/>
        <v>2020/04</v>
      </c>
      <c r="E95" s="96" t="str">
        <f t="shared" ca="1" si="10"/>
        <v>M0</v>
      </c>
      <c r="F95" s="96" t="str">
        <f t="shared" si="11"/>
        <v>Fri</v>
      </c>
      <c r="G95" s="96">
        <f t="shared" si="12"/>
        <v>1</v>
      </c>
    </row>
    <row r="96" spans="1:7" x14ac:dyDescent="0.3">
      <c r="A96" s="63">
        <f t="shared" si="13"/>
        <v>43925</v>
      </c>
      <c r="B96" s="96">
        <f t="shared" si="7"/>
        <v>4</v>
      </c>
      <c r="C96" s="96">
        <f t="shared" si="8"/>
        <v>2020</v>
      </c>
      <c r="D96" s="96" t="str">
        <f t="shared" si="9"/>
        <v>2020/04</v>
      </c>
      <c r="E96" s="96" t="str">
        <f t="shared" ca="1" si="10"/>
        <v>M0</v>
      </c>
      <c r="F96" s="96" t="str">
        <f t="shared" si="11"/>
        <v>Sat</v>
      </c>
      <c r="G96" s="96">
        <f t="shared" si="12"/>
        <v>0</v>
      </c>
    </row>
    <row r="97" spans="1:7" x14ac:dyDescent="0.3">
      <c r="A97" s="63">
        <f t="shared" si="13"/>
        <v>43926</v>
      </c>
      <c r="B97" s="96">
        <f t="shared" si="7"/>
        <v>4</v>
      </c>
      <c r="C97" s="96">
        <f t="shared" si="8"/>
        <v>2020</v>
      </c>
      <c r="D97" s="96" t="str">
        <f t="shared" si="9"/>
        <v>2020/04</v>
      </c>
      <c r="E97" s="96" t="str">
        <f t="shared" ca="1" si="10"/>
        <v>M0</v>
      </c>
      <c r="F97" s="96" t="str">
        <f t="shared" si="11"/>
        <v>Sun</v>
      </c>
      <c r="G97" s="96">
        <f t="shared" si="12"/>
        <v>0</v>
      </c>
    </row>
    <row r="98" spans="1:7" x14ac:dyDescent="0.3">
      <c r="A98" s="63">
        <f t="shared" si="13"/>
        <v>43927</v>
      </c>
      <c r="B98" s="96">
        <f t="shared" si="7"/>
        <v>4</v>
      </c>
      <c r="C98" s="96">
        <f t="shared" si="8"/>
        <v>2020</v>
      </c>
      <c r="D98" s="96" t="str">
        <f t="shared" si="9"/>
        <v>2020/04</v>
      </c>
      <c r="E98" s="96" t="str">
        <f t="shared" ca="1" si="10"/>
        <v>M0</v>
      </c>
      <c r="F98" s="96" t="str">
        <f t="shared" si="11"/>
        <v>Mon</v>
      </c>
      <c r="G98" s="96">
        <f t="shared" si="12"/>
        <v>1</v>
      </c>
    </row>
    <row r="99" spans="1:7" x14ac:dyDescent="0.3">
      <c r="A99" s="63">
        <f t="shared" si="13"/>
        <v>43928</v>
      </c>
      <c r="B99" s="96">
        <f t="shared" si="7"/>
        <v>4</v>
      </c>
      <c r="C99" s="96">
        <f t="shared" si="8"/>
        <v>2020</v>
      </c>
      <c r="D99" s="96" t="str">
        <f t="shared" si="9"/>
        <v>2020/04</v>
      </c>
      <c r="E99" s="96" t="str">
        <f t="shared" ca="1" si="10"/>
        <v>M0</v>
      </c>
      <c r="F99" s="96" t="str">
        <f t="shared" si="11"/>
        <v>Tue</v>
      </c>
      <c r="G99" s="96">
        <f t="shared" si="12"/>
        <v>1</v>
      </c>
    </row>
    <row r="100" spans="1:7" x14ac:dyDescent="0.3">
      <c r="A100" s="63">
        <f t="shared" si="13"/>
        <v>43929</v>
      </c>
      <c r="B100" s="96">
        <f t="shared" si="7"/>
        <v>4</v>
      </c>
      <c r="C100" s="96">
        <f t="shared" si="8"/>
        <v>2020</v>
      </c>
      <c r="D100" s="96" t="str">
        <f t="shared" si="9"/>
        <v>2020/04</v>
      </c>
      <c r="E100" s="96" t="str">
        <f t="shared" ca="1" si="10"/>
        <v>M0</v>
      </c>
      <c r="F100" s="96" t="str">
        <f t="shared" si="11"/>
        <v>Wed</v>
      </c>
      <c r="G100" s="96">
        <f t="shared" si="12"/>
        <v>1</v>
      </c>
    </row>
    <row r="101" spans="1:7" x14ac:dyDescent="0.3">
      <c r="A101" s="63">
        <f t="shared" si="13"/>
        <v>43930</v>
      </c>
      <c r="B101" s="96">
        <f t="shared" si="7"/>
        <v>4</v>
      </c>
      <c r="C101" s="96">
        <f t="shared" si="8"/>
        <v>2020</v>
      </c>
      <c r="D101" s="96" t="str">
        <f t="shared" si="9"/>
        <v>2020/04</v>
      </c>
      <c r="E101" s="96" t="str">
        <f t="shared" ca="1" si="10"/>
        <v>M0</v>
      </c>
      <c r="F101" s="96" t="str">
        <f t="shared" si="11"/>
        <v>Thu</v>
      </c>
      <c r="G101" s="96">
        <f t="shared" si="12"/>
        <v>1</v>
      </c>
    </row>
    <row r="102" spans="1:7" x14ac:dyDescent="0.3">
      <c r="A102" s="63">
        <f t="shared" si="13"/>
        <v>43931</v>
      </c>
      <c r="B102" s="96">
        <f t="shared" si="7"/>
        <v>4</v>
      </c>
      <c r="C102" s="96">
        <f t="shared" si="8"/>
        <v>2020</v>
      </c>
      <c r="D102" s="96" t="str">
        <f t="shared" si="9"/>
        <v>2020/04</v>
      </c>
      <c r="E102" s="96" t="str">
        <f t="shared" ca="1" si="10"/>
        <v>M0</v>
      </c>
      <c r="F102" s="96" t="str">
        <f t="shared" si="11"/>
        <v>Fri</v>
      </c>
      <c r="G102" s="96">
        <f t="shared" si="12"/>
        <v>1</v>
      </c>
    </row>
    <row r="103" spans="1:7" x14ac:dyDescent="0.3">
      <c r="A103" s="63">
        <f t="shared" si="13"/>
        <v>43932</v>
      </c>
      <c r="B103" s="96">
        <f t="shared" si="7"/>
        <v>4</v>
      </c>
      <c r="C103" s="96">
        <f t="shared" si="8"/>
        <v>2020</v>
      </c>
      <c r="D103" s="96" t="str">
        <f t="shared" si="9"/>
        <v>2020/04</v>
      </c>
      <c r="E103" s="96" t="str">
        <f t="shared" ca="1" si="10"/>
        <v>M0</v>
      </c>
      <c r="F103" s="96" t="str">
        <f t="shared" si="11"/>
        <v>Sat</v>
      </c>
      <c r="G103" s="96">
        <f t="shared" si="12"/>
        <v>0</v>
      </c>
    </row>
    <row r="104" spans="1:7" x14ac:dyDescent="0.3">
      <c r="A104" s="63">
        <f t="shared" si="13"/>
        <v>43933</v>
      </c>
      <c r="B104" s="96">
        <f t="shared" si="7"/>
        <v>4</v>
      </c>
      <c r="C104" s="96">
        <f t="shared" si="8"/>
        <v>2020</v>
      </c>
      <c r="D104" s="96" t="str">
        <f t="shared" si="9"/>
        <v>2020/04</v>
      </c>
      <c r="E104" s="96" t="str">
        <f t="shared" ca="1" si="10"/>
        <v>M0</v>
      </c>
      <c r="F104" s="96" t="str">
        <f t="shared" si="11"/>
        <v>Sun</v>
      </c>
      <c r="G104" s="96">
        <f t="shared" si="12"/>
        <v>0</v>
      </c>
    </row>
    <row r="105" spans="1:7" x14ac:dyDescent="0.3">
      <c r="A105" s="63">
        <f t="shared" si="13"/>
        <v>43934</v>
      </c>
      <c r="B105" s="96">
        <f t="shared" si="7"/>
        <v>4</v>
      </c>
      <c r="C105" s="96">
        <f t="shared" si="8"/>
        <v>2020</v>
      </c>
      <c r="D105" s="96" t="str">
        <f t="shared" si="9"/>
        <v>2020/04</v>
      </c>
      <c r="E105" s="96" t="str">
        <f t="shared" ca="1" si="10"/>
        <v>M0</v>
      </c>
      <c r="F105" s="96" t="str">
        <f t="shared" si="11"/>
        <v>Mon</v>
      </c>
      <c r="G105" s="96">
        <f t="shared" si="12"/>
        <v>1</v>
      </c>
    </row>
    <row r="106" spans="1:7" x14ac:dyDescent="0.3">
      <c r="A106" s="63">
        <f t="shared" si="13"/>
        <v>43935</v>
      </c>
      <c r="B106" s="96">
        <f t="shared" si="7"/>
        <v>4</v>
      </c>
      <c r="C106" s="96">
        <f t="shared" si="8"/>
        <v>2020</v>
      </c>
      <c r="D106" s="96" t="str">
        <f t="shared" si="9"/>
        <v>2020/04</v>
      </c>
      <c r="E106" s="96" t="str">
        <f t="shared" ca="1" si="10"/>
        <v>M0</v>
      </c>
      <c r="F106" s="96" t="str">
        <f t="shared" si="11"/>
        <v>Tue</v>
      </c>
      <c r="G106" s="96">
        <f t="shared" si="12"/>
        <v>1</v>
      </c>
    </row>
    <row r="107" spans="1:7" x14ac:dyDescent="0.3">
      <c r="A107" s="63">
        <f t="shared" si="13"/>
        <v>43936</v>
      </c>
      <c r="B107" s="96">
        <f t="shared" si="7"/>
        <v>4</v>
      </c>
      <c r="C107" s="96">
        <f t="shared" si="8"/>
        <v>2020</v>
      </c>
      <c r="D107" s="96" t="str">
        <f t="shared" si="9"/>
        <v>2020/04</v>
      </c>
      <c r="E107" s="96" t="str">
        <f t="shared" ca="1" si="10"/>
        <v>M0</v>
      </c>
      <c r="F107" s="96" t="str">
        <f t="shared" si="11"/>
        <v>Wed</v>
      </c>
      <c r="G107" s="96">
        <f t="shared" si="12"/>
        <v>1</v>
      </c>
    </row>
    <row r="108" spans="1:7" x14ac:dyDescent="0.3">
      <c r="A108" s="63">
        <f t="shared" si="13"/>
        <v>43937</v>
      </c>
      <c r="B108" s="96">
        <f t="shared" si="7"/>
        <v>4</v>
      </c>
      <c r="C108" s="96">
        <f t="shared" si="8"/>
        <v>2020</v>
      </c>
      <c r="D108" s="96" t="str">
        <f t="shared" si="9"/>
        <v>2020/04</v>
      </c>
      <c r="E108" s="96" t="str">
        <f t="shared" ca="1" si="10"/>
        <v>M0</v>
      </c>
      <c r="F108" s="96" t="str">
        <f t="shared" si="11"/>
        <v>Thu</v>
      </c>
      <c r="G108" s="96">
        <f t="shared" si="12"/>
        <v>1</v>
      </c>
    </row>
    <row r="109" spans="1:7" x14ac:dyDescent="0.3">
      <c r="A109" s="63">
        <f t="shared" si="13"/>
        <v>43938</v>
      </c>
      <c r="B109" s="96">
        <f t="shared" si="7"/>
        <v>4</v>
      </c>
      <c r="C109" s="96">
        <f t="shared" si="8"/>
        <v>2020</v>
      </c>
      <c r="D109" s="96" t="str">
        <f t="shared" si="9"/>
        <v>2020/04</v>
      </c>
      <c r="E109" s="96" t="str">
        <f t="shared" ca="1" si="10"/>
        <v>M0</v>
      </c>
      <c r="F109" s="96" t="str">
        <f t="shared" si="11"/>
        <v>Fri</v>
      </c>
      <c r="G109" s="96">
        <f t="shared" si="12"/>
        <v>1</v>
      </c>
    </row>
    <row r="110" spans="1:7" x14ac:dyDescent="0.3">
      <c r="A110" s="63">
        <f t="shared" si="13"/>
        <v>43939</v>
      </c>
      <c r="B110" s="96">
        <f t="shared" si="7"/>
        <v>4</v>
      </c>
      <c r="C110" s="96">
        <f t="shared" si="8"/>
        <v>2020</v>
      </c>
      <c r="D110" s="96" t="str">
        <f t="shared" si="9"/>
        <v>2020/04</v>
      </c>
      <c r="E110" s="96" t="str">
        <f t="shared" ca="1" si="10"/>
        <v>M0</v>
      </c>
      <c r="F110" s="96" t="str">
        <f t="shared" si="11"/>
        <v>Sat</v>
      </c>
      <c r="G110" s="96">
        <f t="shared" si="12"/>
        <v>0</v>
      </c>
    </row>
    <row r="111" spans="1:7" x14ac:dyDescent="0.3">
      <c r="A111" s="63">
        <f t="shared" si="13"/>
        <v>43940</v>
      </c>
      <c r="B111" s="96">
        <f t="shared" si="7"/>
        <v>4</v>
      </c>
      <c r="C111" s="96">
        <f t="shared" si="8"/>
        <v>2020</v>
      </c>
      <c r="D111" s="96" t="str">
        <f t="shared" si="9"/>
        <v>2020/04</v>
      </c>
      <c r="E111" s="96" t="str">
        <f t="shared" ca="1" si="10"/>
        <v>M0</v>
      </c>
      <c r="F111" s="96" t="str">
        <f t="shared" si="11"/>
        <v>Sun</v>
      </c>
      <c r="G111" s="96">
        <f t="shared" si="12"/>
        <v>0</v>
      </c>
    </row>
    <row r="112" spans="1:7" x14ac:dyDescent="0.3">
      <c r="A112" s="63">
        <f t="shared" si="13"/>
        <v>43941</v>
      </c>
      <c r="B112" s="96">
        <f t="shared" si="7"/>
        <v>4</v>
      </c>
      <c r="C112" s="96">
        <f t="shared" si="8"/>
        <v>2020</v>
      </c>
      <c r="D112" s="96" t="str">
        <f t="shared" si="9"/>
        <v>2020/04</v>
      </c>
      <c r="E112" s="96" t="str">
        <f t="shared" ca="1" si="10"/>
        <v>M0</v>
      </c>
      <c r="F112" s="96" t="str">
        <f t="shared" si="11"/>
        <v>Mon</v>
      </c>
      <c r="G112" s="96">
        <f t="shared" si="12"/>
        <v>1</v>
      </c>
    </row>
    <row r="113" spans="1:7" x14ac:dyDescent="0.3">
      <c r="A113" s="63">
        <f t="shared" si="13"/>
        <v>43942</v>
      </c>
      <c r="B113" s="96">
        <f t="shared" si="7"/>
        <v>4</v>
      </c>
      <c r="C113" s="96">
        <f t="shared" si="8"/>
        <v>2020</v>
      </c>
      <c r="D113" s="96" t="str">
        <f t="shared" si="9"/>
        <v>2020/04</v>
      </c>
      <c r="E113" s="96" t="str">
        <f t="shared" ca="1" si="10"/>
        <v>M0</v>
      </c>
      <c r="F113" s="96" t="str">
        <f t="shared" si="11"/>
        <v>Tue</v>
      </c>
      <c r="G113" s="96">
        <f t="shared" si="12"/>
        <v>1</v>
      </c>
    </row>
    <row r="114" spans="1:7" x14ac:dyDescent="0.3">
      <c r="A114" s="63">
        <f t="shared" si="13"/>
        <v>43943</v>
      </c>
      <c r="B114" s="96">
        <f t="shared" si="7"/>
        <v>4</v>
      </c>
      <c r="C114" s="96">
        <f t="shared" si="8"/>
        <v>2020</v>
      </c>
      <c r="D114" s="96" t="str">
        <f t="shared" si="9"/>
        <v>2020/04</v>
      </c>
      <c r="E114" s="96" t="str">
        <f t="shared" ca="1" si="10"/>
        <v>M0</v>
      </c>
      <c r="F114" s="96" t="str">
        <f t="shared" si="11"/>
        <v>Wed</v>
      </c>
      <c r="G114" s="96">
        <f t="shared" si="12"/>
        <v>1</v>
      </c>
    </row>
    <row r="115" spans="1:7" x14ac:dyDescent="0.3">
      <c r="A115" s="63">
        <f t="shared" si="13"/>
        <v>43944</v>
      </c>
      <c r="B115" s="96">
        <f t="shared" si="7"/>
        <v>4</v>
      </c>
      <c r="C115" s="96">
        <f t="shared" si="8"/>
        <v>2020</v>
      </c>
      <c r="D115" s="96" t="str">
        <f t="shared" si="9"/>
        <v>2020/04</v>
      </c>
      <c r="E115" s="96" t="str">
        <f t="shared" ca="1" si="10"/>
        <v>M0</v>
      </c>
      <c r="F115" s="96" t="str">
        <f t="shared" si="11"/>
        <v>Thu</v>
      </c>
      <c r="G115" s="96">
        <f t="shared" si="12"/>
        <v>1</v>
      </c>
    </row>
    <row r="116" spans="1:7" x14ac:dyDescent="0.3">
      <c r="A116" s="63">
        <f t="shared" si="13"/>
        <v>43945</v>
      </c>
      <c r="B116" s="96">
        <f t="shared" si="7"/>
        <v>4</v>
      </c>
      <c r="C116" s="96">
        <f t="shared" si="8"/>
        <v>2020</v>
      </c>
      <c r="D116" s="96" t="str">
        <f t="shared" si="9"/>
        <v>2020/04</v>
      </c>
      <c r="E116" s="96" t="str">
        <f t="shared" ca="1" si="10"/>
        <v>M0</v>
      </c>
      <c r="F116" s="96" t="str">
        <f t="shared" si="11"/>
        <v>Fri</v>
      </c>
      <c r="G116" s="96">
        <f t="shared" si="12"/>
        <v>1</v>
      </c>
    </row>
    <row r="117" spans="1:7" x14ac:dyDescent="0.3">
      <c r="A117" s="63">
        <f t="shared" si="13"/>
        <v>43946</v>
      </c>
      <c r="B117" s="96">
        <f t="shared" si="7"/>
        <v>4</v>
      </c>
      <c r="C117" s="96">
        <f t="shared" si="8"/>
        <v>2020</v>
      </c>
      <c r="D117" s="96" t="str">
        <f t="shared" si="9"/>
        <v>2020/04</v>
      </c>
      <c r="E117" s="96" t="str">
        <f t="shared" ca="1" si="10"/>
        <v>M0</v>
      </c>
      <c r="F117" s="96" t="str">
        <f t="shared" si="11"/>
        <v>Sat</v>
      </c>
      <c r="G117" s="96">
        <f t="shared" si="12"/>
        <v>0</v>
      </c>
    </row>
    <row r="118" spans="1:7" x14ac:dyDescent="0.3">
      <c r="A118" s="63">
        <f t="shared" si="13"/>
        <v>43947</v>
      </c>
      <c r="B118" s="96">
        <f t="shared" si="7"/>
        <v>4</v>
      </c>
      <c r="C118" s="96">
        <f t="shared" si="8"/>
        <v>2020</v>
      </c>
      <c r="D118" s="96" t="str">
        <f t="shared" si="9"/>
        <v>2020/04</v>
      </c>
      <c r="E118" s="96" t="str">
        <f t="shared" ca="1" si="10"/>
        <v>M0</v>
      </c>
      <c r="F118" s="96" t="str">
        <f t="shared" si="11"/>
        <v>Sun</v>
      </c>
      <c r="G118" s="96">
        <f t="shared" si="12"/>
        <v>0</v>
      </c>
    </row>
    <row r="119" spans="1:7" x14ac:dyDescent="0.3">
      <c r="A119" s="63">
        <f t="shared" si="13"/>
        <v>43948</v>
      </c>
      <c r="B119" s="96">
        <f t="shared" si="7"/>
        <v>4</v>
      </c>
      <c r="C119" s="96">
        <f t="shared" si="8"/>
        <v>2020</v>
      </c>
      <c r="D119" s="96" t="str">
        <f t="shared" si="9"/>
        <v>2020/04</v>
      </c>
      <c r="E119" s="96" t="str">
        <f t="shared" ca="1" si="10"/>
        <v>M0</v>
      </c>
      <c r="F119" s="96" t="str">
        <f t="shared" si="11"/>
        <v>Mon</v>
      </c>
      <c r="G119" s="96">
        <f t="shared" si="12"/>
        <v>1</v>
      </c>
    </row>
    <row r="120" spans="1:7" x14ac:dyDescent="0.3">
      <c r="A120" s="63">
        <f t="shared" si="13"/>
        <v>43949</v>
      </c>
      <c r="B120" s="96">
        <f t="shared" si="7"/>
        <v>4</v>
      </c>
      <c r="C120" s="96">
        <f t="shared" si="8"/>
        <v>2020</v>
      </c>
      <c r="D120" s="96" t="str">
        <f t="shared" si="9"/>
        <v>2020/04</v>
      </c>
      <c r="E120" s="96" t="str">
        <f t="shared" ca="1" si="10"/>
        <v>M0</v>
      </c>
      <c r="F120" s="96" t="str">
        <f t="shared" si="11"/>
        <v>Tue</v>
      </c>
      <c r="G120" s="96">
        <f t="shared" si="12"/>
        <v>1</v>
      </c>
    </row>
    <row r="121" spans="1:7" x14ac:dyDescent="0.3">
      <c r="A121" s="63">
        <f t="shared" si="13"/>
        <v>43950</v>
      </c>
      <c r="B121" s="96">
        <f t="shared" si="7"/>
        <v>4</v>
      </c>
      <c r="C121" s="96">
        <f t="shared" si="8"/>
        <v>2020</v>
      </c>
      <c r="D121" s="96" t="str">
        <f t="shared" si="9"/>
        <v>2020/04</v>
      </c>
      <c r="E121" s="96" t="str">
        <f t="shared" ca="1" si="10"/>
        <v>M0</v>
      </c>
      <c r="F121" s="96" t="str">
        <f t="shared" si="11"/>
        <v>Wed</v>
      </c>
      <c r="G121" s="96">
        <f t="shared" si="12"/>
        <v>1</v>
      </c>
    </row>
    <row r="122" spans="1:7" x14ac:dyDescent="0.3">
      <c r="A122" s="63">
        <f t="shared" si="13"/>
        <v>43951</v>
      </c>
      <c r="B122" s="96">
        <f t="shared" si="7"/>
        <v>4</v>
      </c>
      <c r="C122" s="96">
        <f t="shared" si="8"/>
        <v>2020</v>
      </c>
      <c r="D122" s="96" t="str">
        <f t="shared" si="9"/>
        <v>2020/04</v>
      </c>
      <c r="E122" s="96" t="str">
        <f t="shared" ca="1" si="10"/>
        <v>M0</v>
      </c>
      <c r="F122" s="96" t="str">
        <f t="shared" si="11"/>
        <v>Thu</v>
      </c>
      <c r="G122" s="96">
        <f t="shared" si="12"/>
        <v>1</v>
      </c>
    </row>
    <row r="123" spans="1:7" x14ac:dyDescent="0.3">
      <c r="A123" s="63">
        <f t="shared" si="13"/>
        <v>43952</v>
      </c>
      <c r="B123" s="96">
        <f t="shared" si="7"/>
        <v>5</v>
      </c>
      <c r="C123" s="96">
        <f t="shared" si="8"/>
        <v>2020</v>
      </c>
      <c r="D123" s="96" t="str">
        <f t="shared" si="9"/>
        <v>2020/05</v>
      </c>
      <c r="E123" s="96" t="str">
        <f t="shared" ca="1" si="10"/>
        <v>M1</v>
      </c>
      <c r="F123" s="96" t="str">
        <f t="shared" si="11"/>
        <v>Fri</v>
      </c>
      <c r="G123" s="96">
        <f t="shared" si="12"/>
        <v>1</v>
      </c>
    </row>
    <row r="124" spans="1:7" x14ac:dyDescent="0.3">
      <c r="A124" s="63">
        <f t="shared" si="13"/>
        <v>43953</v>
      </c>
      <c r="B124" s="96">
        <f t="shared" si="7"/>
        <v>5</v>
      </c>
      <c r="C124" s="96">
        <f t="shared" si="8"/>
        <v>2020</v>
      </c>
      <c r="D124" s="96" t="str">
        <f t="shared" si="9"/>
        <v>2020/05</v>
      </c>
      <c r="E124" s="96" t="str">
        <f t="shared" ca="1" si="10"/>
        <v>M1</v>
      </c>
      <c r="F124" s="96" t="str">
        <f t="shared" si="11"/>
        <v>Sat</v>
      </c>
      <c r="G124" s="96">
        <f t="shared" si="12"/>
        <v>0</v>
      </c>
    </row>
    <row r="125" spans="1:7" x14ac:dyDescent="0.3">
      <c r="A125" s="63">
        <f t="shared" si="13"/>
        <v>43954</v>
      </c>
      <c r="B125" s="96">
        <f t="shared" si="7"/>
        <v>5</v>
      </c>
      <c r="C125" s="96">
        <f t="shared" si="8"/>
        <v>2020</v>
      </c>
      <c r="D125" s="96" t="str">
        <f t="shared" si="9"/>
        <v>2020/05</v>
      </c>
      <c r="E125" s="96" t="str">
        <f t="shared" ca="1" si="10"/>
        <v>M1</v>
      </c>
      <c r="F125" s="96" t="str">
        <f t="shared" si="11"/>
        <v>Sun</v>
      </c>
      <c r="G125" s="96">
        <f t="shared" si="12"/>
        <v>0</v>
      </c>
    </row>
    <row r="126" spans="1:7" x14ac:dyDescent="0.3">
      <c r="A126" s="63">
        <f t="shared" si="13"/>
        <v>43955</v>
      </c>
      <c r="B126" s="96">
        <f t="shared" si="7"/>
        <v>5</v>
      </c>
      <c r="C126" s="96">
        <f t="shared" si="8"/>
        <v>2020</v>
      </c>
      <c r="D126" s="96" t="str">
        <f t="shared" si="9"/>
        <v>2020/05</v>
      </c>
      <c r="E126" s="96" t="str">
        <f t="shared" ca="1" si="10"/>
        <v>M1</v>
      </c>
      <c r="F126" s="96" t="str">
        <f t="shared" si="11"/>
        <v>Mon</v>
      </c>
      <c r="G126" s="96">
        <f t="shared" si="12"/>
        <v>1</v>
      </c>
    </row>
    <row r="127" spans="1:7" x14ac:dyDescent="0.3">
      <c r="A127" s="63">
        <f t="shared" si="13"/>
        <v>43956</v>
      </c>
      <c r="B127" s="96">
        <f t="shared" si="7"/>
        <v>5</v>
      </c>
      <c r="C127" s="96">
        <f t="shared" si="8"/>
        <v>2020</v>
      </c>
      <c r="D127" s="96" t="str">
        <f t="shared" si="9"/>
        <v>2020/05</v>
      </c>
      <c r="E127" s="96" t="str">
        <f t="shared" ca="1" si="10"/>
        <v>M1</v>
      </c>
      <c r="F127" s="96" t="str">
        <f t="shared" si="11"/>
        <v>Tue</v>
      </c>
      <c r="G127" s="96">
        <f t="shared" si="12"/>
        <v>1</v>
      </c>
    </row>
    <row r="128" spans="1:7" x14ac:dyDescent="0.3">
      <c r="A128" s="63">
        <f t="shared" si="13"/>
        <v>43957</v>
      </c>
      <c r="B128" s="96">
        <f t="shared" si="7"/>
        <v>5</v>
      </c>
      <c r="C128" s="96">
        <f t="shared" si="8"/>
        <v>2020</v>
      </c>
      <c r="D128" s="96" t="str">
        <f t="shared" si="9"/>
        <v>2020/05</v>
      </c>
      <c r="E128" s="96" t="str">
        <f t="shared" ca="1" si="10"/>
        <v>M1</v>
      </c>
      <c r="F128" s="96" t="str">
        <f t="shared" si="11"/>
        <v>Wed</v>
      </c>
      <c r="G128" s="96">
        <f t="shared" si="12"/>
        <v>1</v>
      </c>
    </row>
    <row r="129" spans="1:7" x14ac:dyDescent="0.3">
      <c r="A129" s="63">
        <f t="shared" si="13"/>
        <v>43958</v>
      </c>
      <c r="B129" s="96">
        <f t="shared" si="7"/>
        <v>5</v>
      </c>
      <c r="C129" s="96">
        <f t="shared" si="8"/>
        <v>2020</v>
      </c>
      <c r="D129" s="96" t="str">
        <f t="shared" si="9"/>
        <v>2020/05</v>
      </c>
      <c r="E129" s="96" t="str">
        <f t="shared" ca="1" si="10"/>
        <v>M1</v>
      </c>
      <c r="F129" s="96" t="str">
        <f t="shared" si="11"/>
        <v>Thu</v>
      </c>
      <c r="G129" s="96">
        <f t="shared" si="12"/>
        <v>1</v>
      </c>
    </row>
    <row r="130" spans="1:7" x14ac:dyDescent="0.3">
      <c r="A130" s="63">
        <f t="shared" si="13"/>
        <v>43959</v>
      </c>
      <c r="B130" s="96">
        <f t="shared" si="7"/>
        <v>5</v>
      </c>
      <c r="C130" s="96">
        <f t="shared" si="8"/>
        <v>2020</v>
      </c>
      <c r="D130" s="96" t="str">
        <f t="shared" si="9"/>
        <v>2020/05</v>
      </c>
      <c r="E130" s="96" t="str">
        <f t="shared" ca="1" si="10"/>
        <v>M1</v>
      </c>
      <c r="F130" s="96" t="str">
        <f t="shared" si="11"/>
        <v>Fri</v>
      </c>
      <c r="G130" s="96">
        <f t="shared" si="12"/>
        <v>1</v>
      </c>
    </row>
    <row r="131" spans="1:7" x14ac:dyDescent="0.3">
      <c r="A131" s="63">
        <f t="shared" si="13"/>
        <v>43960</v>
      </c>
      <c r="B131" s="96">
        <f t="shared" ref="B131:B194" si="14">MONTH(A131)</f>
        <v>5</v>
      </c>
      <c r="C131" s="96">
        <f t="shared" ref="C131:C194" si="15">YEAR(A131)</f>
        <v>2020</v>
      </c>
      <c r="D131" s="96" t="str">
        <f t="shared" ref="D131:D194" si="16">CONCATENATE(C131,"/",TEXT(B131,"00"))</f>
        <v>2020/05</v>
      </c>
      <c r="E131" s="96" t="str">
        <f t="shared" ref="E131:E194" ca="1" si="17">CONCATENATE("M",B131-MONTH(TODAY())+12*(YEAR(TODAY())-C131))</f>
        <v>M1</v>
      </c>
      <c r="F131" s="96" t="str">
        <f t="shared" ref="F131:F194" si="18">TEXT(A131,"ddd")</f>
        <v>Sat</v>
      </c>
      <c r="G131" s="96">
        <f t="shared" ref="G131:G194" si="19">IF(LEFT(F131,1)="s",0,1)</f>
        <v>0</v>
      </c>
    </row>
    <row r="132" spans="1:7" x14ac:dyDescent="0.3">
      <c r="A132" s="63">
        <f t="shared" ref="A132:A195" si="20">A131+1</f>
        <v>43961</v>
      </c>
      <c r="B132" s="96">
        <f t="shared" si="14"/>
        <v>5</v>
      </c>
      <c r="C132" s="96">
        <f t="shared" si="15"/>
        <v>2020</v>
      </c>
      <c r="D132" s="96" t="str">
        <f t="shared" si="16"/>
        <v>2020/05</v>
      </c>
      <c r="E132" s="96" t="str">
        <f t="shared" ca="1" si="17"/>
        <v>M1</v>
      </c>
      <c r="F132" s="96" t="str">
        <f t="shared" si="18"/>
        <v>Sun</v>
      </c>
      <c r="G132" s="96">
        <f t="shared" si="19"/>
        <v>0</v>
      </c>
    </row>
    <row r="133" spans="1:7" x14ac:dyDescent="0.3">
      <c r="A133" s="63">
        <f t="shared" si="20"/>
        <v>43962</v>
      </c>
      <c r="B133" s="96">
        <f t="shared" si="14"/>
        <v>5</v>
      </c>
      <c r="C133" s="96">
        <f t="shared" si="15"/>
        <v>2020</v>
      </c>
      <c r="D133" s="96" t="str">
        <f t="shared" si="16"/>
        <v>2020/05</v>
      </c>
      <c r="E133" s="96" t="str">
        <f t="shared" ca="1" si="17"/>
        <v>M1</v>
      </c>
      <c r="F133" s="96" t="str">
        <f t="shared" si="18"/>
        <v>Mon</v>
      </c>
      <c r="G133" s="96">
        <f t="shared" si="19"/>
        <v>1</v>
      </c>
    </row>
    <row r="134" spans="1:7" x14ac:dyDescent="0.3">
      <c r="A134" s="63">
        <f t="shared" si="20"/>
        <v>43963</v>
      </c>
      <c r="B134" s="96">
        <f t="shared" si="14"/>
        <v>5</v>
      </c>
      <c r="C134" s="96">
        <f t="shared" si="15"/>
        <v>2020</v>
      </c>
      <c r="D134" s="96" t="str">
        <f t="shared" si="16"/>
        <v>2020/05</v>
      </c>
      <c r="E134" s="96" t="str">
        <f t="shared" ca="1" si="17"/>
        <v>M1</v>
      </c>
      <c r="F134" s="96" t="str">
        <f t="shared" si="18"/>
        <v>Tue</v>
      </c>
      <c r="G134" s="96">
        <f t="shared" si="19"/>
        <v>1</v>
      </c>
    </row>
    <row r="135" spans="1:7" x14ac:dyDescent="0.3">
      <c r="A135" s="63">
        <f t="shared" si="20"/>
        <v>43964</v>
      </c>
      <c r="B135" s="96">
        <f t="shared" si="14"/>
        <v>5</v>
      </c>
      <c r="C135" s="96">
        <f t="shared" si="15"/>
        <v>2020</v>
      </c>
      <c r="D135" s="96" t="str">
        <f t="shared" si="16"/>
        <v>2020/05</v>
      </c>
      <c r="E135" s="96" t="str">
        <f t="shared" ca="1" si="17"/>
        <v>M1</v>
      </c>
      <c r="F135" s="96" t="str">
        <f t="shared" si="18"/>
        <v>Wed</v>
      </c>
      <c r="G135" s="96">
        <f t="shared" si="19"/>
        <v>1</v>
      </c>
    </row>
    <row r="136" spans="1:7" x14ac:dyDescent="0.3">
      <c r="A136" s="63">
        <f t="shared" si="20"/>
        <v>43965</v>
      </c>
      <c r="B136" s="96">
        <f t="shared" si="14"/>
        <v>5</v>
      </c>
      <c r="C136" s="96">
        <f t="shared" si="15"/>
        <v>2020</v>
      </c>
      <c r="D136" s="96" t="str">
        <f t="shared" si="16"/>
        <v>2020/05</v>
      </c>
      <c r="E136" s="96" t="str">
        <f t="shared" ca="1" si="17"/>
        <v>M1</v>
      </c>
      <c r="F136" s="96" t="str">
        <f t="shared" si="18"/>
        <v>Thu</v>
      </c>
      <c r="G136" s="96">
        <f t="shared" si="19"/>
        <v>1</v>
      </c>
    </row>
    <row r="137" spans="1:7" x14ac:dyDescent="0.3">
      <c r="A137" s="63">
        <f t="shared" si="20"/>
        <v>43966</v>
      </c>
      <c r="B137" s="96">
        <f t="shared" si="14"/>
        <v>5</v>
      </c>
      <c r="C137" s="96">
        <f t="shared" si="15"/>
        <v>2020</v>
      </c>
      <c r="D137" s="96" t="str">
        <f t="shared" si="16"/>
        <v>2020/05</v>
      </c>
      <c r="E137" s="96" t="str">
        <f t="shared" ca="1" si="17"/>
        <v>M1</v>
      </c>
      <c r="F137" s="96" t="str">
        <f t="shared" si="18"/>
        <v>Fri</v>
      </c>
      <c r="G137" s="96">
        <f t="shared" si="19"/>
        <v>1</v>
      </c>
    </row>
    <row r="138" spans="1:7" x14ac:dyDescent="0.3">
      <c r="A138" s="63">
        <f t="shared" si="20"/>
        <v>43967</v>
      </c>
      <c r="B138" s="96">
        <f t="shared" si="14"/>
        <v>5</v>
      </c>
      <c r="C138" s="96">
        <f t="shared" si="15"/>
        <v>2020</v>
      </c>
      <c r="D138" s="96" t="str">
        <f t="shared" si="16"/>
        <v>2020/05</v>
      </c>
      <c r="E138" s="96" t="str">
        <f t="shared" ca="1" si="17"/>
        <v>M1</v>
      </c>
      <c r="F138" s="96" t="str">
        <f t="shared" si="18"/>
        <v>Sat</v>
      </c>
      <c r="G138" s="96">
        <f t="shared" si="19"/>
        <v>0</v>
      </c>
    </row>
    <row r="139" spans="1:7" x14ac:dyDescent="0.3">
      <c r="A139" s="63">
        <f t="shared" si="20"/>
        <v>43968</v>
      </c>
      <c r="B139" s="96">
        <f t="shared" si="14"/>
        <v>5</v>
      </c>
      <c r="C139" s="96">
        <f t="shared" si="15"/>
        <v>2020</v>
      </c>
      <c r="D139" s="96" t="str">
        <f t="shared" si="16"/>
        <v>2020/05</v>
      </c>
      <c r="E139" s="96" t="str">
        <f t="shared" ca="1" si="17"/>
        <v>M1</v>
      </c>
      <c r="F139" s="96" t="str">
        <f t="shared" si="18"/>
        <v>Sun</v>
      </c>
      <c r="G139" s="96">
        <f t="shared" si="19"/>
        <v>0</v>
      </c>
    </row>
    <row r="140" spans="1:7" x14ac:dyDescent="0.3">
      <c r="A140" s="63">
        <f t="shared" si="20"/>
        <v>43969</v>
      </c>
      <c r="B140" s="96">
        <f t="shared" si="14"/>
        <v>5</v>
      </c>
      <c r="C140" s="96">
        <f t="shared" si="15"/>
        <v>2020</v>
      </c>
      <c r="D140" s="96" t="str">
        <f t="shared" si="16"/>
        <v>2020/05</v>
      </c>
      <c r="E140" s="96" t="str">
        <f t="shared" ca="1" si="17"/>
        <v>M1</v>
      </c>
      <c r="F140" s="96" t="str">
        <f t="shared" si="18"/>
        <v>Mon</v>
      </c>
      <c r="G140" s="96">
        <f t="shared" si="19"/>
        <v>1</v>
      </c>
    </row>
    <row r="141" spans="1:7" x14ac:dyDescent="0.3">
      <c r="A141" s="63">
        <f t="shared" si="20"/>
        <v>43970</v>
      </c>
      <c r="B141" s="96">
        <f t="shared" si="14"/>
        <v>5</v>
      </c>
      <c r="C141" s="96">
        <f t="shared" si="15"/>
        <v>2020</v>
      </c>
      <c r="D141" s="96" t="str">
        <f t="shared" si="16"/>
        <v>2020/05</v>
      </c>
      <c r="E141" s="96" t="str">
        <f t="shared" ca="1" si="17"/>
        <v>M1</v>
      </c>
      <c r="F141" s="96" t="str">
        <f t="shared" si="18"/>
        <v>Tue</v>
      </c>
      <c r="G141" s="96">
        <f t="shared" si="19"/>
        <v>1</v>
      </c>
    </row>
    <row r="142" spans="1:7" x14ac:dyDescent="0.3">
      <c r="A142" s="63">
        <f t="shared" si="20"/>
        <v>43971</v>
      </c>
      <c r="B142" s="96">
        <f t="shared" si="14"/>
        <v>5</v>
      </c>
      <c r="C142" s="96">
        <f t="shared" si="15"/>
        <v>2020</v>
      </c>
      <c r="D142" s="96" t="str">
        <f t="shared" si="16"/>
        <v>2020/05</v>
      </c>
      <c r="E142" s="96" t="str">
        <f t="shared" ca="1" si="17"/>
        <v>M1</v>
      </c>
      <c r="F142" s="96" t="str">
        <f t="shared" si="18"/>
        <v>Wed</v>
      </c>
      <c r="G142" s="96">
        <f t="shared" si="19"/>
        <v>1</v>
      </c>
    </row>
    <row r="143" spans="1:7" x14ac:dyDescent="0.3">
      <c r="A143" s="63">
        <f t="shared" si="20"/>
        <v>43972</v>
      </c>
      <c r="B143" s="96">
        <f t="shared" si="14"/>
        <v>5</v>
      </c>
      <c r="C143" s="96">
        <f t="shared" si="15"/>
        <v>2020</v>
      </c>
      <c r="D143" s="96" t="str">
        <f t="shared" si="16"/>
        <v>2020/05</v>
      </c>
      <c r="E143" s="96" t="str">
        <f t="shared" ca="1" si="17"/>
        <v>M1</v>
      </c>
      <c r="F143" s="96" t="str">
        <f t="shared" si="18"/>
        <v>Thu</v>
      </c>
      <c r="G143" s="96">
        <f t="shared" si="19"/>
        <v>1</v>
      </c>
    </row>
    <row r="144" spans="1:7" x14ac:dyDescent="0.3">
      <c r="A144" s="63">
        <f t="shared" si="20"/>
        <v>43973</v>
      </c>
      <c r="B144" s="96">
        <f t="shared" si="14"/>
        <v>5</v>
      </c>
      <c r="C144" s="96">
        <f t="shared" si="15"/>
        <v>2020</v>
      </c>
      <c r="D144" s="96" t="str">
        <f t="shared" si="16"/>
        <v>2020/05</v>
      </c>
      <c r="E144" s="96" t="str">
        <f t="shared" ca="1" si="17"/>
        <v>M1</v>
      </c>
      <c r="F144" s="96" t="str">
        <f t="shared" si="18"/>
        <v>Fri</v>
      </c>
      <c r="G144" s="96">
        <f t="shared" si="19"/>
        <v>1</v>
      </c>
    </row>
    <row r="145" spans="1:7" x14ac:dyDescent="0.3">
      <c r="A145" s="63">
        <f t="shared" si="20"/>
        <v>43974</v>
      </c>
      <c r="B145" s="96">
        <f t="shared" si="14"/>
        <v>5</v>
      </c>
      <c r="C145" s="96">
        <f t="shared" si="15"/>
        <v>2020</v>
      </c>
      <c r="D145" s="96" t="str">
        <f t="shared" si="16"/>
        <v>2020/05</v>
      </c>
      <c r="E145" s="96" t="str">
        <f t="shared" ca="1" si="17"/>
        <v>M1</v>
      </c>
      <c r="F145" s="96" t="str">
        <f t="shared" si="18"/>
        <v>Sat</v>
      </c>
      <c r="G145" s="96">
        <f t="shared" si="19"/>
        <v>0</v>
      </c>
    </row>
    <row r="146" spans="1:7" x14ac:dyDescent="0.3">
      <c r="A146" s="63">
        <f t="shared" si="20"/>
        <v>43975</v>
      </c>
      <c r="B146" s="96">
        <f t="shared" si="14"/>
        <v>5</v>
      </c>
      <c r="C146" s="96">
        <f t="shared" si="15"/>
        <v>2020</v>
      </c>
      <c r="D146" s="96" t="str">
        <f t="shared" si="16"/>
        <v>2020/05</v>
      </c>
      <c r="E146" s="96" t="str">
        <f t="shared" ca="1" si="17"/>
        <v>M1</v>
      </c>
      <c r="F146" s="96" t="str">
        <f t="shared" si="18"/>
        <v>Sun</v>
      </c>
      <c r="G146" s="96">
        <f t="shared" si="19"/>
        <v>0</v>
      </c>
    </row>
    <row r="147" spans="1:7" x14ac:dyDescent="0.3">
      <c r="A147" s="63">
        <f t="shared" si="20"/>
        <v>43976</v>
      </c>
      <c r="B147" s="96">
        <f t="shared" si="14"/>
        <v>5</v>
      </c>
      <c r="C147" s="96">
        <f t="shared" si="15"/>
        <v>2020</v>
      </c>
      <c r="D147" s="96" t="str">
        <f t="shared" si="16"/>
        <v>2020/05</v>
      </c>
      <c r="E147" s="96" t="str">
        <f t="shared" ca="1" si="17"/>
        <v>M1</v>
      </c>
      <c r="F147" s="96" t="str">
        <f t="shared" si="18"/>
        <v>Mon</v>
      </c>
      <c r="G147" s="96">
        <f t="shared" si="19"/>
        <v>1</v>
      </c>
    </row>
    <row r="148" spans="1:7" x14ac:dyDescent="0.3">
      <c r="A148" s="63">
        <f t="shared" si="20"/>
        <v>43977</v>
      </c>
      <c r="B148" s="96">
        <f t="shared" si="14"/>
        <v>5</v>
      </c>
      <c r="C148" s="96">
        <f t="shared" si="15"/>
        <v>2020</v>
      </c>
      <c r="D148" s="96" t="str">
        <f t="shared" si="16"/>
        <v>2020/05</v>
      </c>
      <c r="E148" s="96" t="str">
        <f t="shared" ca="1" si="17"/>
        <v>M1</v>
      </c>
      <c r="F148" s="96" t="str">
        <f t="shared" si="18"/>
        <v>Tue</v>
      </c>
      <c r="G148" s="96">
        <f t="shared" si="19"/>
        <v>1</v>
      </c>
    </row>
    <row r="149" spans="1:7" x14ac:dyDescent="0.3">
      <c r="A149" s="63">
        <f t="shared" si="20"/>
        <v>43978</v>
      </c>
      <c r="B149" s="96">
        <f t="shared" si="14"/>
        <v>5</v>
      </c>
      <c r="C149" s="96">
        <f t="shared" si="15"/>
        <v>2020</v>
      </c>
      <c r="D149" s="96" t="str">
        <f t="shared" si="16"/>
        <v>2020/05</v>
      </c>
      <c r="E149" s="96" t="str">
        <f t="shared" ca="1" si="17"/>
        <v>M1</v>
      </c>
      <c r="F149" s="96" t="str">
        <f t="shared" si="18"/>
        <v>Wed</v>
      </c>
      <c r="G149" s="96">
        <f t="shared" si="19"/>
        <v>1</v>
      </c>
    </row>
    <row r="150" spans="1:7" x14ac:dyDescent="0.3">
      <c r="A150" s="63">
        <f t="shared" si="20"/>
        <v>43979</v>
      </c>
      <c r="B150" s="96">
        <f t="shared" si="14"/>
        <v>5</v>
      </c>
      <c r="C150" s="96">
        <f t="shared" si="15"/>
        <v>2020</v>
      </c>
      <c r="D150" s="96" t="str">
        <f t="shared" si="16"/>
        <v>2020/05</v>
      </c>
      <c r="E150" s="96" t="str">
        <f t="shared" ca="1" si="17"/>
        <v>M1</v>
      </c>
      <c r="F150" s="96" t="str">
        <f t="shared" si="18"/>
        <v>Thu</v>
      </c>
      <c r="G150" s="96">
        <f t="shared" si="19"/>
        <v>1</v>
      </c>
    </row>
    <row r="151" spans="1:7" x14ac:dyDescent="0.3">
      <c r="A151" s="63">
        <f t="shared" si="20"/>
        <v>43980</v>
      </c>
      <c r="B151" s="96">
        <f t="shared" si="14"/>
        <v>5</v>
      </c>
      <c r="C151" s="96">
        <f t="shared" si="15"/>
        <v>2020</v>
      </c>
      <c r="D151" s="96" t="str">
        <f t="shared" si="16"/>
        <v>2020/05</v>
      </c>
      <c r="E151" s="96" t="str">
        <f t="shared" ca="1" si="17"/>
        <v>M1</v>
      </c>
      <c r="F151" s="96" t="str">
        <f t="shared" si="18"/>
        <v>Fri</v>
      </c>
      <c r="G151" s="96">
        <f t="shared" si="19"/>
        <v>1</v>
      </c>
    </row>
    <row r="152" spans="1:7" x14ac:dyDescent="0.3">
      <c r="A152" s="63">
        <f t="shared" si="20"/>
        <v>43981</v>
      </c>
      <c r="B152" s="96">
        <f t="shared" si="14"/>
        <v>5</v>
      </c>
      <c r="C152" s="96">
        <f t="shared" si="15"/>
        <v>2020</v>
      </c>
      <c r="D152" s="96" t="str">
        <f t="shared" si="16"/>
        <v>2020/05</v>
      </c>
      <c r="E152" s="96" t="str">
        <f t="shared" ca="1" si="17"/>
        <v>M1</v>
      </c>
      <c r="F152" s="96" t="str">
        <f t="shared" si="18"/>
        <v>Sat</v>
      </c>
      <c r="G152" s="96">
        <f t="shared" si="19"/>
        <v>0</v>
      </c>
    </row>
    <row r="153" spans="1:7" x14ac:dyDescent="0.3">
      <c r="A153" s="63">
        <f t="shared" si="20"/>
        <v>43982</v>
      </c>
      <c r="B153" s="96">
        <f t="shared" si="14"/>
        <v>5</v>
      </c>
      <c r="C153" s="96">
        <f t="shared" si="15"/>
        <v>2020</v>
      </c>
      <c r="D153" s="96" t="str">
        <f t="shared" si="16"/>
        <v>2020/05</v>
      </c>
      <c r="E153" s="96" t="str">
        <f t="shared" ca="1" si="17"/>
        <v>M1</v>
      </c>
      <c r="F153" s="96" t="str">
        <f t="shared" si="18"/>
        <v>Sun</v>
      </c>
      <c r="G153" s="96">
        <f t="shared" si="19"/>
        <v>0</v>
      </c>
    </row>
    <row r="154" spans="1:7" x14ac:dyDescent="0.3">
      <c r="A154" s="63">
        <f t="shared" si="20"/>
        <v>43983</v>
      </c>
      <c r="B154" s="96">
        <f t="shared" si="14"/>
        <v>6</v>
      </c>
      <c r="C154" s="96">
        <f t="shared" si="15"/>
        <v>2020</v>
      </c>
      <c r="D154" s="96" t="str">
        <f t="shared" si="16"/>
        <v>2020/06</v>
      </c>
      <c r="E154" s="96" t="str">
        <f t="shared" ca="1" si="17"/>
        <v>M2</v>
      </c>
      <c r="F154" s="96" t="str">
        <f t="shared" si="18"/>
        <v>Mon</v>
      </c>
      <c r="G154" s="96">
        <f t="shared" si="19"/>
        <v>1</v>
      </c>
    </row>
    <row r="155" spans="1:7" x14ac:dyDescent="0.3">
      <c r="A155" s="63">
        <f t="shared" si="20"/>
        <v>43984</v>
      </c>
      <c r="B155" s="96">
        <f t="shared" si="14"/>
        <v>6</v>
      </c>
      <c r="C155" s="96">
        <f t="shared" si="15"/>
        <v>2020</v>
      </c>
      <c r="D155" s="96" t="str">
        <f t="shared" si="16"/>
        <v>2020/06</v>
      </c>
      <c r="E155" s="96" t="str">
        <f t="shared" ca="1" si="17"/>
        <v>M2</v>
      </c>
      <c r="F155" s="96" t="str">
        <f t="shared" si="18"/>
        <v>Tue</v>
      </c>
      <c r="G155" s="96">
        <f t="shared" si="19"/>
        <v>1</v>
      </c>
    </row>
    <row r="156" spans="1:7" x14ac:dyDescent="0.3">
      <c r="A156" s="63">
        <f t="shared" si="20"/>
        <v>43985</v>
      </c>
      <c r="B156" s="96">
        <f t="shared" si="14"/>
        <v>6</v>
      </c>
      <c r="C156" s="96">
        <f t="shared" si="15"/>
        <v>2020</v>
      </c>
      <c r="D156" s="96" t="str">
        <f t="shared" si="16"/>
        <v>2020/06</v>
      </c>
      <c r="E156" s="96" t="str">
        <f t="shared" ca="1" si="17"/>
        <v>M2</v>
      </c>
      <c r="F156" s="96" t="str">
        <f t="shared" si="18"/>
        <v>Wed</v>
      </c>
      <c r="G156" s="96">
        <f t="shared" si="19"/>
        <v>1</v>
      </c>
    </row>
    <row r="157" spans="1:7" x14ac:dyDescent="0.3">
      <c r="A157" s="63">
        <f t="shared" si="20"/>
        <v>43986</v>
      </c>
      <c r="B157" s="96">
        <f t="shared" si="14"/>
        <v>6</v>
      </c>
      <c r="C157" s="96">
        <f t="shared" si="15"/>
        <v>2020</v>
      </c>
      <c r="D157" s="96" t="str">
        <f t="shared" si="16"/>
        <v>2020/06</v>
      </c>
      <c r="E157" s="96" t="str">
        <f t="shared" ca="1" si="17"/>
        <v>M2</v>
      </c>
      <c r="F157" s="96" t="str">
        <f t="shared" si="18"/>
        <v>Thu</v>
      </c>
      <c r="G157" s="96">
        <f t="shared" si="19"/>
        <v>1</v>
      </c>
    </row>
    <row r="158" spans="1:7" x14ac:dyDescent="0.3">
      <c r="A158" s="63">
        <f t="shared" si="20"/>
        <v>43987</v>
      </c>
      <c r="B158" s="96">
        <f t="shared" si="14"/>
        <v>6</v>
      </c>
      <c r="C158" s="96">
        <f t="shared" si="15"/>
        <v>2020</v>
      </c>
      <c r="D158" s="96" t="str">
        <f t="shared" si="16"/>
        <v>2020/06</v>
      </c>
      <c r="E158" s="96" t="str">
        <f t="shared" ca="1" si="17"/>
        <v>M2</v>
      </c>
      <c r="F158" s="96" t="str">
        <f t="shared" si="18"/>
        <v>Fri</v>
      </c>
      <c r="G158" s="96">
        <f t="shared" si="19"/>
        <v>1</v>
      </c>
    </row>
    <row r="159" spans="1:7" x14ac:dyDescent="0.3">
      <c r="A159" s="63">
        <f t="shared" si="20"/>
        <v>43988</v>
      </c>
      <c r="B159" s="96">
        <f t="shared" si="14"/>
        <v>6</v>
      </c>
      <c r="C159" s="96">
        <f t="shared" si="15"/>
        <v>2020</v>
      </c>
      <c r="D159" s="96" t="str">
        <f t="shared" si="16"/>
        <v>2020/06</v>
      </c>
      <c r="E159" s="96" t="str">
        <f t="shared" ca="1" si="17"/>
        <v>M2</v>
      </c>
      <c r="F159" s="96" t="str">
        <f t="shared" si="18"/>
        <v>Sat</v>
      </c>
      <c r="G159" s="96">
        <f t="shared" si="19"/>
        <v>0</v>
      </c>
    </row>
    <row r="160" spans="1:7" x14ac:dyDescent="0.3">
      <c r="A160" s="63">
        <f t="shared" si="20"/>
        <v>43989</v>
      </c>
      <c r="B160" s="96">
        <f t="shared" si="14"/>
        <v>6</v>
      </c>
      <c r="C160" s="96">
        <f t="shared" si="15"/>
        <v>2020</v>
      </c>
      <c r="D160" s="96" t="str">
        <f t="shared" si="16"/>
        <v>2020/06</v>
      </c>
      <c r="E160" s="96" t="str">
        <f t="shared" ca="1" si="17"/>
        <v>M2</v>
      </c>
      <c r="F160" s="96" t="str">
        <f t="shared" si="18"/>
        <v>Sun</v>
      </c>
      <c r="G160" s="96">
        <f t="shared" si="19"/>
        <v>0</v>
      </c>
    </row>
    <row r="161" spans="1:7" x14ac:dyDescent="0.3">
      <c r="A161" s="63">
        <f t="shared" si="20"/>
        <v>43990</v>
      </c>
      <c r="B161" s="96">
        <f t="shared" si="14"/>
        <v>6</v>
      </c>
      <c r="C161" s="96">
        <f t="shared" si="15"/>
        <v>2020</v>
      </c>
      <c r="D161" s="96" t="str">
        <f t="shared" si="16"/>
        <v>2020/06</v>
      </c>
      <c r="E161" s="96" t="str">
        <f t="shared" ca="1" si="17"/>
        <v>M2</v>
      </c>
      <c r="F161" s="96" t="str">
        <f t="shared" si="18"/>
        <v>Mon</v>
      </c>
      <c r="G161" s="96">
        <f t="shared" si="19"/>
        <v>1</v>
      </c>
    </row>
    <row r="162" spans="1:7" x14ac:dyDescent="0.3">
      <c r="A162" s="63">
        <f t="shared" si="20"/>
        <v>43991</v>
      </c>
      <c r="B162" s="96">
        <f t="shared" si="14"/>
        <v>6</v>
      </c>
      <c r="C162" s="96">
        <f t="shared" si="15"/>
        <v>2020</v>
      </c>
      <c r="D162" s="96" t="str">
        <f t="shared" si="16"/>
        <v>2020/06</v>
      </c>
      <c r="E162" s="96" t="str">
        <f t="shared" ca="1" si="17"/>
        <v>M2</v>
      </c>
      <c r="F162" s="96" t="str">
        <f t="shared" si="18"/>
        <v>Tue</v>
      </c>
      <c r="G162" s="96">
        <f t="shared" si="19"/>
        <v>1</v>
      </c>
    </row>
    <row r="163" spans="1:7" x14ac:dyDescent="0.3">
      <c r="A163" s="63">
        <f t="shared" si="20"/>
        <v>43992</v>
      </c>
      <c r="B163" s="96">
        <f t="shared" si="14"/>
        <v>6</v>
      </c>
      <c r="C163" s="96">
        <f t="shared" si="15"/>
        <v>2020</v>
      </c>
      <c r="D163" s="96" t="str">
        <f t="shared" si="16"/>
        <v>2020/06</v>
      </c>
      <c r="E163" s="96" t="str">
        <f t="shared" ca="1" si="17"/>
        <v>M2</v>
      </c>
      <c r="F163" s="96" t="str">
        <f t="shared" si="18"/>
        <v>Wed</v>
      </c>
      <c r="G163" s="96">
        <f t="shared" si="19"/>
        <v>1</v>
      </c>
    </row>
    <row r="164" spans="1:7" x14ac:dyDescent="0.3">
      <c r="A164" s="63">
        <f t="shared" si="20"/>
        <v>43993</v>
      </c>
      <c r="B164" s="96">
        <f t="shared" si="14"/>
        <v>6</v>
      </c>
      <c r="C164" s="96">
        <f t="shared" si="15"/>
        <v>2020</v>
      </c>
      <c r="D164" s="96" t="str">
        <f t="shared" si="16"/>
        <v>2020/06</v>
      </c>
      <c r="E164" s="96" t="str">
        <f t="shared" ca="1" si="17"/>
        <v>M2</v>
      </c>
      <c r="F164" s="96" t="str">
        <f t="shared" si="18"/>
        <v>Thu</v>
      </c>
      <c r="G164" s="96">
        <f t="shared" si="19"/>
        <v>1</v>
      </c>
    </row>
    <row r="165" spans="1:7" x14ac:dyDescent="0.3">
      <c r="A165" s="63">
        <f t="shared" si="20"/>
        <v>43994</v>
      </c>
      <c r="B165" s="96">
        <f t="shared" si="14"/>
        <v>6</v>
      </c>
      <c r="C165" s="96">
        <f t="shared" si="15"/>
        <v>2020</v>
      </c>
      <c r="D165" s="96" t="str">
        <f t="shared" si="16"/>
        <v>2020/06</v>
      </c>
      <c r="E165" s="96" t="str">
        <f t="shared" ca="1" si="17"/>
        <v>M2</v>
      </c>
      <c r="F165" s="96" t="str">
        <f t="shared" si="18"/>
        <v>Fri</v>
      </c>
      <c r="G165" s="96">
        <f t="shared" si="19"/>
        <v>1</v>
      </c>
    </row>
    <row r="166" spans="1:7" x14ac:dyDescent="0.3">
      <c r="A166" s="63">
        <f t="shared" si="20"/>
        <v>43995</v>
      </c>
      <c r="B166" s="96">
        <f t="shared" si="14"/>
        <v>6</v>
      </c>
      <c r="C166" s="96">
        <f t="shared" si="15"/>
        <v>2020</v>
      </c>
      <c r="D166" s="96" t="str">
        <f t="shared" si="16"/>
        <v>2020/06</v>
      </c>
      <c r="E166" s="96" t="str">
        <f t="shared" ca="1" si="17"/>
        <v>M2</v>
      </c>
      <c r="F166" s="96" t="str">
        <f t="shared" si="18"/>
        <v>Sat</v>
      </c>
      <c r="G166" s="96">
        <f t="shared" si="19"/>
        <v>0</v>
      </c>
    </row>
    <row r="167" spans="1:7" x14ac:dyDescent="0.3">
      <c r="A167" s="63">
        <f t="shared" si="20"/>
        <v>43996</v>
      </c>
      <c r="B167" s="96">
        <f t="shared" si="14"/>
        <v>6</v>
      </c>
      <c r="C167" s="96">
        <f t="shared" si="15"/>
        <v>2020</v>
      </c>
      <c r="D167" s="96" t="str">
        <f t="shared" si="16"/>
        <v>2020/06</v>
      </c>
      <c r="E167" s="96" t="str">
        <f t="shared" ca="1" si="17"/>
        <v>M2</v>
      </c>
      <c r="F167" s="96" t="str">
        <f t="shared" si="18"/>
        <v>Sun</v>
      </c>
      <c r="G167" s="96">
        <f t="shared" si="19"/>
        <v>0</v>
      </c>
    </row>
    <row r="168" spans="1:7" x14ac:dyDescent="0.3">
      <c r="A168" s="63">
        <f t="shared" si="20"/>
        <v>43997</v>
      </c>
      <c r="B168" s="96">
        <f t="shared" si="14"/>
        <v>6</v>
      </c>
      <c r="C168" s="96">
        <f t="shared" si="15"/>
        <v>2020</v>
      </c>
      <c r="D168" s="96" t="str">
        <f t="shared" si="16"/>
        <v>2020/06</v>
      </c>
      <c r="E168" s="96" t="str">
        <f t="shared" ca="1" si="17"/>
        <v>M2</v>
      </c>
      <c r="F168" s="96" t="str">
        <f t="shared" si="18"/>
        <v>Mon</v>
      </c>
      <c r="G168" s="96">
        <f t="shared" si="19"/>
        <v>1</v>
      </c>
    </row>
    <row r="169" spans="1:7" x14ac:dyDescent="0.3">
      <c r="A169" s="63">
        <f t="shared" si="20"/>
        <v>43998</v>
      </c>
      <c r="B169" s="96">
        <f t="shared" si="14"/>
        <v>6</v>
      </c>
      <c r="C169" s="96">
        <f t="shared" si="15"/>
        <v>2020</v>
      </c>
      <c r="D169" s="96" t="str">
        <f t="shared" si="16"/>
        <v>2020/06</v>
      </c>
      <c r="E169" s="96" t="str">
        <f t="shared" ca="1" si="17"/>
        <v>M2</v>
      </c>
      <c r="F169" s="96" t="str">
        <f t="shared" si="18"/>
        <v>Tue</v>
      </c>
      <c r="G169" s="96">
        <f t="shared" si="19"/>
        <v>1</v>
      </c>
    </row>
    <row r="170" spans="1:7" x14ac:dyDescent="0.3">
      <c r="A170" s="63">
        <f t="shared" si="20"/>
        <v>43999</v>
      </c>
      <c r="B170" s="96">
        <f t="shared" si="14"/>
        <v>6</v>
      </c>
      <c r="C170" s="96">
        <f t="shared" si="15"/>
        <v>2020</v>
      </c>
      <c r="D170" s="96" t="str">
        <f t="shared" si="16"/>
        <v>2020/06</v>
      </c>
      <c r="E170" s="96" t="str">
        <f t="shared" ca="1" si="17"/>
        <v>M2</v>
      </c>
      <c r="F170" s="96" t="str">
        <f t="shared" si="18"/>
        <v>Wed</v>
      </c>
      <c r="G170" s="96">
        <f t="shared" si="19"/>
        <v>1</v>
      </c>
    </row>
    <row r="171" spans="1:7" x14ac:dyDescent="0.3">
      <c r="A171" s="63">
        <f t="shared" si="20"/>
        <v>44000</v>
      </c>
      <c r="B171" s="96">
        <f t="shared" si="14"/>
        <v>6</v>
      </c>
      <c r="C171" s="96">
        <f t="shared" si="15"/>
        <v>2020</v>
      </c>
      <c r="D171" s="96" t="str">
        <f t="shared" si="16"/>
        <v>2020/06</v>
      </c>
      <c r="E171" s="96" t="str">
        <f t="shared" ca="1" si="17"/>
        <v>M2</v>
      </c>
      <c r="F171" s="96" t="str">
        <f t="shared" si="18"/>
        <v>Thu</v>
      </c>
      <c r="G171" s="96">
        <f t="shared" si="19"/>
        <v>1</v>
      </c>
    </row>
    <row r="172" spans="1:7" x14ac:dyDescent="0.3">
      <c r="A172" s="63">
        <f t="shared" si="20"/>
        <v>44001</v>
      </c>
      <c r="B172" s="96">
        <f t="shared" si="14"/>
        <v>6</v>
      </c>
      <c r="C172" s="96">
        <f t="shared" si="15"/>
        <v>2020</v>
      </c>
      <c r="D172" s="96" t="str">
        <f t="shared" si="16"/>
        <v>2020/06</v>
      </c>
      <c r="E172" s="96" t="str">
        <f t="shared" ca="1" si="17"/>
        <v>M2</v>
      </c>
      <c r="F172" s="96" t="str">
        <f t="shared" si="18"/>
        <v>Fri</v>
      </c>
      <c r="G172" s="96">
        <f t="shared" si="19"/>
        <v>1</v>
      </c>
    </row>
    <row r="173" spans="1:7" x14ac:dyDescent="0.3">
      <c r="A173" s="63">
        <f t="shared" si="20"/>
        <v>44002</v>
      </c>
      <c r="B173" s="96">
        <f t="shared" si="14"/>
        <v>6</v>
      </c>
      <c r="C173" s="96">
        <f t="shared" si="15"/>
        <v>2020</v>
      </c>
      <c r="D173" s="96" t="str">
        <f t="shared" si="16"/>
        <v>2020/06</v>
      </c>
      <c r="E173" s="96" t="str">
        <f t="shared" ca="1" si="17"/>
        <v>M2</v>
      </c>
      <c r="F173" s="96" t="str">
        <f t="shared" si="18"/>
        <v>Sat</v>
      </c>
      <c r="G173" s="96">
        <f t="shared" si="19"/>
        <v>0</v>
      </c>
    </row>
    <row r="174" spans="1:7" x14ac:dyDescent="0.3">
      <c r="A174" s="63">
        <f t="shared" si="20"/>
        <v>44003</v>
      </c>
      <c r="B174" s="96">
        <f t="shared" si="14"/>
        <v>6</v>
      </c>
      <c r="C174" s="96">
        <f t="shared" si="15"/>
        <v>2020</v>
      </c>
      <c r="D174" s="96" t="str">
        <f t="shared" si="16"/>
        <v>2020/06</v>
      </c>
      <c r="E174" s="96" t="str">
        <f t="shared" ca="1" si="17"/>
        <v>M2</v>
      </c>
      <c r="F174" s="96" t="str">
        <f t="shared" si="18"/>
        <v>Sun</v>
      </c>
      <c r="G174" s="96">
        <f t="shared" si="19"/>
        <v>0</v>
      </c>
    </row>
    <row r="175" spans="1:7" x14ac:dyDescent="0.3">
      <c r="A175" s="63">
        <f t="shared" si="20"/>
        <v>44004</v>
      </c>
      <c r="B175" s="96">
        <f t="shared" si="14"/>
        <v>6</v>
      </c>
      <c r="C175" s="96">
        <f t="shared" si="15"/>
        <v>2020</v>
      </c>
      <c r="D175" s="96" t="str">
        <f t="shared" si="16"/>
        <v>2020/06</v>
      </c>
      <c r="E175" s="96" t="str">
        <f t="shared" ca="1" si="17"/>
        <v>M2</v>
      </c>
      <c r="F175" s="96" t="str">
        <f t="shared" si="18"/>
        <v>Mon</v>
      </c>
      <c r="G175" s="96">
        <f t="shared" si="19"/>
        <v>1</v>
      </c>
    </row>
    <row r="176" spans="1:7" x14ac:dyDescent="0.3">
      <c r="A176" s="63">
        <f t="shared" si="20"/>
        <v>44005</v>
      </c>
      <c r="B176" s="96">
        <f t="shared" si="14"/>
        <v>6</v>
      </c>
      <c r="C176" s="96">
        <f t="shared" si="15"/>
        <v>2020</v>
      </c>
      <c r="D176" s="96" t="str">
        <f t="shared" si="16"/>
        <v>2020/06</v>
      </c>
      <c r="E176" s="96" t="str">
        <f t="shared" ca="1" si="17"/>
        <v>M2</v>
      </c>
      <c r="F176" s="96" t="str">
        <f t="shared" si="18"/>
        <v>Tue</v>
      </c>
      <c r="G176" s="96">
        <f t="shared" si="19"/>
        <v>1</v>
      </c>
    </row>
    <row r="177" spans="1:7" x14ac:dyDescent="0.3">
      <c r="A177" s="63">
        <f t="shared" si="20"/>
        <v>44006</v>
      </c>
      <c r="B177" s="96">
        <f t="shared" si="14"/>
        <v>6</v>
      </c>
      <c r="C177" s="96">
        <f t="shared" si="15"/>
        <v>2020</v>
      </c>
      <c r="D177" s="96" t="str">
        <f t="shared" si="16"/>
        <v>2020/06</v>
      </c>
      <c r="E177" s="96" t="str">
        <f t="shared" ca="1" si="17"/>
        <v>M2</v>
      </c>
      <c r="F177" s="96" t="str">
        <f t="shared" si="18"/>
        <v>Wed</v>
      </c>
      <c r="G177" s="96">
        <f t="shared" si="19"/>
        <v>1</v>
      </c>
    </row>
    <row r="178" spans="1:7" x14ac:dyDescent="0.3">
      <c r="A178" s="63">
        <f t="shared" si="20"/>
        <v>44007</v>
      </c>
      <c r="B178" s="96">
        <f t="shared" si="14"/>
        <v>6</v>
      </c>
      <c r="C178" s="96">
        <f t="shared" si="15"/>
        <v>2020</v>
      </c>
      <c r="D178" s="96" t="str">
        <f t="shared" si="16"/>
        <v>2020/06</v>
      </c>
      <c r="E178" s="96" t="str">
        <f t="shared" ca="1" si="17"/>
        <v>M2</v>
      </c>
      <c r="F178" s="96" t="str">
        <f t="shared" si="18"/>
        <v>Thu</v>
      </c>
      <c r="G178" s="96">
        <f t="shared" si="19"/>
        <v>1</v>
      </c>
    </row>
    <row r="179" spans="1:7" x14ac:dyDescent="0.3">
      <c r="A179" s="63">
        <f t="shared" si="20"/>
        <v>44008</v>
      </c>
      <c r="B179" s="96">
        <f t="shared" si="14"/>
        <v>6</v>
      </c>
      <c r="C179" s="96">
        <f t="shared" si="15"/>
        <v>2020</v>
      </c>
      <c r="D179" s="96" t="str">
        <f t="shared" si="16"/>
        <v>2020/06</v>
      </c>
      <c r="E179" s="96" t="str">
        <f t="shared" ca="1" si="17"/>
        <v>M2</v>
      </c>
      <c r="F179" s="96" t="str">
        <f t="shared" si="18"/>
        <v>Fri</v>
      </c>
      <c r="G179" s="96">
        <f t="shared" si="19"/>
        <v>1</v>
      </c>
    </row>
    <row r="180" spans="1:7" x14ac:dyDescent="0.3">
      <c r="A180" s="63">
        <f t="shared" si="20"/>
        <v>44009</v>
      </c>
      <c r="B180" s="96">
        <f t="shared" si="14"/>
        <v>6</v>
      </c>
      <c r="C180" s="96">
        <f t="shared" si="15"/>
        <v>2020</v>
      </c>
      <c r="D180" s="96" t="str">
        <f t="shared" si="16"/>
        <v>2020/06</v>
      </c>
      <c r="E180" s="96" t="str">
        <f t="shared" ca="1" si="17"/>
        <v>M2</v>
      </c>
      <c r="F180" s="96" t="str">
        <f t="shared" si="18"/>
        <v>Sat</v>
      </c>
      <c r="G180" s="96">
        <f t="shared" si="19"/>
        <v>0</v>
      </c>
    </row>
    <row r="181" spans="1:7" x14ac:dyDescent="0.3">
      <c r="A181" s="63">
        <f t="shared" si="20"/>
        <v>44010</v>
      </c>
      <c r="B181" s="96">
        <f t="shared" si="14"/>
        <v>6</v>
      </c>
      <c r="C181" s="96">
        <f t="shared" si="15"/>
        <v>2020</v>
      </c>
      <c r="D181" s="96" t="str">
        <f t="shared" si="16"/>
        <v>2020/06</v>
      </c>
      <c r="E181" s="96" t="str">
        <f t="shared" ca="1" si="17"/>
        <v>M2</v>
      </c>
      <c r="F181" s="96" t="str">
        <f t="shared" si="18"/>
        <v>Sun</v>
      </c>
      <c r="G181" s="96">
        <f t="shared" si="19"/>
        <v>0</v>
      </c>
    </row>
    <row r="182" spans="1:7" x14ac:dyDescent="0.3">
      <c r="A182" s="63">
        <f t="shared" si="20"/>
        <v>44011</v>
      </c>
      <c r="B182" s="96">
        <f t="shared" si="14"/>
        <v>6</v>
      </c>
      <c r="C182" s="96">
        <f t="shared" si="15"/>
        <v>2020</v>
      </c>
      <c r="D182" s="96" t="str">
        <f t="shared" si="16"/>
        <v>2020/06</v>
      </c>
      <c r="E182" s="96" t="str">
        <f t="shared" ca="1" si="17"/>
        <v>M2</v>
      </c>
      <c r="F182" s="96" t="str">
        <f t="shared" si="18"/>
        <v>Mon</v>
      </c>
      <c r="G182" s="96">
        <f t="shared" si="19"/>
        <v>1</v>
      </c>
    </row>
    <row r="183" spans="1:7" x14ac:dyDescent="0.3">
      <c r="A183" s="63">
        <f t="shared" si="20"/>
        <v>44012</v>
      </c>
      <c r="B183" s="96">
        <f t="shared" si="14"/>
        <v>6</v>
      </c>
      <c r="C183" s="96">
        <f t="shared" si="15"/>
        <v>2020</v>
      </c>
      <c r="D183" s="96" t="str">
        <f t="shared" si="16"/>
        <v>2020/06</v>
      </c>
      <c r="E183" s="96" t="str">
        <f t="shared" ca="1" si="17"/>
        <v>M2</v>
      </c>
      <c r="F183" s="96" t="str">
        <f t="shared" si="18"/>
        <v>Tue</v>
      </c>
      <c r="G183" s="96">
        <f t="shared" si="19"/>
        <v>1</v>
      </c>
    </row>
    <row r="184" spans="1:7" x14ac:dyDescent="0.3">
      <c r="A184" s="63">
        <f t="shared" si="20"/>
        <v>44013</v>
      </c>
      <c r="B184" s="96">
        <f t="shared" si="14"/>
        <v>7</v>
      </c>
      <c r="C184" s="96">
        <f t="shared" si="15"/>
        <v>2020</v>
      </c>
      <c r="D184" s="96" t="str">
        <f t="shared" si="16"/>
        <v>2020/07</v>
      </c>
      <c r="E184" s="96" t="str">
        <f t="shared" ca="1" si="17"/>
        <v>M3</v>
      </c>
      <c r="F184" s="96" t="str">
        <f t="shared" si="18"/>
        <v>Wed</v>
      </c>
      <c r="G184" s="96">
        <f t="shared" si="19"/>
        <v>1</v>
      </c>
    </row>
    <row r="185" spans="1:7" x14ac:dyDescent="0.3">
      <c r="A185" s="63">
        <f t="shared" si="20"/>
        <v>44014</v>
      </c>
      <c r="B185" s="96">
        <f t="shared" si="14"/>
        <v>7</v>
      </c>
      <c r="C185" s="96">
        <f t="shared" si="15"/>
        <v>2020</v>
      </c>
      <c r="D185" s="96" t="str">
        <f t="shared" si="16"/>
        <v>2020/07</v>
      </c>
      <c r="E185" s="96" t="str">
        <f t="shared" ca="1" si="17"/>
        <v>M3</v>
      </c>
      <c r="F185" s="96" t="str">
        <f t="shared" si="18"/>
        <v>Thu</v>
      </c>
      <c r="G185" s="96">
        <f t="shared" si="19"/>
        <v>1</v>
      </c>
    </row>
    <row r="186" spans="1:7" x14ac:dyDescent="0.3">
      <c r="A186" s="63">
        <f t="shared" si="20"/>
        <v>44015</v>
      </c>
      <c r="B186" s="96">
        <f t="shared" si="14"/>
        <v>7</v>
      </c>
      <c r="C186" s="96">
        <f t="shared" si="15"/>
        <v>2020</v>
      </c>
      <c r="D186" s="96" t="str">
        <f t="shared" si="16"/>
        <v>2020/07</v>
      </c>
      <c r="E186" s="96" t="str">
        <f t="shared" ca="1" si="17"/>
        <v>M3</v>
      </c>
      <c r="F186" s="96" t="str">
        <f t="shared" si="18"/>
        <v>Fri</v>
      </c>
      <c r="G186" s="96">
        <f t="shared" si="19"/>
        <v>1</v>
      </c>
    </row>
    <row r="187" spans="1:7" x14ac:dyDescent="0.3">
      <c r="A187" s="63">
        <f t="shared" si="20"/>
        <v>44016</v>
      </c>
      <c r="B187" s="96">
        <f t="shared" si="14"/>
        <v>7</v>
      </c>
      <c r="C187" s="96">
        <f t="shared" si="15"/>
        <v>2020</v>
      </c>
      <c r="D187" s="96" t="str">
        <f t="shared" si="16"/>
        <v>2020/07</v>
      </c>
      <c r="E187" s="96" t="str">
        <f t="shared" ca="1" si="17"/>
        <v>M3</v>
      </c>
      <c r="F187" s="96" t="str">
        <f t="shared" si="18"/>
        <v>Sat</v>
      </c>
      <c r="G187" s="96">
        <f t="shared" si="19"/>
        <v>0</v>
      </c>
    </row>
    <row r="188" spans="1:7" x14ac:dyDescent="0.3">
      <c r="A188" s="63">
        <f t="shared" si="20"/>
        <v>44017</v>
      </c>
      <c r="B188" s="96">
        <f t="shared" si="14"/>
        <v>7</v>
      </c>
      <c r="C188" s="96">
        <f t="shared" si="15"/>
        <v>2020</v>
      </c>
      <c r="D188" s="96" t="str">
        <f t="shared" si="16"/>
        <v>2020/07</v>
      </c>
      <c r="E188" s="96" t="str">
        <f t="shared" ca="1" si="17"/>
        <v>M3</v>
      </c>
      <c r="F188" s="96" t="str">
        <f t="shared" si="18"/>
        <v>Sun</v>
      </c>
      <c r="G188" s="96">
        <f t="shared" si="19"/>
        <v>0</v>
      </c>
    </row>
    <row r="189" spans="1:7" x14ac:dyDescent="0.3">
      <c r="A189" s="63">
        <f t="shared" si="20"/>
        <v>44018</v>
      </c>
      <c r="B189" s="96">
        <f t="shared" si="14"/>
        <v>7</v>
      </c>
      <c r="C189" s="96">
        <f t="shared" si="15"/>
        <v>2020</v>
      </c>
      <c r="D189" s="96" t="str">
        <f t="shared" si="16"/>
        <v>2020/07</v>
      </c>
      <c r="E189" s="96" t="str">
        <f t="shared" ca="1" si="17"/>
        <v>M3</v>
      </c>
      <c r="F189" s="96" t="str">
        <f t="shared" si="18"/>
        <v>Mon</v>
      </c>
      <c r="G189" s="96">
        <f t="shared" si="19"/>
        <v>1</v>
      </c>
    </row>
    <row r="190" spans="1:7" x14ac:dyDescent="0.3">
      <c r="A190" s="63">
        <f t="shared" si="20"/>
        <v>44019</v>
      </c>
      <c r="B190" s="96">
        <f t="shared" si="14"/>
        <v>7</v>
      </c>
      <c r="C190" s="96">
        <f t="shared" si="15"/>
        <v>2020</v>
      </c>
      <c r="D190" s="96" t="str">
        <f t="shared" si="16"/>
        <v>2020/07</v>
      </c>
      <c r="E190" s="96" t="str">
        <f t="shared" ca="1" si="17"/>
        <v>M3</v>
      </c>
      <c r="F190" s="96" t="str">
        <f t="shared" si="18"/>
        <v>Tue</v>
      </c>
      <c r="G190" s="96">
        <f t="shared" si="19"/>
        <v>1</v>
      </c>
    </row>
    <row r="191" spans="1:7" x14ac:dyDescent="0.3">
      <c r="A191" s="63">
        <f t="shared" si="20"/>
        <v>44020</v>
      </c>
      <c r="B191" s="96">
        <f t="shared" si="14"/>
        <v>7</v>
      </c>
      <c r="C191" s="96">
        <f t="shared" si="15"/>
        <v>2020</v>
      </c>
      <c r="D191" s="96" t="str">
        <f t="shared" si="16"/>
        <v>2020/07</v>
      </c>
      <c r="E191" s="96" t="str">
        <f t="shared" ca="1" si="17"/>
        <v>M3</v>
      </c>
      <c r="F191" s="96" t="str">
        <f t="shared" si="18"/>
        <v>Wed</v>
      </c>
      <c r="G191" s="96">
        <f t="shared" si="19"/>
        <v>1</v>
      </c>
    </row>
    <row r="192" spans="1:7" x14ac:dyDescent="0.3">
      <c r="A192" s="63">
        <f t="shared" si="20"/>
        <v>44021</v>
      </c>
      <c r="B192" s="96">
        <f t="shared" si="14"/>
        <v>7</v>
      </c>
      <c r="C192" s="96">
        <f t="shared" si="15"/>
        <v>2020</v>
      </c>
      <c r="D192" s="96" t="str">
        <f t="shared" si="16"/>
        <v>2020/07</v>
      </c>
      <c r="E192" s="96" t="str">
        <f t="shared" ca="1" si="17"/>
        <v>M3</v>
      </c>
      <c r="F192" s="96" t="str">
        <f t="shared" si="18"/>
        <v>Thu</v>
      </c>
      <c r="G192" s="96">
        <f t="shared" si="19"/>
        <v>1</v>
      </c>
    </row>
    <row r="193" spans="1:7" x14ac:dyDescent="0.3">
      <c r="A193" s="63">
        <f t="shared" si="20"/>
        <v>44022</v>
      </c>
      <c r="B193" s="96">
        <f t="shared" si="14"/>
        <v>7</v>
      </c>
      <c r="C193" s="96">
        <f t="shared" si="15"/>
        <v>2020</v>
      </c>
      <c r="D193" s="96" t="str">
        <f t="shared" si="16"/>
        <v>2020/07</v>
      </c>
      <c r="E193" s="96" t="str">
        <f t="shared" ca="1" si="17"/>
        <v>M3</v>
      </c>
      <c r="F193" s="96" t="str">
        <f t="shared" si="18"/>
        <v>Fri</v>
      </c>
      <c r="G193" s="96">
        <f t="shared" si="19"/>
        <v>1</v>
      </c>
    </row>
    <row r="194" spans="1:7" x14ac:dyDescent="0.3">
      <c r="A194" s="63">
        <f t="shared" si="20"/>
        <v>44023</v>
      </c>
      <c r="B194" s="96">
        <f t="shared" si="14"/>
        <v>7</v>
      </c>
      <c r="C194" s="96">
        <f t="shared" si="15"/>
        <v>2020</v>
      </c>
      <c r="D194" s="96" t="str">
        <f t="shared" si="16"/>
        <v>2020/07</v>
      </c>
      <c r="E194" s="96" t="str">
        <f t="shared" ca="1" si="17"/>
        <v>M3</v>
      </c>
      <c r="F194" s="96" t="str">
        <f t="shared" si="18"/>
        <v>Sat</v>
      </c>
      <c r="G194" s="96">
        <f t="shared" si="19"/>
        <v>0</v>
      </c>
    </row>
    <row r="195" spans="1:7" x14ac:dyDescent="0.3">
      <c r="A195" s="63">
        <f t="shared" si="20"/>
        <v>44024</v>
      </c>
      <c r="B195" s="96">
        <f t="shared" ref="B195:B258" si="21">MONTH(A195)</f>
        <v>7</v>
      </c>
      <c r="C195" s="96">
        <f t="shared" ref="C195:C258" si="22">YEAR(A195)</f>
        <v>2020</v>
      </c>
      <c r="D195" s="96" t="str">
        <f t="shared" ref="D195:D258" si="23">CONCATENATE(C195,"/",TEXT(B195,"00"))</f>
        <v>2020/07</v>
      </c>
      <c r="E195" s="96" t="str">
        <f t="shared" ref="E195:E258" ca="1" si="24">CONCATENATE("M",B195-MONTH(TODAY())+12*(YEAR(TODAY())-C195))</f>
        <v>M3</v>
      </c>
      <c r="F195" s="96" t="str">
        <f t="shared" ref="F195:F258" si="25">TEXT(A195,"ddd")</f>
        <v>Sun</v>
      </c>
      <c r="G195" s="96">
        <f t="shared" ref="G195:G258" si="26">IF(LEFT(F195,1)="s",0,1)</f>
        <v>0</v>
      </c>
    </row>
    <row r="196" spans="1:7" x14ac:dyDescent="0.3">
      <c r="A196" s="63">
        <f t="shared" ref="A196:A259" si="27">A195+1</f>
        <v>44025</v>
      </c>
      <c r="B196" s="96">
        <f t="shared" si="21"/>
        <v>7</v>
      </c>
      <c r="C196" s="96">
        <f t="shared" si="22"/>
        <v>2020</v>
      </c>
      <c r="D196" s="96" t="str">
        <f t="shared" si="23"/>
        <v>2020/07</v>
      </c>
      <c r="E196" s="96" t="str">
        <f t="shared" ca="1" si="24"/>
        <v>M3</v>
      </c>
      <c r="F196" s="96" t="str">
        <f t="shared" si="25"/>
        <v>Mon</v>
      </c>
      <c r="G196" s="96">
        <f t="shared" si="26"/>
        <v>1</v>
      </c>
    </row>
    <row r="197" spans="1:7" x14ac:dyDescent="0.3">
      <c r="A197" s="63">
        <f t="shared" si="27"/>
        <v>44026</v>
      </c>
      <c r="B197" s="96">
        <f t="shared" si="21"/>
        <v>7</v>
      </c>
      <c r="C197" s="96">
        <f t="shared" si="22"/>
        <v>2020</v>
      </c>
      <c r="D197" s="96" t="str">
        <f t="shared" si="23"/>
        <v>2020/07</v>
      </c>
      <c r="E197" s="96" t="str">
        <f t="shared" ca="1" si="24"/>
        <v>M3</v>
      </c>
      <c r="F197" s="96" t="str">
        <f t="shared" si="25"/>
        <v>Tue</v>
      </c>
      <c r="G197" s="96">
        <f t="shared" si="26"/>
        <v>1</v>
      </c>
    </row>
    <row r="198" spans="1:7" x14ac:dyDescent="0.3">
      <c r="A198" s="63">
        <f t="shared" si="27"/>
        <v>44027</v>
      </c>
      <c r="B198" s="96">
        <f t="shared" si="21"/>
        <v>7</v>
      </c>
      <c r="C198" s="96">
        <f t="shared" si="22"/>
        <v>2020</v>
      </c>
      <c r="D198" s="96" t="str">
        <f t="shared" si="23"/>
        <v>2020/07</v>
      </c>
      <c r="E198" s="96" t="str">
        <f t="shared" ca="1" si="24"/>
        <v>M3</v>
      </c>
      <c r="F198" s="96" t="str">
        <f t="shared" si="25"/>
        <v>Wed</v>
      </c>
      <c r="G198" s="96">
        <f t="shared" si="26"/>
        <v>1</v>
      </c>
    </row>
    <row r="199" spans="1:7" x14ac:dyDescent="0.3">
      <c r="A199" s="63">
        <f t="shared" si="27"/>
        <v>44028</v>
      </c>
      <c r="B199" s="96">
        <f t="shared" si="21"/>
        <v>7</v>
      </c>
      <c r="C199" s="96">
        <f t="shared" si="22"/>
        <v>2020</v>
      </c>
      <c r="D199" s="96" t="str">
        <f t="shared" si="23"/>
        <v>2020/07</v>
      </c>
      <c r="E199" s="96" t="str">
        <f t="shared" ca="1" si="24"/>
        <v>M3</v>
      </c>
      <c r="F199" s="96" t="str">
        <f t="shared" si="25"/>
        <v>Thu</v>
      </c>
      <c r="G199" s="96">
        <f t="shared" si="26"/>
        <v>1</v>
      </c>
    </row>
    <row r="200" spans="1:7" x14ac:dyDescent="0.3">
      <c r="A200" s="63">
        <f t="shared" si="27"/>
        <v>44029</v>
      </c>
      <c r="B200" s="96">
        <f t="shared" si="21"/>
        <v>7</v>
      </c>
      <c r="C200" s="96">
        <f t="shared" si="22"/>
        <v>2020</v>
      </c>
      <c r="D200" s="96" t="str">
        <f t="shared" si="23"/>
        <v>2020/07</v>
      </c>
      <c r="E200" s="96" t="str">
        <f t="shared" ca="1" si="24"/>
        <v>M3</v>
      </c>
      <c r="F200" s="96" t="str">
        <f t="shared" si="25"/>
        <v>Fri</v>
      </c>
      <c r="G200" s="96">
        <f t="shared" si="26"/>
        <v>1</v>
      </c>
    </row>
    <row r="201" spans="1:7" x14ac:dyDescent="0.3">
      <c r="A201" s="63">
        <f t="shared" si="27"/>
        <v>44030</v>
      </c>
      <c r="B201" s="96">
        <f t="shared" si="21"/>
        <v>7</v>
      </c>
      <c r="C201" s="96">
        <f t="shared" si="22"/>
        <v>2020</v>
      </c>
      <c r="D201" s="96" t="str">
        <f t="shared" si="23"/>
        <v>2020/07</v>
      </c>
      <c r="E201" s="96" t="str">
        <f t="shared" ca="1" si="24"/>
        <v>M3</v>
      </c>
      <c r="F201" s="96" t="str">
        <f t="shared" si="25"/>
        <v>Sat</v>
      </c>
      <c r="G201" s="96">
        <f t="shared" si="26"/>
        <v>0</v>
      </c>
    </row>
    <row r="202" spans="1:7" x14ac:dyDescent="0.3">
      <c r="A202" s="63">
        <f t="shared" si="27"/>
        <v>44031</v>
      </c>
      <c r="B202" s="96">
        <f t="shared" si="21"/>
        <v>7</v>
      </c>
      <c r="C202" s="96">
        <f t="shared" si="22"/>
        <v>2020</v>
      </c>
      <c r="D202" s="96" t="str">
        <f t="shared" si="23"/>
        <v>2020/07</v>
      </c>
      <c r="E202" s="96" t="str">
        <f t="shared" ca="1" si="24"/>
        <v>M3</v>
      </c>
      <c r="F202" s="96" t="str">
        <f t="shared" si="25"/>
        <v>Sun</v>
      </c>
      <c r="G202" s="96">
        <f t="shared" si="26"/>
        <v>0</v>
      </c>
    </row>
    <row r="203" spans="1:7" x14ac:dyDescent="0.3">
      <c r="A203" s="63">
        <f t="shared" si="27"/>
        <v>44032</v>
      </c>
      <c r="B203" s="96">
        <f t="shared" si="21"/>
        <v>7</v>
      </c>
      <c r="C203" s="96">
        <f t="shared" si="22"/>
        <v>2020</v>
      </c>
      <c r="D203" s="96" t="str">
        <f t="shared" si="23"/>
        <v>2020/07</v>
      </c>
      <c r="E203" s="96" t="str">
        <f t="shared" ca="1" si="24"/>
        <v>M3</v>
      </c>
      <c r="F203" s="96" t="str">
        <f t="shared" si="25"/>
        <v>Mon</v>
      </c>
      <c r="G203" s="96">
        <f t="shared" si="26"/>
        <v>1</v>
      </c>
    </row>
    <row r="204" spans="1:7" x14ac:dyDescent="0.3">
      <c r="A204" s="63">
        <f t="shared" si="27"/>
        <v>44033</v>
      </c>
      <c r="B204" s="96">
        <f t="shared" si="21"/>
        <v>7</v>
      </c>
      <c r="C204" s="96">
        <f t="shared" si="22"/>
        <v>2020</v>
      </c>
      <c r="D204" s="96" t="str">
        <f t="shared" si="23"/>
        <v>2020/07</v>
      </c>
      <c r="E204" s="96" t="str">
        <f t="shared" ca="1" si="24"/>
        <v>M3</v>
      </c>
      <c r="F204" s="96" t="str">
        <f t="shared" si="25"/>
        <v>Tue</v>
      </c>
      <c r="G204" s="96">
        <f t="shared" si="26"/>
        <v>1</v>
      </c>
    </row>
    <row r="205" spans="1:7" x14ac:dyDescent="0.3">
      <c r="A205" s="63">
        <f t="shared" si="27"/>
        <v>44034</v>
      </c>
      <c r="B205" s="96">
        <f t="shared" si="21"/>
        <v>7</v>
      </c>
      <c r="C205" s="96">
        <f t="shared" si="22"/>
        <v>2020</v>
      </c>
      <c r="D205" s="96" t="str">
        <f t="shared" si="23"/>
        <v>2020/07</v>
      </c>
      <c r="E205" s="96" t="str">
        <f t="shared" ca="1" si="24"/>
        <v>M3</v>
      </c>
      <c r="F205" s="96" t="str">
        <f t="shared" si="25"/>
        <v>Wed</v>
      </c>
      <c r="G205" s="96">
        <f t="shared" si="26"/>
        <v>1</v>
      </c>
    </row>
    <row r="206" spans="1:7" x14ac:dyDescent="0.3">
      <c r="A206" s="63">
        <f t="shared" si="27"/>
        <v>44035</v>
      </c>
      <c r="B206" s="96">
        <f t="shared" si="21"/>
        <v>7</v>
      </c>
      <c r="C206" s="96">
        <f t="shared" si="22"/>
        <v>2020</v>
      </c>
      <c r="D206" s="96" t="str">
        <f t="shared" si="23"/>
        <v>2020/07</v>
      </c>
      <c r="E206" s="96" t="str">
        <f t="shared" ca="1" si="24"/>
        <v>M3</v>
      </c>
      <c r="F206" s="96" t="str">
        <f t="shared" si="25"/>
        <v>Thu</v>
      </c>
      <c r="G206" s="96">
        <f t="shared" si="26"/>
        <v>1</v>
      </c>
    </row>
    <row r="207" spans="1:7" x14ac:dyDescent="0.3">
      <c r="A207" s="63">
        <f t="shared" si="27"/>
        <v>44036</v>
      </c>
      <c r="B207" s="96">
        <f t="shared" si="21"/>
        <v>7</v>
      </c>
      <c r="C207" s="96">
        <f t="shared" si="22"/>
        <v>2020</v>
      </c>
      <c r="D207" s="96" t="str">
        <f t="shared" si="23"/>
        <v>2020/07</v>
      </c>
      <c r="E207" s="96" t="str">
        <f t="shared" ca="1" si="24"/>
        <v>M3</v>
      </c>
      <c r="F207" s="96" t="str">
        <f t="shared" si="25"/>
        <v>Fri</v>
      </c>
      <c r="G207" s="96">
        <f t="shared" si="26"/>
        <v>1</v>
      </c>
    </row>
    <row r="208" spans="1:7" x14ac:dyDescent="0.3">
      <c r="A208" s="63">
        <f t="shared" si="27"/>
        <v>44037</v>
      </c>
      <c r="B208" s="96">
        <f t="shared" si="21"/>
        <v>7</v>
      </c>
      <c r="C208" s="96">
        <f t="shared" si="22"/>
        <v>2020</v>
      </c>
      <c r="D208" s="96" t="str">
        <f t="shared" si="23"/>
        <v>2020/07</v>
      </c>
      <c r="E208" s="96" t="str">
        <f t="shared" ca="1" si="24"/>
        <v>M3</v>
      </c>
      <c r="F208" s="96" t="str">
        <f t="shared" si="25"/>
        <v>Sat</v>
      </c>
      <c r="G208" s="96">
        <f t="shared" si="26"/>
        <v>0</v>
      </c>
    </row>
    <row r="209" spans="1:7" x14ac:dyDescent="0.3">
      <c r="A209" s="63">
        <f t="shared" si="27"/>
        <v>44038</v>
      </c>
      <c r="B209" s="96">
        <f t="shared" si="21"/>
        <v>7</v>
      </c>
      <c r="C209" s="96">
        <f t="shared" si="22"/>
        <v>2020</v>
      </c>
      <c r="D209" s="96" t="str">
        <f t="shared" si="23"/>
        <v>2020/07</v>
      </c>
      <c r="E209" s="96" t="str">
        <f t="shared" ca="1" si="24"/>
        <v>M3</v>
      </c>
      <c r="F209" s="96" t="str">
        <f t="shared" si="25"/>
        <v>Sun</v>
      </c>
      <c r="G209" s="96">
        <f t="shared" si="26"/>
        <v>0</v>
      </c>
    </row>
    <row r="210" spans="1:7" x14ac:dyDescent="0.3">
      <c r="A210" s="63">
        <f t="shared" si="27"/>
        <v>44039</v>
      </c>
      <c r="B210" s="96">
        <f t="shared" si="21"/>
        <v>7</v>
      </c>
      <c r="C210" s="96">
        <f t="shared" si="22"/>
        <v>2020</v>
      </c>
      <c r="D210" s="96" t="str">
        <f t="shared" si="23"/>
        <v>2020/07</v>
      </c>
      <c r="E210" s="96" t="str">
        <f t="shared" ca="1" si="24"/>
        <v>M3</v>
      </c>
      <c r="F210" s="96" t="str">
        <f t="shared" si="25"/>
        <v>Mon</v>
      </c>
      <c r="G210" s="96">
        <f t="shared" si="26"/>
        <v>1</v>
      </c>
    </row>
    <row r="211" spans="1:7" x14ac:dyDescent="0.3">
      <c r="A211" s="63">
        <f t="shared" si="27"/>
        <v>44040</v>
      </c>
      <c r="B211" s="96">
        <f t="shared" si="21"/>
        <v>7</v>
      </c>
      <c r="C211" s="96">
        <f t="shared" si="22"/>
        <v>2020</v>
      </c>
      <c r="D211" s="96" t="str">
        <f t="shared" si="23"/>
        <v>2020/07</v>
      </c>
      <c r="E211" s="96" t="str">
        <f t="shared" ca="1" si="24"/>
        <v>M3</v>
      </c>
      <c r="F211" s="96" t="str">
        <f t="shared" si="25"/>
        <v>Tue</v>
      </c>
      <c r="G211" s="96">
        <f t="shared" si="26"/>
        <v>1</v>
      </c>
    </row>
    <row r="212" spans="1:7" x14ac:dyDescent="0.3">
      <c r="A212" s="63">
        <f t="shared" si="27"/>
        <v>44041</v>
      </c>
      <c r="B212" s="96">
        <f t="shared" si="21"/>
        <v>7</v>
      </c>
      <c r="C212" s="96">
        <f t="shared" si="22"/>
        <v>2020</v>
      </c>
      <c r="D212" s="96" t="str">
        <f t="shared" si="23"/>
        <v>2020/07</v>
      </c>
      <c r="E212" s="96" t="str">
        <f t="shared" ca="1" si="24"/>
        <v>M3</v>
      </c>
      <c r="F212" s="96" t="str">
        <f t="shared" si="25"/>
        <v>Wed</v>
      </c>
      <c r="G212" s="96">
        <f t="shared" si="26"/>
        <v>1</v>
      </c>
    </row>
    <row r="213" spans="1:7" x14ac:dyDescent="0.3">
      <c r="A213" s="63">
        <f t="shared" si="27"/>
        <v>44042</v>
      </c>
      <c r="B213" s="96">
        <f t="shared" si="21"/>
        <v>7</v>
      </c>
      <c r="C213" s="96">
        <f t="shared" si="22"/>
        <v>2020</v>
      </c>
      <c r="D213" s="96" t="str">
        <f t="shared" si="23"/>
        <v>2020/07</v>
      </c>
      <c r="E213" s="96" t="str">
        <f t="shared" ca="1" si="24"/>
        <v>M3</v>
      </c>
      <c r="F213" s="96" t="str">
        <f t="shared" si="25"/>
        <v>Thu</v>
      </c>
      <c r="G213" s="96">
        <f t="shared" si="26"/>
        <v>1</v>
      </c>
    </row>
    <row r="214" spans="1:7" x14ac:dyDescent="0.3">
      <c r="A214" s="63">
        <f t="shared" si="27"/>
        <v>44043</v>
      </c>
      <c r="B214" s="96">
        <f t="shared" si="21"/>
        <v>7</v>
      </c>
      <c r="C214" s="96">
        <f t="shared" si="22"/>
        <v>2020</v>
      </c>
      <c r="D214" s="96" t="str">
        <f t="shared" si="23"/>
        <v>2020/07</v>
      </c>
      <c r="E214" s="96" t="str">
        <f t="shared" ca="1" si="24"/>
        <v>M3</v>
      </c>
      <c r="F214" s="96" t="str">
        <f t="shared" si="25"/>
        <v>Fri</v>
      </c>
      <c r="G214" s="96">
        <f t="shared" si="26"/>
        <v>1</v>
      </c>
    </row>
    <row r="215" spans="1:7" x14ac:dyDescent="0.3">
      <c r="A215" s="63">
        <f t="shared" si="27"/>
        <v>44044</v>
      </c>
      <c r="B215" s="96">
        <f t="shared" si="21"/>
        <v>8</v>
      </c>
      <c r="C215" s="96">
        <f t="shared" si="22"/>
        <v>2020</v>
      </c>
      <c r="D215" s="96" t="str">
        <f t="shared" si="23"/>
        <v>2020/08</v>
      </c>
      <c r="E215" s="96" t="str">
        <f t="shared" ca="1" si="24"/>
        <v>M4</v>
      </c>
      <c r="F215" s="96" t="str">
        <f t="shared" si="25"/>
        <v>Sat</v>
      </c>
      <c r="G215" s="96">
        <f t="shared" si="26"/>
        <v>0</v>
      </c>
    </row>
    <row r="216" spans="1:7" x14ac:dyDescent="0.3">
      <c r="A216" s="63">
        <f t="shared" si="27"/>
        <v>44045</v>
      </c>
      <c r="B216" s="96">
        <f t="shared" si="21"/>
        <v>8</v>
      </c>
      <c r="C216" s="96">
        <f t="shared" si="22"/>
        <v>2020</v>
      </c>
      <c r="D216" s="96" t="str">
        <f t="shared" si="23"/>
        <v>2020/08</v>
      </c>
      <c r="E216" s="96" t="str">
        <f t="shared" ca="1" si="24"/>
        <v>M4</v>
      </c>
      <c r="F216" s="96" t="str">
        <f t="shared" si="25"/>
        <v>Sun</v>
      </c>
      <c r="G216" s="96">
        <f t="shared" si="26"/>
        <v>0</v>
      </c>
    </row>
    <row r="217" spans="1:7" x14ac:dyDescent="0.3">
      <c r="A217" s="63">
        <f t="shared" si="27"/>
        <v>44046</v>
      </c>
      <c r="B217" s="96">
        <f t="shared" si="21"/>
        <v>8</v>
      </c>
      <c r="C217" s="96">
        <f t="shared" si="22"/>
        <v>2020</v>
      </c>
      <c r="D217" s="96" t="str">
        <f t="shared" si="23"/>
        <v>2020/08</v>
      </c>
      <c r="E217" s="96" t="str">
        <f t="shared" ca="1" si="24"/>
        <v>M4</v>
      </c>
      <c r="F217" s="96" t="str">
        <f t="shared" si="25"/>
        <v>Mon</v>
      </c>
      <c r="G217" s="96">
        <f t="shared" si="26"/>
        <v>1</v>
      </c>
    </row>
    <row r="218" spans="1:7" x14ac:dyDescent="0.3">
      <c r="A218" s="63">
        <f t="shared" si="27"/>
        <v>44047</v>
      </c>
      <c r="B218" s="96">
        <f t="shared" si="21"/>
        <v>8</v>
      </c>
      <c r="C218" s="96">
        <f t="shared" si="22"/>
        <v>2020</v>
      </c>
      <c r="D218" s="96" t="str">
        <f t="shared" si="23"/>
        <v>2020/08</v>
      </c>
      <c r="E218" s="96" t="str">
        <f t="shared" ca="1" si="24"/>
        <v>M4</v>
      </c>
      <c r="F218" s="96" t="str">
        <f t="shared" si="25"/>
        <v>Tue</v>
      </c>
      <c r="G218" s="96">
        <f t="shared" si="26"/>
        <v>1</v>
      </c>
    </row>
    <row r="219" spans="1:7" x14ac:dyDescent="0.3">
      <c r="A219" s="63">
        <f t="shared" si="27"/>
        <v>44048</v>
      </c>
      <c r="B219" s="96">
        <f t="shared" si="21"/>
        <v>8</v>
      </c>
      <c r="C219" s="96">
        <f t="shared" si="22"/>
        <v>2020</v>
      </c>
      <c r="D219" s="96" t="str">
        <f t="shared" si="23"/>
        <v>2020/08</v>
      </c>
      <c r="E219" s="96" t="str">
        <f t="shared" ca="1" si="24"/>
        <v>M4</v>
      </c>
      <c r="F219" s="96" t="str">
        <f t="shared" si="25"/>
        <v>Wed</v>
      </c>
      <c r="G219" s="96">
        <f t="shared" si="26"/>
        <v>1</v>
      </c>
    </row>
    <row r="220" spans="1:7" x14ac:dyDescent="0.3">
      <c r="A220" s="63">
        <f t="shared" si="27"/>
        <v>44049</v>
      </c>
      <c r="B220" s="96">
        <f t="shared" si="21"/>
        <v>8</v>
      </c>
      <c r="C220" s="96">
        <f t="shared" si="22"/>
        <v>2020</v>
      </c>
      <c r="D220" s="96" t="str">
        <f t="shared" si="23"/>
        <v>2020/08</v>
      </c>
      <c r="E220" s="96" t="str">
        <f t="shared" ca="1" si="24"/>
        <v>M4</v>
      </c>
      <c r="F220" s="96" t="str">
        <f t="shared" si="25"/>
        <v>Thu</v>
      </c>
      <c r="G220" s="96">
        <f t="shared" si="26"/>
        <v>1</v>
      </c>
    </row>
    <row r="221" spans="1:7" x14ac:dyDescent="0.3">
      <c r="A221" s="63">
        <f t="shared" si="27"/>
        <v>44050</v>
      </c>
      <c r="B221" s="96">
        <f t="shared" si="21"/>
        <v>8</v>
      </c>
      <c r="C221" s="96">
        <f t="shared" si="22"/>
        <v>2020</v>
      </c>
      <c r="D221" s="96" t="str">
        <f t="shared" si="23"/>
        <v>2020/08</v>
      </c>
      <c r="E221" s="96" t="str">
        <f t="shared" ca="1" si="24"/>
        <v>M4</v>
      </c>
      <c r="F221" s="96" t="str">
        <f t="shared" si="25"/>
        <v>Fri</v>
      </c>
      <c r="G221" s="96">
        <f t="shared" si="26"/>
        <v>1</v>
      </c>
    </row>
    <row r="222" spans="1:7" x14ac:dyDescent="0.3">
      <c r="A222" s="63">
        <f t="shared" si="27"/>
        <v>44051</v>
      </c>
      <c r="B222" s="96">
        <f t="shared" si="21"/>
        <v>8</v>
      </c>
      <c r="C222" s="96">
        <f t="shared" si="22"/>
        <v>2020</v>
      </c>
      <c r="D222" s="96" t="str">
        <f t="shared" si="23"/>
        <v>2020/08</v>
      </c>
      <c r="E222" s="96" t="str">
        <f t="shared" ca="1" si="24"/>
        <v>M4</v>
      </c>
      <c r="F222" s="96" t="str">
        <f t="shared" si="25"/>
        <v>Sat</v>
      </c>
      <c r="G222" s="96">
        <f t="shared" si="26"/>
        <v>0</v>
      </c>
    </row>
    <row r="223" spans="1:7" x14ac:dyDescent="0.3">
      <c r="A223" s="63">
        <f t="shared" si="27"/>
        <v>44052</v>
      </c>
      <c r="B223" s="96">
        <f t="shared" si="21"/>
        <v>8</v>
      </c>
      <c r="C223" s="96">
        <f t="shared" si="22"/>
        <v>2020</v>
      </c>
      <c r="D223" s="96" t="str">
        <f t="shared" si="23"/>
        <v>2020/08</v>
      </c>
      <c r="E223" s="96" t="str">
        <f t="shared" ca="1" si="24"/>
        <v>M4</v>
      </c>
      <c r="F223" s="96" t="str">
        <f t="shared" si="25"/>
        <v>Sun</v>
      </c>
      <c r="G223" s="96">
        <f t="shared" si="26"/>
        <v>0</v>
      </c>
    </row>
    <row r="224" spans="1:7" x14ac:dyDescent="0.3">
      <c r="A224" s="63">
        <f t="shared" si="27"/>
        <v>44053</v>
      </c>
      <c r="B224" s="96">
        <f t="shared" si="21"/>
        <v>8</v>
      </c>
      <c r="C224" s="96">
        <f t="shared" si="22"/>
        <v>2020</v>
      </c>
      <c r="D224" s="96" t="str">
        <f t="shared" si="23"/>
        <v>2020/08</v>
      </c>
      <c r="E224" s="96" t="str">
        <f t="shared" ca="1" si="24"/>
        <v>M4</v>
      </c>
      <c r="F224" s="96" t="str">
        <f t="shared" si="25"/>
        <v>Mon</v>
      </c>
      <c r="G224" s="96">
        <f t="shared" si="26"/>
        <v>1</v>
      </c>
    </row>
    <row r="225" spans="1:7" x14ac:dyDescent="0.3">
      <c r="A225" s="63">
        <f t="shared" si="27"/>
        <v>44054</v>
      </c>
      <c r="B225" s="96">
        <f t="shared" si="21"/>
        <v>8</v>
      </c>
      <c r="C225" s="96">
        <f t="shared" si="22"/>
        <v>2020</v>
      </c>
      <c r="D225" s="96" t="str">
        <f t="shared" si="23"/>
        <v>2020/08</v>
      </c>
      <c r="E225" s="96" t="str">
        <f t="shared" ca="1" si="24"/>
        <v>M4</v>
      </c>
      <c r="F225" s="96" t="str">
        <f t="shared" si="25"/>
        <v>Tue</v>
      </c>
      <c r="G225" s="96">
        <f t="shared" si="26"/>
        <v>1</v>
      </c>
    </row>
    <row r="226" spans="1:7" x14ac:dyDescent="0.3">
      <c r="A226" s="63">
        <f t="shared" si="27"/>
        <v>44055</v>
      </c>
      <c r="B226" s="96">
        <f t="shared" si="21"/>
        <v>8</v>
      </c>
      <c r="C226" s="96">
        <f t="shared" si="22"/>
        <v>2020</v>
      </c>
      <c r="D226" s="96" t="str">
        <f t="shared" si="23"/>
        <v>2020/08</v>
      </c>
      <c r="E226" s="96" t="str">
        <f t="shared" ca="1" si="24"/>
        <v>M4</v>
      </c>
      <c r="F226" s="96" t="str">
        <f t="shared" si="25"/>
        <v>Wed</v>
      </c>
      <c r="G226" s="96">
        <f t="shared" si="26"/>
        <v>1</v>
      </c>
    </row>
    <row r="227" spans="1:7" x14ac:dyDescent="0.3">
      <c r="A227" s="63">
        <f t="shared" si="27"/>
        <v>44056</v>
      </c>
      <c r="B227" s="96">
        <f t="shared" si="21"/>
        <v>8</v>
      </c>
      <c r="C227" s="96">
        <f t="shared" si="22"/>
        <v>2020</v>
      </c>
      <c r="D227" s="96" t="str">
        <f t="shared" si="23"/>
        <v>2020/08</v>
      </c>
      <c r="E227" s="96" t="str">
        <f t="shared" ca="1" si="24"/>
        <v>M4</v>
      </c>
      <c r="F227" s="96" t="str">
        <f t="shared" si="25"/>
        <v>Thu</v>
      </c>
      <c r="G227" s="96">
        <f t="shared" si="26"/>
        <v>1</v>
      </c>
    </row>
    <row r="228" spans="1:7" x14ac:dyDescent="0.3">
      <c r="A228" s="63">
        <f t="shared" si="27"/>
        <v>44057</v>
      </c>
      <c r="B228" s="96">
        <f t="shared" si="21"/>
        <v>8</v>
      </c>
      <c r="C228" s="96">
        <f t="shared" si="22"/>
        <v>2020</v>
      </c>
      <c r="D228" s="96" t="str">
        <f t="shared" si="23"/>
        <v>2020/08</v>
      </c>
      <c r="E228" s="96" t="str">
        <f t="shared" ca="1" si="24"/>
        <v>M4</v>
      </c>
      <c r="F228" s="96" t="str">
        <f t="shared" si="25"/>
        <v>Fri</v>
      </c>
      <c r="G228" s="96">
        <f t="shared" si="26"/>
        <v>1</v>
      </c>
    </row>
    <row r="229" spans="1:7" x14ac:dyDescent="0.3">
      <c r="A229" s="63">
        <f t="shared" si="27"/>
        <v>44058</v>
      </c>
      <c r="B229" s="96">
        <f t="shared" si="21"/>
        <v>8</v>
      </c>
      <c r="C229" s="96">
        <f t="shared" si="22"/>
        <v>2020</v>
      </c>
      <c r="D229" s="96" t="str">
        <f t="shared" si="23"/>
        <v>2020/08</v>
      </c>
      <c r="E229" s="96" t="str">
        <f t="shared" ca="1" si="24"/>
        <v>M4</v>
      </c>
      <c r="F229" s="96" t="str">
        <f t="shared" si="25"/>
        <v>Sat</v>
      </c>
      <c r="G229" s="96">
        <f t="shared" si="26"/>
        <v>0</v>
      </c>
    </row>
    <row r="230" spans="1:7" x14ac:dyDescent="0.3">
      <c r="A230" s="63">
        <f t="shared" si="27"/>
        <v>44059</v>
      </c>
      <c r="B230" s="96">
        <f t="shared" si="21"/>
        <v>8</v>
      </c>
      <c r="C230" s="96">
        <f t="shared" si="22"/>
        <v>2020</v>
      </c>
      <c r="D230" s="96" t="str">
        <f t="shared" si="23"/>
        <v>2020/08</v>
      </c>
      <c r="E230" s="96" t="str">
        <f t="shared" ca="1" si="24"/>
        <v>M4</v>
      </c>
      <c r="F230" s="96" t="str">
        <f t="shared" si="25"/>
        <v>Sun</v>
      </c>
      <c r="G230" s="96">
        <f t="shared" si="26"/>
        <v>0</v>
      </c>
    </row>
    <row r="231" spans="1:7" x14ac:dyDescent="0.3">
      <c r="A231" s="63">
        <f t="shared" si="27"/>
        <v>44060</v>
      </c>
      <c r="B231" s="96">
        <f t="shared" si="21"/>
        <v>8</v>
      </c>
      <c r="C231" s="96">
        <f t="shared" si="22"/>
        <v>2020</v>
      </c>
      <c r="D231" s="96" t="str">
        <f t="shared" si="23"/>
        <v>2020/08</v>
      </c>
      <c r="E231" s="96" t="str">
        <f t="shared" ca="1" si="24"/>
        <v>M4</v>
      </c>
      <c r="F231" s="96" t="str">
        <f t="shared" si="25"/>
        <v>Mon</v>
      </c>
      <c r="G231" s="96">
        <f t="shared" si="26"/>
        <v>1</v>
      </c>
    </row>
    <row r="232" spans="1:7" x14ac:dyDescent="0.3">
      <c r="A232" s="63">
        <f t="shared" si="27"/>
        <v>44061</v>
      </c>
      <c r="B232" s="96">
        <f t="shared" si="21"/>
        <v>8</v>
      </c>
      <c r="C232" s="96">
        <f t="shared" si="22"/>
        <v>2020</v>
      </c>
      <c r="D232" s="96" t="str">
        <f t="shared" si="23"/>
        <v>2020/08</v>
      </c>
      <c r="E232" s="96" t="str">
        <f t="shared" ca="1" si="24"/>
        <v>M4</v>
      </c>
      <c r="F232" s="96" t="str">
        <f t="shared" si="25"/>
        <v>Tue</v>
      </c>
      <c r="G232" s="96">
        <f t="shared" si="26"/>
        <v>1</v>
      </c>
    </row>
    <row r="233" spans="1:7" x14ac:dyDescent="0.3">
      <c r="A233" s="63">
        <f t="shared" si="27"/>
        <v>44062</v>
      </c>
      <c r="B233" s="96">
        <f t="shared" si="21"/>
        <v>8</v>
      </c>
      <c r="C233" s="96">
        <f t="shared" si="22"/>
        <v>2020</v>
      </c>
      <c r="D233" s="96" t="str">
        <f t="shared" si="23"/>
        <v>2020/08</v>
      </c>
      <c r="E233" s="96" t="str">
        <f t="shared" ca="1" si="24"/>
        <v>M4</v>
      </c>
      <c r="F233" s="96" t="str">
        <f t="shared" si="25"/>
        <v>Wed</v>
      </c>
      <c r="G233" s="96">
        <f t="shared" si="26"/>
        <v>1</v>
      </c>
    </row>
    <row r="234" spans="1:7" x14ac:dyDescent="0.3">
      <c r="A234" s="63">
        <f t="shared" si="27"/>
        <v>44063</v>
      </c>
      <c r="B234" s="96">
        <f t="shared" si="21"/>
        <v>8</v>
      </c>
      <c r="C234" s="96">
        <f t="shared" si="22"/>
        <v>2020</v>
      </c>
      <c r="D234" s="96" t="str">
        <f t="shared" si="23"/>
        <v>2020/08</v>
      </c>
      <c r="E234" s="96" t="str">
        <f t="shared" ca="1" si="24"/>
        <v>M4</v>
      </c>
      <c r="F234" s="96" t="str">
        <f t="shared" si="25"/>
        <v>Thu</v>
      </c>
      <c r="G234" s="96">
        <f t="shared" si="26"/>
        <v>1</v>
      </c>
    </row>
    <row r="235" spans="1:7" x14ac:dyDescent="0.3">
      <c r="A235" s="63">
        <f t="shared" si="27"/>
        <v>44064</v>
      </c>
      <c r="B235" s="96">
        <f t="shared" si="21"/>
        <v>8</v>
      </c>
      <c r="C235" s="96">
        <f t="shared" si="22"/>
        <v>2020</v>
      </c>
      <c r="D235" s="96" t="str">
        <f t="shared" si="23"/>
        <v>2020/08</v>
      </c>
      <c r="E235" s="96" t="str">
        <f t="shared" ca="1" si="24"/>
        <v>M4</v>
      </c>
      <c r="F235" s="96" t="str">
        <f t="shared" si="25"/>
        <v>Fri</v>
      </c>
      <c r="G235" s="96">
        <f t="shared" si="26"/>
        <v>1</v>
      </c>
    </row>
    <row r="236" spans="1:7" x14ac:dyDescent="0.3">
      <c r="A236" s="63">
        <f t="shared" si="27"/>
        <v>44065</v>
      </c>
      <c r="B236" s="96">
        <f t="shared" si="21"/>
        <v>8</v>
      </c>
      <c r="C236" s="96">
        <f t="shared" si="22"/>
        <v>2020</v>
      </c>
      <c r="D236" s="96" t="str">
        <f t="shared" si="23"/>
        <v>2020/08</v>
      </c>
      <c r="E236" s="96" t="str">
        <f t="shared" ca="1" si="24"/>
        <v>M4</v>
      </c>
      <c r="F236" s="96" t="str">
        <f t="shared" si="25"/>
        <v>Sat</v>
      </c>
      <c r="G236" s="96">
        <f t="shared" si="26"/>
        <v>0</v>
      </c>
    </row>
    <row r="237" spans="1:7" x14ac:dyDescent="0.3">
      <c r="A237" s="63">
        <f t="shared" si="27"/>
        <v>44066</v>
      </c>
      <c r="B237" s="96">
        <f t="shared" si="21"/>
        <v>8</v>
      </c>
      <c r="C237" s="96">
        <f t="shared" si="22"/>
        <v>2020</v>
      </c>
      <c r="D237" s="96" t="str">
        <f t="shared" si="23"/>
        <v>2020/08</v>
      </c>
      <c r="E237" s="96" t="str">
        <f t="shared" ca="1" si="24"/>
        <v>M4</v>
      </c>
      <c r="F237" s="96" t="str">
        <f t="shared" si="25"/>
        <v>Sun</v>
      </c>
      <c r="G237" s="96">
        <f t="shared" si="26"/>
        <v>0</v>
      </c>
    </row>
    <row r="238" spans="1:7" x14ac:dyDescent="0.3">
      <c r="A238" s="63">
        <f t="shared" si="27"/>
        <v>44067</v>
      </c>
      <c r="B238" s="96">
        <f t="shared" si="21"/>
        <v>8</v>
      </c>
      <c r="C238" s="96">
        <f t="shared" si="22"/>
        <v>2020</v>
      </c>
      <c r="D238" s="96" t="str">
        <f t="shared" si="23"/>
        <v>2020/08</v>
      </c>
      <c r="E238" s="96" t="str">
        <f t="shared" ca="1" si="24"/>
        <v>M4</v>
      </c>
      <c r="F238" s="96" t="str">
        <f t="shared" si="25"/>
        <v>Mon</v>
      </c>
      <c r="G238" s="96">
        <f t="shared" si="26"/>
        <v>1</v>
      </c>
    </row>
    <row r="239" spans="1:7" x14ac:dyDescent="0.3">
      <c r="A239" s="63">
        <f t="shared" si="27"/>
        <v>44068</v>
      </c>
      <c r="B239" s="96">
        <f t="shared" si="21"/>
        <v>8</v>
      </c>
      <c r="C239" s="96">
        <f t="shared" si="22"/>
        <v>2020</v>
      </c>
      <c r="D239" s="96" t="str">
        <f t="shared" si="23"/>
        <v>2020/08</v>
      </c>
      <c r="E239" s="96" t="str">
        <f t="shared" ca="1" si="24"/>
        <v>M4</v>
      </c>
      <c r="F239" s="96" t="str">
        <f t="shared" si="25"/>
        <v>Tue</v>
      </c>
      <c r="G239" s="96">
        <f t="shared" si="26"/>
        <v>1</v>
      </c>
    </row>
    <row r="240" spans="1:7" x14ac:dyDescent="0.3">
      <c r="A240" s="63">
        <f t="shared" si="27"/>
        <v>44069</v>
      </c>
      <c r="B240" s="96">
        <f t="shared" si="21"/>
        <v>8</v>
      </c>
      <c r="C240" s="96">
        <f t="shared" si="22"/>
        <v>2020</v>
      </c>
      <c r="D240" s="96" t="str">
        <f t="shared" si="23"/>
        <v>2020/08</v>
      </c>
      <c r="E240" s="96" t="str">
        <f t="shared" ca="1" si="24"/>
        <v>M4</v>
      </c>
      <c r="F240" s="96" t="str">
        <f t="shared" si="25"/>
        <v>Wed</v>
      </c>
      <c r="G240" s="96">
        <f t="shared" si="26"/>
        <v>1</v>
      </c>
    </row>
    <row r="241" spans="1:7" x14ac:dyDescent="0.3">
      <c r="A241" s="63">
        <f t="shared" si="27"/>
        <v>44070</v>
      </c>
      <c r="B241" s="96">
        <f t="shared" si="21"/>
        <v>8</v>
      </c>
      <c r="C241" s="96">
        <f t="shared" si="22"/>
        <v>2020</v>
      </c>
      <c r="D241" s="96" t="str">
        <f t="shared" si="23"/>
        <v>2020/08</v>
      </c>
      <c r="E241" s="96" t="str">
        <f t="shared" ca="1" si="24"/>
        <v>M4</v>
      </c>
      <c r="F241" s="96" t="str">
        <f t="shared" si="25"/>
        <v>Thu</v>
      </c>
      <c r="G241" s="96">
        <f t="shared" si="26"/>
        <v>1</v>
      </c>
    </row>
    <row r="242" spans="1:7" x14ac:dyDescent="0.3">
      <c r="A242" s="63">
        <f t="shared" si="27"/>
        <v>44071</v>
      </c>
      <c r="B242" s="96">
        <f t="shared" si="21"/>
        <v>8</v>
      </c>
      <c r="C242" s="96">
        <f t="shared" si="22"/>
        <v>2020</v>
      </c>
      <c r="D242" s="96" t="str">
        <f t="shared" si="23"/>
        <v>2020/08</v>
      </c>
      <c r="E242" s="96" t="str">
        <f t="shared" ca="1" si="24"/>
        <v>M4</v>
      </c>
      <c r="F242" s="96" t="str">
        <f t="shared" si="25"/>
        <v>Fri</v>
      </c>
      <c r="G242" s="96">
        <f t="shared" si="26"/>
        <v>1</v>
      </c>
    </row>
    <row r="243" spans="1:7" x14ac:dyDescent="0.3">
      <c r="A243" s="63">
        <f t="shared" si="27"/>
        <v>44072</v>
      </c>
      <c r="B243" s="96">
        <f t="shared" si="21"/>
        <v>8</v>
      </c>
      <c r="C243" s="96">
        <f t="shared" si="22"/>
        <v>2020</v>
      </c>
      <c r="D243" s="96" t="str">
        <f t="shared" si="23"/>
        <v>2020/08</v>
      </c>
      <c r="E243" s="96" t="str">
        <f t="shared" ca="1" si="24"/>
        <v>M4</v>
      </c>
      <c r="F243" s="96" t="str">
        <f t="shared" si="25"/>
        <v>Sat</v>
      </c>
      <c r="G243" s="96">
        <f t="shared" si="26"/>
        <v>0</v>
      </c>
    </row>
    <row r="244" spans="1:7" x14ac:dyDescent="0.3">
      <c r="A244" s="63">
        <f t="shared" si="27"/>
        <v>44073</v>
      </c>
      <c r="B244" s="96">
        <f t="shared" si="21"/>
        <v>8</v>
      </c>
      <c r="C244" s="96">
        <f t="shared" si="22"/>
        <v>2020</v>
      </c>
      <c r="D244" s="96" t="str">
        <f t="shared" si="23"/>
        <v>2020/08</v>
      </c>
      <c r="E244" s="96" t="str">
        <f t="shared" ca="1" si="24"/>
        <v>M4</v>
      </c>
      <c r="F244" s="96" t="str">
        <f t="shared" si="25"/>
        <v>Sun</v>
      </c>
      <c r="G244" s="96">
        <f t="shared" si="26"/>
        <v>0</v>
      </c>
    </row>
    <row r="245" spans="1:7" x14ac:dyDescent="0.3">
      <c r="A245" s="63">
        <f t="shared" si="27"/>
        <v>44074</v>
      </c>
      <c r="B245" s="96">
        <f t="shared" si="21"/>
        <v>8</v>
      </c>
      <c r="C245" s="96">
        <f t="shared" si="22"/>
        <v>2020</v>
      </c>
      <c r="D245" s="96" t="str">
        <f t="shared" si="23"/>
        <v>2020/08</v>
      </c>
      <c r="E245" s="96" t="str">
        <f t="shared" ca="1" si="24"/>
        <v>M4</v>
      </c>
      <c r="F245" s="96" t="str">
        <f t="shared" si="25"/>
        <v>Mon</v>
      </c>
      <c r="G245" s="96">
        <f t="shared" si="26"/>
        <v>1</v>
      </c>
    </row>
    <row r="246" spans="1:7" x14ac:dyDescent="0.3">
      <c r="A246" s="63">
        <f t="shared" si="27"/>
        <v>44075</v>
      </c>
      <c r="B246" s="96">
        <f t="shared" si="21"/>
        <v>9</v>
      </c>
      <c r="C246" s="96">
        <f t="shared" si="22"/>
        <v>2020</v>
      </c>
      <c r="D246" s="96" t="str">
        <f t="shared" si="23"/>
        <v>2020/09</v>
      </c>
      <c r="E246" s="96" t="str">
        <f t="shared" ca="1" si="24"/>
        <v>M5</v>
      </c>
      <c r="F246" s="96" t="str">
        <f t="shared" si="25"/>
        <v>Tue</v>
      </c>
      <c r="G246" s="96">
        <f t="shared" si="26"/>
        <v>1</v>
      </c>
    </row>
    <row r="247" spans="1:7" x14ac:dyDescent="0.3">
      <c r="A247" s="63">
        <f t="shared" si="27"/>
        <v>44076</v>
      </c>
      <c r="B247" s="96">
        <f t="shared" si="21"/>
        <v>9</v>
      </c>
      <c r="C247" s="96">
        <f t="shared" si="22"/>
        <v>2020</v>
      </c>
      <c r="D247" s="96" t="str">
        <f t="shared" si="23"/>
        <v>2020/09</v>
      </c>
      <c r="E247" s="96" t="str">
        <f t="shared" ca="1" si="24"/>
        <v>M5</v>
      </c>
      <c r="F247" s="96" t="str">
        <f t="shared" si="25"/>
        <v>Wed</v>
      </c>
      <c r="G247" s="96">
        <f t="shared" si="26"/>
        <v>1</v>
      </c>
    </row>
    <row r="248" spans="1:7" x14ac:dyDescent="0.3">
      <c r="A248" s="63">
        <f t="shared" si="27"/>
        <v>44077</v>
      </c>
      <c r="B248" s="96">
        <f t="shared" si="21"/>
        <v>9</v>
      </c>
      <c r="C248" s="96">
        <f t="shared" si="22"/>
        <v>2020</v>
      </c>
      <c r="D248" s="96" t="str">
        <f t="shared" si="23"/>
        <v>2020/09</v>
      </c>
      <c r="E248" s="96" t="str">
        <f t="shared" ca="1" si="24"/>
        <v>M5</v>
      </c>
      <c r="F248" s="96" t="str">
        <f t="shared" si="25"/>
        <v>Thu</v>
      </c>
      <c r="G248" s="96">
        <f t="shared" si="26"/>
        <v>1</v>
      </c>
    </row>
    <row r="249" spans="1:7" x14ac:dyDescent="0.3">
      <c r="A249" s="63">
        <f t="shared" si="27"/>
        <v>44078</v>
      </c>
      <c r="B249" s="96">
        <f t="shared" si="21"/>
        <v>9</v>
      </c>
      <c r="C249" s="96">
        <f t="shared" si="22"/>
        <v>2020</v>
      </c>
      <c r="D249" s="96" t="str">
        <f t="shared" si="23"/>
        <v>2020/09</v>
      </c>
      <c r="E249" s="96" t="str">
        <f t="shared" ca="1" si="24"/>
        <v>M5</v>
      </c>
      <c r="F249" s="96" t="str">
        <f t="shared" si="25"/>
        <v>Fri</v>
      </c>
      <c r="G249" s="96">
        <f t="shared" si="26"/>
        <v>1</v>
      </c>
    </row>
    <row r="250" spans="1:7" x14ac:dyDescent="0.3">
      <c r="A250" s="63">
        <f t="shared" si="27"/>
        <v>44079</v>
      </c>
      <c r="B250" s="96">
        <f t="shared" si="21"/>
        <v>9</v>
      </c>
      <c r="C250" s="96">
        <f t="shared" si="22"/>
        <v>2020</v>
      </c>
      <c r="D250" s="96" t="str">
        <f t="shared" si="23"/>
        <v>2020/09</v>
      </c>
      <c r="E250" s="96" t="str">
        <f t="shared" ca="1" si="24"/>
        <v>M5</v>
      </c>
      <c r="F250" s="96" t="str">
        <f t="shared" si="25"/>
        <v>Sat</v>
      </c>
      <c r="G250" s="96">
        <f t="shared" si="26"/>
        <v>0</v>
      </c>
    </row>
    <row r="251" spans="1:7" x14ac:dyDescent="0.3">
      <c r="A251" s="63">
        <f t="shared" si="27"/>
        <v>44080</v>
      </c>
      <c r="B251" s="96">
        <f t="shared" si="21"/>
        <v>9</v>
      </c>
      <c r="C251" s="96">
        <f t="shared" si="22"/>
        <v>2020</v>
      </c>
      <c r="D251" s="96" t="str">
        <f t="shared" si="23"/>
        <v>2020/09</v>
      </c>
      <c r="E251" s="96" t="str">
        <f t="shared" ca="1" si="24"/>
        <v>M5</v>
      </c>
      <c r="F251" s="96" t="str">
        <f t="shared" si="25"/>
        <v>Sun</v>
      </c>
      <c r="G251" s="96">
        <f t="shared" si="26"/>
        <v>0</v>
      </c>
    </row>
    <row r="252" spans="1:7" x14ac:dyDescent="0.3">
      <c r="A252" s="63">
        <f t="shared" si="27"/>
        <v>44081</v>
      </c>
      <c r="B252" s="96">
        <f t="shared" si="21"/>
        <v>9</v>
      </c>
      <c r="C252" s="96">
        <f t="shared" si="22"/>
        <v>2020</v>
      </c>
      <c r="D252" s="96" t="str">
        <f t="shared" si="23"/>
        <v>2020/09</v>
      </c>
      <c r="E252" s="96" t="str">
        <f t="shared" ca="1" si="24"/>
        <v>M5</v>
      </c>
      <c r="F252" s="96" t="str">
        <f t="shared" si="25"/>
        <v>Mon</v>
      </c>
      <c r="G252" s="96">
        <f t="shared" si="26"/>
        <v>1</v>
      </c>
    </row>
    <row r="253" spans="1:7" x14ac:dyDescent="0.3">
      <c r="A253" s="63">
        <f t="shared" si="27"/>
        <v>44082</v>
      </c>
      <c r="B253" s="96">
        <f t="shared" si="21"/>
        <v>9</v>
      </c>
      <c r="C253" s="96">
        <f t="shared" si="22"/>
        <v>2020</v>
      </c>
      <c r="D253" s="96" t="str">
        <f t="shared" si="23"/>
        <v>2020/09</v>
      </c>
      <c r="E253" s="96" t="str">
        <f t="shared" ca="1" si="24"/>
        <v>M5</v>
      </c>
      <c r="F253" s="96" t="str">
        <f t="shared" si="25"/>
        <v>Tue</v>
      </c>
      <c r="G253" s="96">
        <f t="shared" si="26"/>
        <v>1</v>
      </c>
    </row>
    <row r="254" spans="1:7" x14ac:dyDescent="0.3">
      <c r="A254" s="63">
        <f t="shared" si="27"/>
        <v>44083</v>
      </c>
      <c r="B254" s="96">
        <f t="shared" si="21"/>
        <v>9</v>
      </c>
      <c r="C254" s="96">
        <f t="shared" si="22"/>
        <v>2020</v>
      </c>
      <c r="D254" s="96" t="str">
        <f t="shared" si="23"/>
        <v>2020/09</v>
      </c>
      <c r="E254" s="96" t="str">
        <f t="shared" ca="1" si="24"/>
        <v>M5</v>
      </c>
      <c r="F254" s="96" t="str">
        <f t="shared" si="25"/>
        <v>Wed</v>
      </c>
      <c r="G254" s="96">
        <f t="shared" si="26"/>
        <v>1</v>
      </c>
    </row>
    <row r="255" spans="1:7" x14ac:dyDescent="0.3">
      <c r="A255" s="63">
        <f t="shared" si="27"/>
        <v>44084</v>
      </c>
      <c r="B255" s="96">
        <f t="shared" si="21"/>
        <v>9</v>
      </c>
      <c r="C255" s="96">
        <f t="shared" si="22"/>
        <v>2020</v>
      </c>
      <c r="D255" s="96" t="str">
        <f t="shared" si="23"/>
        <v>2020/09</v>
      </c>
      <c r="E255" s="96" t="str">
        <f t="shared" ca="1" si="24"/>
        <v>M5</v>
      </c>
      <c r="F255" s="96" t="str">
        <f t="shared" si="25"/>
        <v>Thu</v>
      </c>
      <c r="G255" s="96">
        <f t="shared" si="26"/>
        <v>1</v>
      </c>
    </row>
    <row r="256" spans="1:7" x14ac:dyDescent="0.3">
      <c r="A256" s="63">
        <f t="shared" si="27"/>
        <v>44085</v>
      </c>
      <c r="B256" s="96">
        <f t="shared" si="21"/>
        <v>9</v>
      </c>
      <c r="C256" s="96">
        <f t="shared" si="22"/>
        <v>2020</v>
      </c>
      <c r="D256" s="96" t="str">
        <f t="shared" si="23"/>
        <v>2020/09</v>
      </c>
      <c r="E256" s="96" t="str">
        <f t="shared" ca="1" si="24"/>
        <v>M5</v>
      </c>
      <c r="F256" s="96" t="str">
        <f t="shared" si="25"/>
        <v>Fri</v>
      </c>
      <c r="G256" s="96">
        <f t="shared" si="26"/>
        <v>1</v>
      </c>
    </row>
    <row r="257" spans="1:7" x14ac:dyDescent="0.3">
      <c r="A257" s="63">
        <f t="shared" si="27"/>
        <v>44086</v>
      </c>
      <c r="B257" s="96">
        <f t="shared" si="21"/>
        <v>9</v>
      </c>
      <c r="C257" s="96">
        <f t="shared" si="22"/>
        <v>2020</v>
      </c>
      <c r="D257" s="96" t="str">
        <f t="shared" si="23"/>
        <v>2020/09</v>
      </c>
      <c r="E257" s="96" t="str">
        <f t="shared" ca="1" si="24"/>
        <v>M5</v>
      </c>
      <c r="F257" s="96" t="str">
        <f t="shared" si="25"/>
        <v>Sat</v>
      </c>
      <c r="G257" s="96">
        <f t="shared" si="26"/>
        <v>0</v>
      </c>
    </row>
    <row r="258" spans="1:7" x14ac:dyDescent="0.3">
      <c r="A258" s="63">
        <f t="shared" si="27"/>
        <v>44087</v>
      </c>
      <c r="B258" s="96">
        <f t="shared" si="21"/>
        <v>9</v>
      </c>
      <c r="C258" s="96">
        <f t="shared" si="22"/>
        <v>2020</v>
      </c>
      <c r="D258" s="96" t="str">
        <f t="shared" si="23"/>
        <v>2020/09</v>
      </c>
      <c r="E258" s="96" t="str">
        <f t="shared" ca="1" si="24"/>
        <v>M5</v>
      </c>
      <c r="F258" s="96" t="str">
        <f t="shared" si="25"/>
        <v>Sun</v>
      </c>
      <c r="G258" s="96">
        <f t="shared" si="26"/>
        <v>0</v>
      </c>
    </row>
    <row r="259" spans="1:7" x14ac:dyDescent="0.3">
      <c r="A259" s="63">
        <f t="shared" si="27"/>
        <v>44088</v>
      </c>
      <c r="B259" s="96">
        <f t="shared" ref="B259:B322" si="28">MONTH(A259)</f>
        <v>9</v>
      </c>
      <c r="C259" s="96">
        <f t="shared" ref="C259:C322" si="29">YEAR(A259)</f>
        <v>2020</v>
      </c>
      <c r="D259" s="96" t="str">
        <f t="shared" ref="D259:D322" si="30">CONCATENATE(C259,"/",TEXT(B259,"00"))</f>
        <v>2020/09</v>
      </c>
      <c r="E259" s="96" t="str">
        <f t="shared" ref="E259:E322" ca="1" si="31">CONCATENATE("M",B259-MONTH(TODAY())+12*(YEAR(TODAY())-C259))</f>
        <v>M5</v>
      </c>
      <c r="F259" s="96" t="str">
        <f t="shared" ref="F259:F322" si="32">TEXT(A259,"ddd")</f>
        <v>Mon</v>
      </c>
      <c r="G259" s="96">
        <f t="shared" ref="G259:G322" si="33">IF(LEFT(F259,1)="s",0,1)</f>
        <v>1</v>
      </c>
    </row>
    <row r="260" spans="1:7" x14ac:dyDescent="0.3">
      <c r="A260" s="63">
        <f t="shared" ref="A260:A323" si="34">A259+1</f>
        <v>44089</v>
      </c>
      <c r="B260" s="96">
        <f t="shared" si="28"/>
        <v>9</v>
      </c>
      <c r="C260" s="96">
        <f t="shared" si="29"/>
        <v>2020</v>
      </c>
      <c r="D260" s="96" t="str">
        <f t="shared" si="30"/>
        <v>2020/09</v>
      </c>
      <c r="E260" s="96" t="str">
        <f t="shared" ca="1" si="31"/>
        <v>M5</v>
      </c>
      <c r="F260" s="96" t="str">
        <f t="shared" si="32"/>
        <v>Tue</v>
      </c>
      <c r="G260" s="96">
        <f t="shared" si="33"/>
        <v>1</v>
      </c>
    </row>
    <row r="261" spans="1:7" x14ac:dyDescent="0.3">
      <c r="A261" s="63">
        <f t="shared" si="34"/>
        <v>44090</v>
      </c>
      <c r="B261" s="96">
        <f t="shared" si="28"/>
        <v>9</v>
      </c>
      <c r="C261" s="96">
        <f t="shared" si="29"/>
        <v>2020</v>
      </c>
      <c r="D261" s="96" t="str">
        <f t="shared" si="30"/>
        <v>2020/09</v>
      </c>
      <c r="E261" s="96" t="str">
        <f t="shared" ca="1" si="31"/>
        <v>M5</v>
      </c>
      <c r="F261" s="96" t="str">
        <f t="shared" si="32"/>
        <v>Wed</v>
      </c>
      <c r="G261" s="96">
        <f t="shared" si="33"/>
        <v>1</v>
      </c>
    </row>
    <row r="262" spans="1:7" x14ac:dyDescent="0.3">
      <c r="A262" s="63">
        <f t="shared" si="34"/>
        <v>44091</v>
      </c>
      <c r="B262" s="96">
        <f t="shared" si="28"/>
        <v>9</v>
      </c>
      <c r="C262" s="96">
        <f t="shared" si="29"/>
        <v>2020</v>
      </c>
      <c r="D262" s="96" t="str">
        <f t="shared" si="30"/>
        <v>2020/09</v>
      </c>
      <c r="E262" s="96" t="str">
        <f t="shared" ca="1" si="31"/>
        <v>M5</v>
      </c>
      <c r="F262" s="96" t="str">
        <f t="shared" si="32"/>
        <v>Thu</v>
      </c>
      <c r="G262" s="96">
        <f t="shared" si="33"/>
        <v>1</v>
      </c>
    </row>
    <row r="263" spans="1:7" x14ac:dyDescent="0.3">
      <c r="A263" s="63">
        <f t="shared" si="34"/>
        <v>44092</v>
      </c>
      <c r="B263" s="96">
        <f t="shared" si="28"/>
        <v>9</v>
      </c>
      <c r="C263" s="96">
        <f t="shared" si="29"/>
        <v>2020</v>
      </c>
      <c r="D263" s="96" t="str">
        <f t="shared" si="30"/>
        <v>2020/09</v>
      </c>
      <c r="E263" s="96" t="str">
        <f t="shared" ca="1" si="31"/>
        <v>M5</v>
      </c>
      <c r="F263" s="96" t="str">
        <f t="shared" si="32"/>
        <v>Fri</v>
      </c>
      <c r="G263" s="96">
        <f t="shared" si="33"/>
        <v>1</v>
      </c>
    </row>
    <row r="264" spans="1:7" x14ac:dyDescent="0.3">
      <c r="A264" s="63">
        <f t="shared" si="34"/>
        <v>44093</v>
      </c>
      <c r="B264" s="96">
        <f t="shared" si="28"/>
        <v>9</v>
      </c>
      <c r="C264" s="96">
        <f t="shared" si="29"/>
        <v>2020</v>
      </c>
      <c r="D264" s="96" t="str">
        <f t="shared" si="30"/>
        <v>2020/09</v>
      </c>
      <c r="E264" s="96" t="str">
        <f t="shared" ca="1" si="31"/>
        <v>M5</v>
      </c>
      <c r="F264" s="96" t="str">
        <f t="shared" si="32"/>
        <v>Sat</v>
      </c>
      <c r="G264" s="96">
        <f t="shared" si="33"/>
        <v>0</v>
      </c>
    </row>
    <row r="265" spans="1:7" x14ac:dyDescent="0.3">
      <c r="A265" s="63">
        <f t="shared" si="34"/>
        <v>44094</v>
      </c>
      <c r="B265" s="96">
        <f t="shared" si="28"/>
        <v>9</v>
      </c>
      <c r="C265" s="96">
        <f t="shared" si="29"/>
        <v>2020</v>
      </c>
      <c r="D265" s="96" t="str">
        <f t="shared" si="30"/>
        <v>2020/09</v>
      </c>
      <c r="E265" s="96" t="str">
        <f t="shared" ca="1" si="31"/>
        <v>M5</v>
      </c>
      <c r="F265" s="96" t="str">
        <f t="shared" si="32"/>
        <v>Sun</v>
      </c>
      <c r="G265" s="96">
        <f t="shared" si="33"/>
        <v>0</v>
      </c>
    </row>
    <row r="266" spans="1:7" x14ac:dyDescent="0.3">
      <c r="A266" s="63">
        <f t="shared" si="34"/>
        <v>44095</v>
      </c>
      <c r="B266" s="96">
        <f t="shared" si="28"/>
        <v>9</v>
      </c>
      <c r="C266" s="96">
        <f t="shared" si="29"/>
        <v>2020</v>
      </c>
      <c r="D266" s="96" t="str">
        <f t="shared" si="30"/>
        <v>2020/09</v>
      </c>
      <c r="E266" s="96" t="str">
        <f t="shared" ca="1" si="31"/>
        <v>M5</v>
      </c>
      <c r="F266" s="96" t="str">
        <f t="shared" si="32"/>
        <v>Mon</v>
      </c>
      <c r="G266" s="96">
        <f t="shared" si="33"/>
        <v>1</v>
      </c>
    </row>
    <row r="267" spans="1:7" x14ac:dyDescent="0.3">
      <c r="A267" s="63">
        <f t="shared" si="34"/>
        <v>44096</v>
      </c>
      <c r="B267" s="96">
        <f t="shared" si="28"/>
        <v>9</v>
      </c>
      <c r="C267" s="96">
        <f t="shared" si="29"/>
        <v>2020</v>
      </c>
      <c r="D267" s="96" t="str">
        <f t="shared" si="30"/>
        <v>2020/09</v>
      </c>
      <c r="E267" s="96" t="str">
        <f t="shared" ca="1" si="31"/>
        <v>M5</v>
      </c>
      <c r="F267" s="96" t="str">
        <f t="shared" si="32"/>
        <v>Tue</v>
      </c>
      <c r="G267" s="96">
        <f t="shared" si="33"/>
        <v>1</v>
      </c>
    </row>
    <row r="268" spans="1:7" x14ac:dyDescent="0.3">
      <c r="A268" s="63">
        <f t="shared" si="34"/>
        <v>44097</v>
      </c>
      <c r="B268" s="96">
        <f t="shared" si="28"/>
        <v>9</v>
      </c>
      <c r="C268" s="96">
        <f t="shared" si="29"/>
        <v>2020</v>
      </c>
      <c r="D268" s="96" t="str">
        <f t="shared" si="30"/>
        <v>2020/09</v>
      </c>
      <c r="E268" s="96" t="str">
        <f t="shared" ca="1" si="31"/>
        <v>M5</v>
      </c>
      <c r="F268" s="96" t="str">
        <f t="shared" si="32"/>
        <v>Wed</v>
      </c>
      <c r="G268" s="96">
        <f t="shared" si="33"/>
        <v>1</v>
      </c>
    </row>
    <row r="269" spans="1:7" x14ac:dyDescent="0.3">
      <c r="A269" s="63">
        <f t="shared" si="34"/>
        <v>44098</v>
      </c>
      <c r="B269" s="96">
        <f t="shared" si="28"/>
        <v>9</v>
      </c>
      <c r="C269" s="96">
        <f t="shared" si="29"/>
        <v>2020</v>
      </c>
      <c r="D269" s="96" t="str">
        <f t="shared" si="30"/>
        <v>2020/09</v>
      </c>
      <c r="E269" s="96" t="str">
        <f t="shared" ca="1" si="31"/>
        <v>M5</v>
      </c>
      <c r="F269" s="96" t="str">
        <f t="shared" si="32"/>
        <v>Thu</v>
      </c>
      <c r="G269" s="96">
        <f t="shared" si="33"/>
        <v>1</v>
      </c>
    </row>
    <row r="270" spans="1:7" x14ac:dyDescent="0.3">
      <c r="A270" s="63">
        <f t="shared" si="34"/>
        <v>44099</v>
      </c>
      <c r="B270" s="96">
        <f t="shared" si="28"/>
        <v>9</v>
      </c>
      <c r="C270" s="96">
        <f t="shared" si="29"/>
        <v>2020</v>
      </c>
      <c r="D270" s="96" t="str">
        <f t="shared" si="30"/>
        <v>2020/09</v>
      </c>
      <c r="E270" s="96" t="str">
        <f t="shared" ca="1" si="31"/>
        <v>M5</v>
      </c>
      <c r="F270" s="96" t="str">
        <f t="shared" si="32"/>
        <v>Fri</v>
      </c>
      <c r="G270" s="96">
        <f t="shared" si="33"/>
        <v>1</v>
      </c>
    </row>
    <row r="271" spans="1:7" x14ac:dyDescent="0.3">
      <c r="A271" s="63">
        <f t="shared" si="34"/>
        <v>44100</v>
      </c>
      <c r="B271" s="96">
        <f t="shared" si="28"/>
        <v>9</v>
      </c>
      <c r="C271" s="96">
        <f t="shared" si="29"/>
        <v>2020</v>
      </c>
      <c r="D271" s="96" t="str">
        <f t="shared" si="30"/>
        <v>2020/09</v>
      </c>
      <c r="E271" s="96" t="str">
        <f t="shared" ca="1" si="31"/>
        <v>M5</v>
      </c>
      <c r="F271" s="96" t="str">
        <f t="shared" si="32"/>
        <v>Sat</v>
      </c>
      <c r="G271" s="96">
        <f t="shared" si="33"/>
        <v>0</v>
      </c>
    </row>
    <row r="272" spans="1:7" x14ac:dyDescent="0.3">
      <c r="A272" s="63">
        <f t="shared" si="34"/>
        <v>44101</v>
      </c>
      <c r="B272" s="96">
        <f t="shared" si="28"/>
        <v>9</v>
      </c>
      <c r="C272" s="96">
        <f t="shared" si="29"/>
        <v>2020</v>
      </c>
      <c r="D272" s="96" t="str">
        <f t="shared" si="30"/>
        <v>2020/09</v>
      </c>
      <c r="E272" s="96" t="str">
        <f t="shared" ca="1" si="31"/>
        <v>M5</v>
      </c>
      <c r="F272" s="96" t="str">
        <f t="shared" si="32"/>
        <v>Sun</v>
      </c>
      <c r="G272" s="96">
        <f t="shared" si="33"/>
        <v>0</v>
      </c>
    </row>
    <row r="273" spans="1:7" x14ac:dyDescent="0.3">
      <c r="A273" s="63">
        <f t="shared" si="34"/>
        <v>44102</v>
      </c>
      <c r="B273" s="96">
        <f t="shared" si="28"/>
        <v>9</v>
      </c>
      <c r="C273" s="96">
        <f t="shared" si="29"/>
        <v>2020</v>
      </c>
      <c r="D273" s="96" t="str">
        <f t="shared" si="30"/>
        <v>2020/09</v>
      </c>
      <c r="E273" s="96" t="str">
        <f t="shared" ca="1" si="31"/>
        <v>M5</v>
      </c>
      <c r="F273" s="96" t="str">
        <f t="shared" si="32"/>
        <v>Mon</v>
      </c>
      <c r="G273" s="96">
        <f t="shared" si="33"/>
        <v>1</v>
      </c>
    </row>
    <row r="274" spans="1:7" x14ac:dyDescent="0.3">
      <c r="A274" s="63">
        <f t="shared" si="34"/>
        <v>44103</v>
      </c>
      <c r="B274" s="96">
        <f t="shared" si="28"/>
        <v>9</v>
      </c>
      <c r="C274" s="96">
        <f t="shared" si="29"/>
        <v>2020</v>
      </c>
      <c r="D274" s="96" t="str">
        <f t="shared" si="30"/>
        <v>2020/09</v>
      </c>
      <c r="E274" s="96" t="str">
        <f t="shared" ca="1" si="31"/>
        <v>M5</v>
      </c>
      <c r="F274" s="96" t="str">
        <f t="shared" si="32"/>
        <v>Tue</v>
      </c>
      <c r="G274" s="96">
        <f t="shared" si="33"/>
        <v>1</v>
      </c>
    </row>
    <row r="275" spans="1:7" x14ac:dyDescent="0.3">
      <c r="A275" s="63">
        <f t="shared" si="34"/>
        <v>44104</v>
      </c>
      <c r="B275" s="96">
        <f t="shared" si="28"/>
        <v>9</v>
      </c>
      <c r="C275" s="96">
        <f t="shared" si="29"/>
        <v>2020</v>
      </c>
      <c r="D275" s="96" t="str">
        <f t="shared" si="30"/>
        <v>2020/09</v>
      </c>
      <c r="E275" s="96" t="str">
        <f t="shared" ca="1" si="31"/>
        <v>M5</v>
      </c>
      <c r="F275" s="96" t="str">
        <f t="shared" si="32"/>
        <v>Wed</v>
      </c>
      <c r="G275" s="96">
        <f t="shared" si="33"/>
        <v>1</v>
      </c>
    </row>
    <row r="276" spans="1:7" x14ac:dyDescent="0.3">
      <c r="A276" s="63">
        <f t="shared" si="34"/>
        <v>44105</v>
      </c>
      <c r="B276" s="96">
        <f t="shared" si="28"/>
        <v>10</v>
      </c>
      <c r="C276" s="96">
        <f t="shared" si="29"/>
        <v>2020</v>
      </c>
      <c r="D276" s="96" t="str">
        <f t="shared" si="30"/>
        <v>2020/10</v>
      </c>
      <c r="E276" s="96" t="str">
        <f t="shared" ca="1" si="31"/>
        <v>M6</v>
      </c>
      <c r="F276" s="96" t="str">
        <f t="shared" si="32"/>
        <v>Thu</v>
      </c>
      <c r="G276" s="96">
        <f t="shared" si="33"/>
        <v>1</v>
      </c>
    </row>
    <row r="277" spans="1:7" x14ac:dyDescent="0.3">
      <c r="A277" s="63">
        <f t="shared" si="34"/>
        <v>44106</v>
      </c>
      <c r="B277" s="96">
        <f t="shared" si="28"/>
        <v>10</v>
      </c>
      <c r="C277" s="96">
        <f t="shared" si="29"/>
        <v>2020</v>
      </c>
      <c r="D277" s="96" t="str">
        <f t="shared" si="30"/>
        <v>2020/10</v>
      </c>
      <c r="E277" s="96" t="str">
        <f t="shared" ca="1" si="31"/>
        <v>M6</v>
      </c>
      <c r="F277" s="96" t="str">
        <f t="shared" si="32"/>
        <v>Fri</v>
      </c>
      <c r="G277" s="96">
        <f t="shared" si="33"/>
        <v>1</v>
      </c>
    </row>
    <row r="278" spans="1:7" x14ac:dyDescent="0.3">
      <c r="A278" s="63">
        <f t="shared" si="34"/>
        <v>44107</v>
      </c>
      <c r="B278" s="96">
        <f t="shared" si="28"/>
        <v>10</v>
      </c>
      <c r="C278" s="96">
        <f t="shared" si="29"/>
        <v>2020</v>
      </c>
      <c r="D278" s="96" t="str">
        <f t="shared" si="30"/>
        <v>2020/10</v>
      </c>
      <c r="E278" s="96" t="str">
        <f t="shared" ca="1" si="31"/>
        <v>M6</v>
      </c>
      <c r="F278" s="96" t="str">
        <f t="shared" si="32"/>
        <v>Sat</v>
      </c>
      <c r="G278" s="96">
        <f t="shared" si="33"/>
        <v>0</v>
      </c>
    </row>
    <row r="279" spans="1:7" x14ac:dyDescent="0.3">
      <c r="A279" s="63">
        <f t="shared" si="34"/>
        <v>44108</v>
      </c>
      <c r="B279" s="96">
        <f t="shared" si="28"/>
        <v>10</v>
      </c>
      <c r="C279" s="96">
        <f t="shared" si="29"/>
        <v>2020</v>
      </c>
      <c r="D279" s="96" t="str">
        <f t="shared" si="30"/>
        <v>2020/10</v>
      </c>
      <c r="E279" s="96" t="str">
        <f t="shared" ca="1" si="31"/>
        <v>M6</v>
      </c>
      <c r="F279" s="96" t="str">
        <f t="shared" si="32"/>
        <v>Sun</v>
      </c>
      <c r="G279" s="96">
        <f t="shared" si="33"/>
        <v>0</v>
      </c>
    </row>
    <row r="280" spans="1:7" x14ac:dyDescent="0.3">
      <c r="A280" s="63">
        <f t="shared" si="34"/>
        <v>44109</v>
      </c>
      <c r="B280" s="96">
        <f t="shared" si="28"/>
        <v>10</v>
      </c>
      <c r="C280" s="96">
        <f t="shared" si="29"/>
        <v>2020</v>
      </c>
      <c r="D280" s="96" t="str">
        <f t="shared" si="30"/>
        <v>2020/10</v>
      </c>
      <c r="E280" s="96" t="str">
        <f t="shared" ca="1" si="31"/>
        <v>M6</v>
      </c>
      <c r="F280" s="96" t="str">
        <f t="shared" si="32"/>
        <v>Mon</v>
      </c>
      <c r="G280" s="96">
        <f t="shared" si="33"/>
        <v>1</v>
      </c>
    </row>
    <row r="281" spans="1:7" x14ac:dyDescent="0.3">
      <c r="A281" s="63">
        <f t="shared" si="34"/>
        <v>44110</v>
      </c>
      <c r="B281" s="96">
        <f t="shared" si="28"/>
        <v>10</v>
      </c>
      <c r="C281" s="96">
        <f t="shared" si="29"/>
        <v>2020</v>
      </c>
      <c r="D281" s="96" t="str">
        <f t="shared" si="30"/>
        <v>2020/10</v>
      </c>
      <c r="E281" s="96" t="str">
        <f t="shared" ca="1" si="31"/>
        <v>M6</v>
      </c>
      <c r="F281" s="96" t="str">
        <f t="shared" si="32"/>
        <v>Tue</v>
      </c>
      <c r="G281" s="96">
        <f t="shared" si="33"/>
        <v>1</v>
      </c>
    </row>
    <row r="282" spans="1:7" x14ac:dyDescent="0.3">
      <c r="A282" s="63">
        <f t="shared" si="34"/>
        <v>44111</v>
      </c>
      <c r="B282" s="96">
        <f t="shared" si="28"/>
        <v>10</v>
      </c>
      <c r="C282" s="96">
        <f t="shared" si="29"/>
        <v>2020</v>
      </c>
      <c r="D282" s="96" t="str">
        <f t="shared" si="30"/>
        <v>2020/10</v>
      </c>
      <c r="E282" s="96" t="str">
        <f t="shared" ca="1" si="31"/>
        <v>M6</v>
      </c>
      <c r="F282" s="96" t="str">
        <f t="shared" si="32"/>
        <v>Wed</v>
      </c>
      <c r="G282" s="96">
        <f t="shared" si="33"/>
        <v>1</v>
      </c>
    </row>
    <row r="283" spans="1:7" x14ac:dyDescent="0.3">
      <c r="A283" s="63">
        <f t="shared" si="34"/>
        <v>44112</v>
      </c>
      <c r="B283" s="96">
        <f t="shared" si="28"/>
        <v>10</v>
      </c>
      <c r="C283" s="96">
        <f t="shared" si="29"/>
        <v>2020</v>
      </c>
      <c r="D283" s="96" t="str">
        <f t="shared" si="30"/>
        <v>2020/10</v>
      </c>
      <c r="E283" s="96" t="str">
        <f t="shared" ca="1" si="31"/>
        <v>M6</v>
      </c>
      <c r="F283" s="96" t="str">
        <f t="shared" si="32"/>
        <v>Thu</v>
      </c>
      <c r="G283" s="96">
        <f t="shared" si="33"/>
        <v>1</v>
      </c>
    </row>
    <row r="284" spans="1:7" x14ac:dyDescent="0.3">
      <c r="A284" s="63">
        <f t="shared" si="34"/>
        <v>44113</v>
      </c>
      <c r="B284" s="96">
        <f t="shared" si="28"/>
        <v>10</v>
      </c>
      <c r="C284" s="96">
        <f t="shared" si="29"/>
        <v>2020</v>
      </c>
      <c r="D284" s="96" t="str">
        <f t="shared" si="30"/>
        <v>2020/10</v>
      </c>
      <c r="E284" s="96" t="str">
        <f t="shared" ca="1" si="31"/>
        <v>M6</v>
      </c>
      <c r="F284" s="96" t="str">
        <f t="shared" si="32"/>
        <v>Fri</v>
      </c>
      <c r="G284" s="96">
        <f t="shared" si="33"/>
        <v>1</v>
      </c>
    </row>
    <row r="285" spans="1:7" x14ac:dyDescent="0.3">
      <c r="A285" s="63">
        <f t="shared" si="34"/>
        <v>44114</v>
      </c>
      <c r="B285" s="96">
        <f t="shared" si="28"/>
        <v>10</v>
      </c>
      <c r="C285" s="96">
        <f t="shared" si="29"/>
        <v>2020</v>
      </c>
      <c r="D285" s="96" t="str">
        <f t="shared" si="30"/>
        <v>2020/10</v>
      </c>
      <c r="E285" s="96" t="str">
        <f t="shared" ca="1" si="31"/>
        <v>M6</v>
      </c>
      <c r="F285" s="96" t="str">
        <f t="shared" si="32"/>
        <v>Sat</v>
      </c>
      <c r="G285" s="96">
        <f t="shared" si="33"/>
        <v>0</v>
      </c>
    </row>
    <row r="286" spans="1:7" x14ac:dyDescent="0.3">
      <c r="A286" s="63">
        <f t="shared" si="34"/>
        <v>44115</v>
      </c>
      <c r="B286" s="96">
        <f t="shared" si="28"/>
        <v>10</v>
      </c>
      <c r="C286" s="96">
        <f t="shared" si="29"/>
        <v>2020</v>
      </c>
      <c r="D286" s="96" t="str">
        <f t="shared" si="30"/>
        <v>2020/10</v>
      </c>
      <c r="E286" s="96" t="str">
        <f t="shared" ca="1" si="31"/>
        <v>M6</v>
      </c>
      <c r="F286" s="96" t="str">
        <f t="shared" si="32"/>
        <v>Sun</v>
      </c>
      <c r="G286" s="96">
        <f t="shared" si="33"/>
        <v>0</v>
      </c>
    </row>
    <row r="287" spans="1:7" x14ac:dyDescent="0.3">
      <c r="A287" s="63">
        <f t="shared" si="34"/>
        <v>44116</v>
      </c>
      <c r="B287" s="96">
        <f t="shared" si="28"/>
        <v>10</v>
      </c>
      <c r="C287" s="96">
        <f t="shared" si="29"/>
        <v>2020</v>
      </c>
      <c r="D287" s="96" t="str">
        <f t="shared" si="30"/>
        <v>2020/10</v>
      </c>
      <c r="E287" s="96" t="str">
        <f t="shared" ca="1" si="31"/>
        <v>M6</v>
      </c>
      <c r="F287" s="96" t="str">
        <f t="shared" si="32"/>
        <v>Mon</v>
      </c>
      <c r="G287" s="96">
        <f t="shared" si="33"/>
        <v>1</v>
      </c>
    </row>
    <row r="288" spans="1:7" x14ac:dyDescent="0.3">
      <c r="A288" s="63">
        <f t="shared" si="34"/>
        <v>44117</v>
      </c>
      <c r="B288" s="96">
        <f t="shared" si="28"/>
        <v>10</v>
      </c>
      <c r="C288" s="96">
        <f t="shared" si="29"/>
        <v>2020</v>
      </c>
      <c r="D288" s="96" t="str">
        <f t="shared" si="30"/>
        <v>2020/10</v>
      </c>
      <c r="E288" s="96" t="str">
        <f t="shared" ca="1" si="31"/>
        <v>M6</v>
      </c>
      <c r="F288" s="96" t="str">
        <f t="shared" si="32"/>
        <v>Tue</v>
      </c>
      <c r="G288" s="96">
        <f t="shared" si="33"/>
        <v>1</v>
      </c>
    </row>
    <row r="289" spans="1:7" x14ac:dyDescent="0.3">
      <c r="A289" s="63">
        <f t="shared" si="34"/>
        <v>44118</v>
      </c>
      <c r="B289" s="96">
        <f t="shared" si="28"/>
        <v>10</v>
      </c>
      <c r="C289" s="96">
        <f t="shared" si="29"/>
        <v>2020</v>
      </c>
      <c r="D289" s="96" t="str">
        <f t="shared" si="30"/>
        <v>2020/10</v>
      </c>
      <c r="E289" s="96" t="str">
        <f t="shared" ca="1" si="31"/>
        <v>M6</v>
      </c>
      <c r="F289" s="96" t="str">
        <f t="shared" si="32"/>
        <v>Wed</v>
      </c>
      <c r="G289" s="96">
        <f t="shared" si="33"/>
        <v>1</v>
      </c>
    </row>
    <row r="290" spans="1:7" x14ac:dyDescent="0.3">
      <c r="A290" s="63">
        <f t="shared" si="34"/>
        <v>44119</v>
      </c>
      <c r="B290" s="96">
        <f t="shared" si="28"/>
        <v>10</v>
      </c>
      <c r="C290" s="96">
        <f t="shared" si="29"/>
        <v>2020</v>
      </c>
      <c r="D290" s="96" t="str">
        <f t="shared" si="30"/>
        <v>2020/10</v>
      </c>
      <c r="E290" s="96" t="str">
        <f t="shared" ca="1" si="31"/>
        <v>M6</v>
      </c>
      <c r="F290" s="96" t="str">
        <f t="shared" si="32"/>
        <v>Thu</v>
      </c>
      <c r="G290" s="96">
        <f t="shared" si="33"/>
        <v>1</v>
      </c>
    </row>
    <row r="291" spans="1:7" x14ac:dyDescent="0.3">
      <c r="A291" s="63">
        <f t="shared" si="34"/>
        <v>44120</v>
      </c>
      <c r="B291" s="96">
        <f t="shared" si="28"/>
        <v>10</v>
      </c>
      <c r="C291" s="96">
        <f t="shared" si="29"/>
        <v>2020</v>
      </c>
      <c r="D291" s="96" t="str">
        <f t="shared" si="30"/>
        <v>2020/10</v>
      </c>
      <c r="E291" s="96" t="str">
        <f t="shared" ca="1" si="31"/>
        <v>M6</v>
      </c>
      <c r="F291" s="96" t="str">
        <f t="shared" si="32"/>
        <v>Fri</v>
      </c>
      <c r="G291" s="96">
        <f t="shared" si="33"/>
        <v>1</v>
      </c>
    </row>
    <row r="292" spans="1:7" x14ac:dyDescent="0.3">
      <c r="A292" s="63">
        <f t="shared" si="34"/>
        <v>44121</v>
      </c>
      <c r="B292" s="96">
        <f t="shared" si="28"/>
        <v>10</v>
      </c>
      <c r="C292" s="96">
        <f t="shared" si="29"/>
        <v>2020</v>
      </c>
      <c r="D292" s="96" t="str">
        <f t="shared" si="30"/>
        <v>2020/10</v>
      </c>
      <c r="E292" s="96" t="str">
        <f t="shared" ca="1" si="31"/>
        <v>M6</v>
      </c>
      <c r="F292" s="96" t="str">
        <f t="shared" si="32"/>
        <v>Sat</v>
      </c>
      <c r="G292" s="96">
        <f t="shared" si="33"/>
        <v>0</v>
      </c>
    </row>
    <row r="293" spans="1:7" x14ac:dyDescent="0.3">
      <c r="A293" s="63">
        <f t="shared" si="34"/>
        <v>44122</v>
      </c>
      <c r="B293" s="96">
        <f t="shared" si="28"/>
        <v>10</v>
      </c>
      <c r="C293" s="96">
        <f t="shared" si="29"/>
        <v>2020</v>
      </c>
      <c r="D293" s="96" t="str">
        <f t="shared" si="30"/>
        <v>2020/10</v>
      </c>
      <c r="E293" s="96" t="str">
        <f t="shared" ca="1" si="31"/>
        <v>M6</v>
      </c>
      <c r="F293" s="96" t="str">
        <f t="shared" si="32"/>
        <v>Sun</v>
      </c>
      <c r="G293" s="96">
        <f t="shared" si="33"/>
        <v>0</v>
      </c>
    </row>
    <row r="294" spans="1:7" x14ac:dyDescent="0.3">
      <c r="A294" s="63">
        <f t="shared" si="34"/>
        <v>44123</v>
      </c>
      <c r="B294" s="96">
        <f t="shared" si="28"/>
        <v>10</v>
      </c>
      <c r="C294" s="96">
        <f t="shared" si="29"/>
        <v>2020</v>
      </c>
      <c r="D294" s="96" t="str">
        <f t="shared" si="30"/>
        <v>2020/10</v>
      </c>
      <c r="E294" s="96" t="str">
        <f t="shared" ca="1" si="31"/>
        <v>M6</v>
      </c>
      <c r="F294" s="96" t="str">
        <f t="shared" si="32"/>
        <v>Mon</v>
      </c>
      <c r="G294" s="96">
        <f t="shared" si="33"/>
        <v>1</v>
      </c>
    </row>
    <row r="295" spans="1:7" x14ac:dyDescent="0.3">
      <c r="A295" s="63">
        <f t="shared" si="34"/>
        <v>44124</v>
      </c>
      <c r="B295" s="96">
        <f t="shared" si="28"/>
        <v>10</v>
      </c>
      <c r="C295" s="96">
        <f t="shared" si="29"/>
        <v>2020</v>
      </c>
      <c r="D295" s="96" t="str">
        <f t="shared" si="30"/>
        <v>2020/10</v>
      </c>
      <c r="E295" s="96" t="str">
        <f t="shared" ca="1" si="31"/>
        <v>M6</v>
      </c>
      <c r="F295" s="96" t="str">
        <f t="shared" si="32"/>
        <v>Tue</v>
      </c>
      <c r="G295" s="96">
        <f t="shared" si="33"/>
        <v>1</v>
      </c>
    </row>
    <row r="296" spans="1:7" x14ac:dyDescent="0.3">
      <c r="A296" s="63">
        <f t="shared" si="34"/>
        <v>44125</v>
      </c>
      <c r="B296" s="96">
        <f t="shared" si="28"/>
        <v>10</v>
      </c>
      <c r="C296" s="96">
        <f t="shared" si="29"/>
        <v>2020</v>
      </c>
      <c r="D296" s="96" t="str">
        <f t="shared" si="30"/>
        <v>2020/10</v>
      </c>
      <c r="E296" s="96" t="str">
        <f t="shared" ca="1" si="31"/>
        <v>M6</v>
      </c>
      <c r="F296" s="96" t="str">
        <f t="shared" si="32"/>
        <v>Wed</v>
      </c>
      <c r="G296" s="96">
        <f t="shared" si="33"/>
        <v>1</v>
      </c>
    </row>
    <row r="297" spans="1:7" x14ac:dyDescent="0.3">
      <c r="A297" s="63">
        <f t="shared" si="34"/>
        <v>44126</v>
      </c>
      <c r="B297" s="96">
        <f t="shared" si="28"/>
        <v>10</v>
      </c>
      <c r="C297" s="96">
        <f t="shared" si="29"/>
        <v>2020</v>
      </c>
      <c r="D297" s="96" t="str">
        <f t="shared" si="30"/>
        <v>2020/10</v>
      </c>
      <c r="E297" s="96" t="str">
        <f t="shared" ca="1" si="31"/>
        <v>M6</v>
      </c>
      <c r="F297" s="96" t="str">
        <f t="shared" si="32"/>
        <v>Thu</v>
      </c>
      <c r="G297" s="96">
        <f t="shared" si="33"/>
        <v>1</v>
      </c>
    </row>
    <row r="298" spans="1:7" x14ac:dyDescent="0.3">
      <c r="A298" s="63">
        <f t="shared" si="34"/>
        <v>44127</v>
      </c>
      <c r="B298" s="96">
        <f t="shared" si="28"/>
        <v>10</v>
      </c>
      <c r="C298" s="96">
        <f t="shared" si="29"/>
        <v>2020</v>
      </c>
      <c r="D298" s="96" t="str">
        <f t="shared" si="30"/>
        <v>2020/10</v>
      </c>
      <c r="E298" s="96" t="str">
        <f t="shared" ca="1" si="31"/>
        <v>M6</v>
      </c>
      <c r="F298" s="96" t="str">
        <f t="shared" si="32"/>
        <v>Fri</v>
      </c>
      <c r="G298" s="96">
        <f t="shared" si="33"/>
        <v>1</v>
      </c>
    </row>
    <row r="299" spans="1:7" x14ac:dyDescent="0.3">
      <c r="A299" s="63">
        <f t="shared" si="34"/>
        <v>44128</v>
      </c>
      <c r="B299" s="96">
        <f t="shared" si="28"/>
        <v>10</v>
      </c>
      <c r="C299" s="96">
        <f t="shared" si="29"/>
        <v>2020</v>
      </c>
      <c r="D299" s="96" t="str">
        <f t="shared" si="30"/>
        <v>2020/10</v>
      </c>
      <c r="E299" s="96" t="str">
        <f t="shared" ca="1" si="31"/>
        <v>M6</v>
      </c>
      <c r="F299" s="96" t="str">
        <f t="shared" si="32"/>
        <v>Sat</v>
      </c>
      <c r="G299" s="96">
        <f t="shared" si="33"/>
        <v>0</v>
      </c>
    </row>
    <row r="300" spans="1:7" x14ac:dyDescent="0.3">
      <c r="A300" s="63">
        <f t="shared" si="34"/>
        <v>44129</v>
      </c>
      <c r="B300" s="96">
        <f t="shared" si="28"/>
        <v>10</v>
      </c>
      <c r="C300" s="96">
        <f t="shared" si="29"/>
        <v>2020</v>
      </c>
      <c r="D300" s="96" t="str">
        <f t="shared" si="30"/>
        <v>2020/10</v>
      </c>
      <c r="E300" s="96" t="str">
        <f t="shared" ca="1" si="31"/>
        <v>M6</v>
      </c>
      <c r="F300" s="96" t="str">
        <f t="shared" si="32"/>
        <v>Sun</v>
      </c>
      <c r="G300" s="96">
        <f t="shared" si="33"/>
        <v>0</v>
      </c>
    </row>
    <row r="301" spans="1:7" x14ac:dyDescent="0.3">
      <c r="A301" s="63">
        <f t="shared" si="34"/>
        <v>44130</v>
      </c>
      <c r="B301" s="96">
        <f t="shared" si="28"/>
        <v>10</v>
      </c>
      <c r="C301" s="96">
        <f t="shared" si="29"/>
        <v>2020</v>
      </c>
      <c r="D301" s="96" t="str">
        <f t="shared" si="30"/>
        <v>2020/10</v>
      </c>
      <c r="E301" s="96" t="str">
        <f t="shared" ca="1" si="31"/>
        <v>M6</v>
      </c>
      <c r="F301" s="96" t="str">
        <f t="shared" si="32"/>
        <v>Mon</v>
      </c>
      <c r="G301" s="96">
        <f t="shared" si="33"/>
        <v>1</v>
      </c>
    </row>
    <row r="302" spans="1:7" x14ac:dyDescent="0.3">
      <c r="A302" s="63">
        <f t="shared" si="34"/>
        <v>44131</v>
      </c>
      <c r="B302" s="96">
        <f t="shared" si="28"/>
        <v>10</v>
      </c>
      <c r="C302" s="96">
        <f t="shared" si="29"/>
        <v>2020</v>
      </c>
      <c r="D302" s="96" t="str">
        <f t="shared" si="30"/>
        <v>2020/10</v>
      </c>
      <c r="E302" s="96" t="str">
        <f t="shared" ca="1" si="31"/>
        <v>M6</v>
      </c>
      <c r="F302" s="96" t="str">
        <f t="shared" si="32"/>
        <v>Tue</v>
      </c>
      <c r="G302" s="96">
        <f t="shared" si="33"/>
        <v>1</v>
      </c>
    </row>
    <row r="303" spans="1:7" x14ac:dyDescent="0.3">
      <c r="A303" s="63">
        <f t="shared" si="34"/>
        <v>44132</v>
      </c>
      <c r="B303" s="96">
        <f t="shared" si="28"/>
        <v>10</v>
      </c>
      <c r="C303" s="96">
        <f t="shared" si="29"/>
        <v>2020</v>
      </c>
      <c r="D303" s="96" t="str">
        <f t="shared" si="30"/>
        <v>2020/10</v>
      </c>
      <c r="E303" s="96" t="str">
        <f t="shared" ca="1" si="31"/>
        <v>M6</v>
      </c>
      <c r="F303" s="96" t="str">
        <f t="shared" si="32"/>
        <v>Wed</v>
      </c>
      <c r="G303" s="96">
        <f t="shared" si="33"/>
        <v>1</v>
      </c>
    </row>
    <row r="304" spans="1:7" x14ac:dyDescent="0.3">
      <c r="A304" s="63">
        <f t="shared" si="34"/>
        <v>44133</v>
      </c>
      <c r="B304" s="96">
        <f t="shared" si="28"/>
        <v>10</v>
      </c>
      <c r="C304" s="96">
        <f t="shared" si="29"/>
        <v>2020</v>
      </c>
      <c r="D304" s="96" t="str">
        <f t="shared" si="30"/>
        <v>2020/10</v>
      </c>
      <c r="E304" s="96" t="str">
        <f t="shared" ca="1" si="31"/>
        <v>M6</v>
      </c>
      <c r="F304" s="96" t="str">
        <f t="shared" si="32"/>
        <v>Thu</v>
      </c>
      <c r="G304" s="96">
        <f t="shared" si="33"/>
        <v>1</v>
      </c>
    </row>
    <row r="305" spans="1:7" x14ac:dyDescent="0.3">
      <c r="A305" s="63">
        <f t="shared" si="34"/>
        <v>44134</v>
      </c>
      <c r="B305" s="96">
        <f t="shared" si="28"/>
        <v>10</v>
      </c>
      <c r="C305" s="96">
        <f t="shared" si="29"/>
        <v>2020</v>
      </c>
      <c r="D305" s="96" t="str">
        <f t="shared" si="30"/>
        <v>2020/10</v>
      </c>
      <c r="E305" s="96" t="str">
        <f t="shared" ca="1" si="31"/>
        <v>M6</v>
      </c>
      <c r="F305" s="96" t="str">
        <f t="shared" si="32"/>
        <v>Fri</v>
      </c>
      <c r="G305" s="96">
        <f t="shared" si="33"/>
        <v>1</v>
      </c>
    </row>
    <row r="306" spans="1:7" x14ac:dyDescent="0.3">
      <c r="A306" s="63">
        <f t="shared" si="34"/>
        <v>44135</v>
      </c>
      <c r="B306" s="96">
        <f t="shared" si="28"/>
        <v>10</v>
      </c>
      <c r="C306" s="96">
        <f t="shared" si="29"/>
        <v>2020</v>
      </c>
      <c r="D306" s="96" t="str">
        <f t="shared" si="30"/>
        <v>2020/10</v>
      </c>
      <c r="E306" s="96" t="str">
        <f t="shared" ca="1" si="31"/>
        <v>M6</v>
      </c>
      <c r="F306" s="96" t="str">
        <f t="shared" si="32"/>
        <v>Sat</v>
      </c>
      <c r="G306" s="96">
        <f t="shared" si="33"/>
        <v>0</v>
      </c>
    </row>
    <row r="307" spans="1:7" x14ac:dyDescent="0.3">
      <c r="A307" s="63">
        <f t="shared" si="34"/>
        <v>44136</v>
      </c>
      <c r="B307" s="96">
        <f t="shared" si="28"/>
        <v>11</v>
      </c>
      <c r="C307" s="96">
        <f t="shared" si="29"/>
        <v>2020</v>
      </c>
      <c r="D307" s="96" t="str">
        <f t="shared" si="30"/>
        <v>2020/11</v>
      </c>
      <c r="E307" s="96" t="str">
        <f t="shared" ca="1" si="31"/>
        <v>M7</v>
      </c>
      <c r="F307" s="96" t="str">
        <f t="shared" si="32"/>
        <v>Sun</v>
      </c>
      <c r="G307" s="96">
        <f t="shared" si="33"/>
        <v>0</v>
      </c>
    </row>
    <row r="308" spans="1:7" x14ac:dyDescent="0.3">
      <c r="A308" s="63">
        <f t="shared" si="34"/>
        <v>44137</v>
      </c>
      <c r="B308" s="96">
        <f t="shared" si="28"/>
        <v>11</v>
      </c>
      <c r="C308" s="96">
        <f t="shared" si="29"/>
        <v>2020</v>
      </c>
      <c r="D308" s="96" t="str">
        <f t="shared" si="30"/>
        <v>2020/11</v>
      </c>
      <c r="E308" s="96" t="str">
        <f t="shared" ca="1" si="31"/>
        <v>M7</v>
      </c>
      <c r="F308" s="96" t="str">
        <f t="shared" si="32"/>
        <v>Mon</v>
      </c>
      <c r="G308" s="96">
        <f t="shared" si="33"/>
        <v>1</v>
      </c>
    </row>
    <row r="309" spans="1:7" x14ac:dyDescent="0.3">
      <c r="A309" s="63">
        <f t="shared" si="34"/>
        <v>44138</v>
      </c>
      <c r="B309" s="96">
        <f t="shared" si="28"/>
        <v>11</v>
      </c>
      <c r="C309" s="96">
        <f t="shared" si="29"/>
        <v>2020</v>
      </c>
      <c r="D309" s="96" t="str">
        <f t="shared" si="30"/>
        <v>2020/11</v>
      </c>
      <c r="E309" s="96" t="str">
        <f t="shared" ca="1" si="31"/>
        <v>M7</v>
      </c>
      <c r="F309" s="96" t="str">
        <f t="shared" si="32"/>
        <v>Tue</v>
      </c>
      <c r="G309" s="96">
        <f t="shared" si="33"/>
        <v>1</v>
      </c>
    </row>
    <row r="310" spans="1:7" x14ac:dyDescent="0.3">
      <c r="A310" s="63">
        <f t="shared" si="34"/>
        <v>44139</v>
      </c>
      <c r="B310" s="96">
        <f t="shared" si="28"/>
        <v>11</v>
      </c>
      <c r="C310" s="96">
        <f t="shared" si="29"/>
        <v>2020</v>
      </c>
      <c r="D310" s="96" t="str">
        <f t="shared" si="30"/>
        <v>2020/11</v>
      </c>
      <c r="E310" s="96" t="str">
        <f t="shared" ca="1" si="31"/>
        <v>M7</v>
      </c>
      <c r="F310" s="96" t="str">
        <f t="shared" si="32"/>
        <v>Wed</v>
      </c>
      <c r="G310" s="96">
        <f t="shared" si="33"/>
        <v>1</v>
      </c>
    </row>
    <row r="311" spans="1:7" x14ac:dyDescent="0.3">
      <c r="A311" s="63">
        <f t="shared" si="34"/>
        <v>44140</v>
      </c>
      <c r="B311" s="96">
        <f t="shared" si="28"/>
        <v>11</v>
      </c>
      <c r="C311" s="96">
        <f t="shared" si="29"/>
        <v>2020</v>
      </c>
      <c r="D311" s="96" t="str">
        <f t="shared" si="30"/>
        <v>2020/11</v>
      </c>
      <c r="E311" s="96" t="str">
        <f t="shared" ca="1" si="31"/>
        <v>M7</v>
      </c>
      <c r="F311" s="96" t="str">
        <f t="shared" si="32"/>
        <v>Thu</v>
      </c>
      <c r="G311" s="96">
        <f t="shared" si="33"/>
        <v>1</v>
      </c>
    </row>
    <row r="312" spans="1:7" x14ac:dyDescent="0.3">
      <c r="A312" s="63">
        <f t="shared" si="34"/>
        <v>44141</v>
      </c>
      <c r="B312" s="96">
        <f t="shared" si="28"/>
        <v>11</v>
      </c>
      <c r="C312" s="96">
        <f t="shared" si="29"/>
        <v>2020</v>
      </c>
      <c r="D312" s="96" t="str">
        <f t="shared" si="30"/>
        <v>2020/11</v>
      </c>
      <c r="E312" s="96" t="str">
        <f t="shared" ca="1" si="31"/>
        <v>M7</v>
      </c>
      <c r="F312" s="96" t="str">
        <f t="shared" si="32"/>
        <v>Fri</v>
      </c>
      <c r="G312" s="96">
        <f t="shared" si="33"/>
        <v>1</v>
      </c>
    </row>
    <row r="313" spans="1:7" x14ac:dyDescent="0.3">
      <c r="A313" s="63">
        <f t="shared" si="34"/>
        <v>44142</v>
      </c>
      <c r="B313" s="96">
        <f t="shared" si="28"/>
        <v>11</v>
      </c>
      <c r="C313" s="96">
        <f t="shared" si="29"/>
        <v>2020</v>
      </c>
      <c r="D313" s="96" t="str">
        <f t="shared" si="30"/>
        <v>2020/11</v>
      </c>
      <c r="E313" s="96" t="str">
        <f t="shared" ca="1" si="31"/>
        <v>M7</v>
      </c>
      <c r="F313" s="96" t="str">
        <f t="shared" si="32"/>
        <v>Sat</v>
      </c>
      <c r="G313" s="96">
        <f t="shared" si="33"/>
        <v>0</v>
      </c>
    </row>
    <row r="314" spans="1:7" x14ac:dyDescent="0.3">
      <c r="A314" s="63">
        <f t="shared" si="34"/>
        <v>44143</v>
      </c>
      <c r="B314" s="96">
        <f t="shared" si="28"/>
        <v>11</v>
      </c>
      <c r="C314" s="96">
        <f t="shared" si="29"/>
        <v>2020</v>
      </c>
      <c r="D314" s="96" t="str">
        <f t="shared" si="30"/>
        <v>2020/11</v>
      </c>
      <c r="E314" s="96" t="str">
        <f t="shared" ca="1" si="31"/>
        <v>M7</v>
      </c>
      <c r="F314" s="96" t="str">
        <f t="shared" si="32"/>
        <v>Sun</v>
      </c>
      <c r="G314" s="96">
        <f t="shared" si="33"/>
        <v>0</v>
      </c>
    </row>
    <row r="315" spans="1:7" x14ac:dyDescent="0.3">
      <c r="A315" s="63">
        <f t="shared" si="34"/>
        <v>44144</v>
      </c>
      <c r="B315" s="96">
        <f t="shared" si="28"/>
        <v>11</v>
      </c>
      <c r="C315" s="96">
        <f t="shared" si="29"/>
        <v>2020</v>
      </c>
      <c r="D315" s="96" t="str">
        <f t="shared" si="30"/>
        <v>2020/11</v>
      </c>
      <c r="E315" s="96" t="str">
        <f t="shared" ca="1" si="31"/>
        <v>M7</v>
      </c>
      <c r="F315" s="96" t="str">
        <f t="shared" si="32"/>
        <v>Mon</v>
      </c>
      <c r="G315" s="96">
        <f t="shared" si="33"/>
        <v>1</v>
      </c>
    </row>
    <row r="316" spans="1:7" x14ac:dyDescent="0.3">
      <c r="A316" s="63">
        <f t="shared" si="34"/>
        <v>44145</v>
      </c>
      <c r="B316" s="96">
        <f t="shared" si="28"/>
        <v>11</v>
      </c>
      <c r="C316" s="96">
        <f t="shared" si="29"/>
        <v>2020</v>
      </c>
      <c r="D316" s="96" t="str">
        <f t="shared" si="30"/>
        <v>2020/11</v>
      </c>
      <c r="E316" s="96" t="str">
        <f t="shared" ca="1" si="31"/>
        <v>M7</v>
      </c>
      <c r="F316" s="96" t="str">
        <f t="shared" si="32"/>
        <v>Tue</v>
      </c>
      <c r="G316" s="96">
        <f t="shared" si="33"/>
        <v>1</v>
      </c>
    </row>
    <row r="317" spans="1:7" x14ac:dyDescent="0.3">
      <c r="A317" s="63">
        <f t="shared" si="34"/>
        <v>44146</v>
      </c>
      <c r="B317" s="96">
        <f t="shared" si="28"/>
        <v>11</v>
      </c>
      <c r="C317" s="96">
        <f t="shared" si="29"/>
        <v>2020</v>
      </c>
      <c r="D317" s="96" t="str">
        <f t="shared" si="30"/>
        <v>2020/11</v>
      </c>
      <c r="E317" s="96" t="str">
        <f t="shared" ca="1" si="31"/>
        <v>M7</v>
      </c>
      <c r="F317" s="96" t="str">
        <f t="shared" si="32"/>
        <v>Wed</v>
      </c>
      <c r="G317" s="96">
        <f t="shared" si="33"/>
        <v>1</v>
      </c>
    </row>
    <row r="318" spans="1:7" x14ac:dyDescent="0.3">
      <c r="A318" s="63">
        <f t="shared" si="34"/>
        <v>44147</v>
      </c>
      <c r="B318" s="96">
        <f t="shared" si="28"/>
        <v>11</v>
      </c>
      <c r="C318" s="96">
        <f t="shared" si="29"/>
        <v>2020</v>
      </c>
      <c r="D318" s="96" t="str">
        <f t="shared" si="30"/>
        <v>2020/11</v>
      </c>
      <c r="E318" s="96" t="str">
        <f t="shared" ca="1" si="31"/>
        <v>M7</v>
      </c>
      <c r="F318" s="96" t="str">
        <f t="shared" si="32"/>
        <v>Thu</v>
      </c>
      <c r="G318" s="96">
        <f t="shared" si="33"/>
        <v>1</v>
      </c>
    </row>
    <row r="319" spans="1:7" x14ac:dyDescent="0.3">
      <c r="A319" s="63">
        <f t="shared" si="34"/>
        <v>44148</v>
      </c>
      <c r="B319" s="96">
        <f t="shared" si="28"/>
        <v>11</v>
      </c>
      <c r="C319" s="96">
        <f t="shared" si="29"/>
        <v>2020</v>
      </c>
      <c r="D319" s="96" t="str">
        <f t="shared" si="30"/>
        <v>2020/11</v>
      </c>
      <c r="E319" s="96" t="str">
        <f t="shared" ca="1" si="31"/>
        <v>M7</v>
      </c>
      <c r="F319" s="96" t="str">
        <f t="shared" si="32"/>
        <v>Fri</v>
      </c>
      <c r="G319" s="96">
        <f t="shared" si="33"/>
        <v>1</v>
      </c>
    </row>
    <row r="320" spans="1:7" x14ac:dyDescent="0.3">
      <c r="A320" s="63">
        <f t="shared" si="34"/>
        <v>44149</v>
      </c>
      <c r="B320" s="96">
        <f t="shared" si="28"/>
        <v>11</v>
      </c>
      <c r="C320" s="96">
        <f t="shared" si="29"/>
        <v>2020</v>
      </c>
      <c r="D320" s="96" t="str">
        <f t="shared" si="30"/>
        <v>2020/11</v>
      </c>
      <c r="E320" s="96" t="str">
        <f t="shared" ca="1" si="31"/>
        <v>M7</v>
      </c>
      <c r="F320" s="96" t="str">
        <f t="shared" si="32"/>
        <v>Sat</v>
      </c>
      <c r="G320" s="96">
        <f t="shared" si="33"/>
        <v>0</v>
      </c>
    </row>
    <row r="321" spans="1:7" x14ac:dyDescent="0.3">
      <c r="A321" s="63">
        <f t="shared" si="34"/>
        <v>44150</v>
      </c>
      <c r="B321" s="96">
        <f t="shared" si="28"/>
        <v>11</v>
      </c>
      <c r="C321" s="96">
        <f t="shared" si="29"/>
        <v>2020</v>
      </c>
      <c r="D321" s="96" t="str">
        <f t="shared" si="30"/>
        <v>2020/11</v>
      </c>
      <c r="E321" s="96" t="str">
        <f t="shared" ca="1" si="31"/>
        <v>M7</v>
      </c>
      <c r="F321" s="96" t="str">
        <f t="shared" si="32"/>
        <v>Sun</v>
      </c>
      <c r="G321" s="96">
        <f t="shared" si="33"/>
        <v>0</v>
      </c>
    </row>
    <row r="322" spans="1:7" x14ac:dyDescent="0.3">
      <c r="A322" s="63">
        <f t="shared" si="34"/>
        <v>44151</v>
      </c>
      <c r="B322" s="96">
        <f t="shared" si="28"/>
        <v>11</v>
      </c>
      <c r="C322" s="96">
        <f t="shared" si="29"/>
        <v>2020</v>
      </c>
      <c r="D322" s="96" t="str">
        <f t="shared" si="30"/>
        <v>2020/11</v>
      </c>
      <c r="E322" s="96" t="str">
        <f t="shared" ca="1" si="31"/>
        <v>M7</v>
      </c>
      <c r="F322" s="96" t="str">
        <f t="shared" si="32"/>
        <v>Mon</v>
      </c>
      <c r="G322" s="96">
        <f t="shared" si="33"/>
        <v>1</v>
      </c>
    </row>
    <row r="323" spans="1:7" x14ac:dyDescent="0.3">
      <c r="A323" s="63">
        <f t="shared" si="34"/>
        <v>44152</v>
      </c>
      <c r="B323" s="96">
        <f t="shared" ref="B323:B386" si="35">MONTH(A323)</f>
        <v>11</v>
      </c>
      <c r="C323" s="96">
        <f t="shared" ref="C323:C386" si="36">YEAR(A323)</f>
        <v>2020</v>
      </c>
      <c r="D323" s="96" t="str">
        <f t="shared" ref="D323:D386" si="37">CONCATENATE(C323,"/",TEXT(B323,"00"))</f>
        <v>2020/11</v>
      </c>
      <c r="E323" s="96" t="str">
        <f t="shared" ref="E323:E386" ca="1" si="38">CONCATENATE("M",B323-MONTH(TODAY())+12*(YEAR(TODAY())-C323))</f>
        <v>M7</v>
      </c>
      <c r="F323" s="96" t="str">
        <f t="shared" ref="F323:F386" si="39">TEXT(A323,"ddd")</f>
        <v>Tue</v>
      </c>
      <c r="G323" s="96">
        <f t="shared" ref="G323:G386" si="40">IF(LEFT(F323,1)="s",0,1)</f>
        <v>1</v>
      </c>
    </row>
    <row r="324" spans="1:7" x14ac:dyDescent="0.3">
      <c r="A324" s="63">
        <f t="shared" ref="A324:A387" si="41">A323+1</f>
        <v>44153</v>
      </c>
      <c r="B324" s="96">
        <f t="shared" si="35"/>
        <v>11</v>
      </c>
      <c r="C324" s="96">
        <f t="shared" si="36"/>
        <v>2020</v>
      </c>
      <c r="D324" s="96" t="str">
        <f t="shared" si="37"/>
        <v>2020/11</v>
      </c>
      <c r="E324" s="96" t="str">
        <f t="shared" ca="1" si="38"/>
        <v>M7</v>
      </c>
      <c r="F324" s="96" t="str">
        <f t="shared" si="39"/>
        <v>Wed</v>
      </c>
      <c r="G324" s="96">
        <f t="shared" si="40"/>
        <v>1</v>
      </c>
    </row>
    <row r="325" spans="1:7" x14ac:dyDescent="0.3">
      <c r="A325" s="63">
        <f t="shared" si="41"/>
        <v>44154</v>
      </c>
      <c r="B325" s="96">
        <f t="shared" si="35"/>
        <v>11</v>
      </c>
      <c r="C325" s="96">
        <f t="shared" si="36"/>
        <v>2020</v>
      </c>
      <c r="D325" s="96" t="str">
        <f t="shared" si="37"/>
        <v>2020/11</v>
      </c>
      <c r="E325" s="96" t="str">
        <f t="shared" ca="1" si="38"/>
        <v>M7</v>
      </c>
      <c r="F325" s="96" t="str">
        <f t="shared" si="39"/>
        <v>Thu</v>
      </c>
      <c r="G325" s="96">
        <f t="shared" si="40"/>
        <v>1</v>
      </c>
    </row>
    <row r="326" spans="1:7" x14ac:dyDescent="0.3">
      <c r="A326" s="63">
        <f t="shared" si="41"/>
        <v>44155</v>
      </c>
      <c r="B326" s="96">
        <f t="shared" si="35"/>
        <v>11</v>
      </c>
      <c r="C326" s="96">
        <f t="shared" si="36"/>
        <v>2020</v>
      </c>
      <c r="D326" s="96" t="str">
        <f t="shared" si="37"/>
        <v>2020/11</v>
      </c>
      <c r="E326" s="96" t="str">
        <f t="shared" ca="1" si="38"/>
        <v>M7</v>
      </c>
      <c r="F326" s="96" t="str">
        <f t="shared" si="39"/>
        <v>Fri</v>
      </c>
      <c r="G326" s="96">
        <f t="shared" si="40"/>
        <v>1</v>
      </c>
    </row>
    <row r="327" spans="1:7" x14ac:dyDescent="0.3">
      <c r="A327" s="63">
        <f t="shared" si="41"/>
        <v>44156</v>
      </c>
      <c r="B327" s="96">
        <f t="shared" si="35"/>
        <v>11</v>
      </c>
      <c r="C327" s="96">
        <f t="shared" si="36"/>
        <v>2020</v>
      </c>
      <c r="D327" s="96" t="str">
        <f t="shared" si="37"/>
        <v>2020/11</v>
      </c>
      <c r="E327" s="96" t="str">
        <f t="shared" ca="1" si="38"/>
        <v>M7</v>
      </c>
      <c r="F327" s="96" t="str">
        <f t="shared" si="39"/>
        <v>Sat</v>
      </c>
      <c r="G327" s="96">
        <f t="shared" si="40"/>
        <v>0</v>
      </c>
    </row>
    <row r="328" spans="1:7" x14ac:dyDescent="0.3">
      <c r="A328" s="63">
        <f t="shared" si="41"/>
        <v>44157</v>
      </c>
      <c r="B328" s="96">
        <f t="shared" si="35"/>
        <v>11</v>
      </c>
      <c r="C328" s="96">
        <f t="shared" si="36"/>
        <v>2020</v>
      </c>
      <c r="D328" s="96" t="str">
        <f t="shared" si="37"/>
        <v>2020/11</v>
      </c>
      <c r="E328" s="96" t="str">
        <f t="shared" ca="1" si="38"/>
        <v>M7</v>
      </c>
      <c r="F328" s="96" t="str">
        <f t="shared" si="39"/>
        <v>Sun</v>
      </c>
      <c r="G328" s="96">
        <f t="shared" si="40"/>
        <v>0</v>
      </c>
    </row>
    <row r="329" spans="1:7" x14ac:dyDescent="0.3">
      <c r="A329" s="63">
        <f t="shared" si="41"/>
        <v>44158</v>
      </c>
      <c r="B329" s="96">
        <f t="shared" si="35"/>
        <v>11</v>
      </c>
      <c r="C329" s="96">
        <f t="shared" si="36"/>
        <v>2020</v>
      </c>
      <c r="D329" s="96" t="str">
        <f t="shared" si="37"/>
        <v>2020/11</v>
      </c>
      <c r="E329" s="96" t="str">
        <f t="shared" ca="1" si="38"/>
        <v>M7</v>
      </c>
      <c r="F329" s="96" t="str">
        <f t="shared" si="39"/>
        <v>Mon</v>
      </c>
      <c r="G329" s="96">
        <f t="shared" si="40"/>
        <v>1</v>
      </c>
    </row>
    <row r="330" spans="1:7" x14ac:dyDescent="0.3">
      <c r="A330" s="63">
        <f t="shared" si="41"/>
        <v>44159</v>
      </c>
      <c r="B330" s="96">
        <f t="shared" si="35"/>
        <v>11</v>
      </c>
      <c r="C330" s="96">
        <f t="shared" si="36"/>
        <v>2020</v>
      </c>
      <c r="D330" s="96" t="str">
        <f t="shared" si="37"/>
        <v>2020/11</v>
      </c>
      <c r="E330" s="96" t="str">
        <f t="shared" ca="1" si="38"/>
        <v>M7</v>
      </c>
      <c r="F330" s="96" t="str">
        <f t="shared" si="39"/>
        <v>Tue</v>
      </c>
      <c r="G330" s="96">
        <f t="shared" si="40"/>
        <v>1</v>
      </c>
    </row>
    <row r="331" spans="1:7" x14ac:dyDescent="0.3">
      <c r="A331" s="63">
        <f t="shared" si="41"/>
        <v>44160</v>
      </c>
      <c r="B331" s="96">
        <f t="shared" si="35"/>
        <v>11</v>
      </c>
      <c r="C331" s="96">
        <f t="shared" si="36"/>
        <v>2020</v>
      </c>
      <c r="D331" s="96" t="str">
        <f t="shared" si="37"/>
        <v>2020/11</v>
      </c>
      <c r="E331" s="96" t="str">
        <f t="shared" ca="1" si="38"/>
        <v>M7</v>
      </c>
      <c r="F331" s="96" t="str">
        <f t="shared" si="39"/>
        <v>Wed</v>
      </c>
      <c r="G331" s="96">
        <f t="shared" si="40"/>
        <v>1</v>
      </c>
    </row>
    <row r="332" spans="1:7" x14ac:dyDescent="0.3">
      <c r="A332" s="63">
        <f t="shared" si="41"/>
        <v>44161</v>
      </c>
      <c r="B332" s="96">
        <f t="shared" si="35"/>
        <v>11</v>
      </c>
      <c r="C332" s="96">
        <f t="shared" si="36"/>
        <v>2020</v>
      </c>
      <c r="D332" s="96" t="str">
        <f t="shared" si="37"/>
        <v>2020/11</v>
      </c>
      <c r="E332" s="96" t="str">
        <f t="shared" ca="1" si="38"/>
        <v>M7</v>
      </c>
      <c r="F332" s="96" t="str">
        <f t="shared" si="39"/>
        <v>Thu</v>
      </c>
      <c r="G332" s="96">
        <f t="shared" si="40"/>
        <v>1</v>
      </c>
    </row>
    <row r="333" spans="1:7" x14ac:dyDescent="0.3">
      <c r="A333" s="63">
        <f t="shared" si="41"/>
        <v>44162</v>
      </c>
      <c r="B333" s="96">
        <f t="shared" si="35"/>
        <v>11</v>
      </c>
      <c r="C333" s="96">
        <f t="shared" si="36"/>
        <v>2020</v>
      </c>
      <c r="D333" s="96" t="str">
        <f t="shared" si="37"/>
        <v>2020/11</v>
      </c>
      <c r="E333" s="96" t="str">
        <f t="shared" ca="1" si="38"/>
        <v>M7</v>
      </c>
      <c r="F333" s="96" t="str">
        <f t="shared" si="39"/>
        <v>Fri</v>
      </c>
      <c r="G333" s="96">
        <f t="shared" si="40"/>
        <v>1</v>
      </c>
    </row>
    <row r="334" spans="1:7" x14ac:dyDescent="0.3">
      <c r="A334" s="63">
        <f t="shared" si="41"/>
        <v>44163</v>
      </c>
      <c r="B334" s="96">
        <f t="shared" si="35"/>
        <v>11</v>
      </c>
      <c r="C334" s="96">
        <f t="shared" si="36"/>
        <v>2020</v>
      </c>
      <c r="D334" s="96" t="str">
        <f t="shared" si="37"/>
        <v>2020/11</v>
      </c>
      <c r="E334" s="96" t="str">
        <f t="shared" ca="1" si="38"/>
        <v>M7</v>
      </c>
      <c r="F334" s="96" t="str">
        <f t="shared" si="39"/>
        <v>Sat</v>
      </c>
      <c r="G334" s="96">
        <f t="shared" si="40"/>
        <v>0</v>
      </c>
    </row>
    <row r="335" spans="1:7" x14ac:dyDescent="0.3">
      <c r="A335" s="63">
        <f t="shared" si="41"/>
        <v>44164</v>
      </c>
      <c r="B335" s="96">
        <f t="shared" si="35"/>
        <v>11</v>
      </c>
      <c r="C335" s="96">
        <f t="shared" si="36"/>
        <v>2020</v>
      </c>
      <c r="D335" s="96" t="str">
        <f t="shared" si="37"/>
        <v>2020/11</v>
      </c>
      <c r="E335" s="96" t="str">
        <f t="shared" ca="1" si="38"/>
        <v>M7</v>
      </c>
      <c r="F335" s="96" t="str">
        <f t="shared" si="39"/>
        <v>Sun</v>
      </c>
      <c r="G335" s="96">
        <f t="shared" si="40"/>
        <v>0</v>
      </c>
    </row>
    <row r="336" spans="1:7" x14ac:dyDescent="0.3">
      <c r="A336" s="63">
        <f t="shared" si="41"/>
        <v>44165</v>
      </c>
      <c r="B336" s="96">
        <f t="shared" si="35"/>
        <v>11</v>
      </c>
      <c r="C336" s="96">
        <f t="shared" si="36"/>
        <v>2020</v>
      </c>
      <c r="D336" s="96" t="str">
        <f t="shared" si="37"/>
        <v>2020/11</v>
      </c>
      <c r="E336" s="96" t="str">
        <f t="shared" ca="1" si="38"/>
        <v>M7</v>
      </c>
      <c r="F336" s="96" t="str">
        <f t="shared" si="39"/>
        <v>Mon</v>
      </c>
      <c r="G336" s="96">
        <f t="shared" si="40"/>
        <v>1</v>
      </c>
    </row>
    <row r="337" spans="1:7" x14ac:dyDescent="0.3">
      <c r="A337" s="63">
        <f t="shared" si="41"/>
        <v>44166</v>
      </c>
      <c r="B337" s="96">
        <f t="shared" si="35"/>
        <v>12</v>
      </c>
      <c r="C337" s="96">
        <f t="shared" si="36"/>
        <v>2020</v>
      </c>
      <c r="D337" s="96" t="str">
        <f t="shared" si="37"/>
        <v>2020/12</v>
      </c>
      <c r="E337" s="96" t="str">
        <f t="shared" ca="1" si="38"/>
        <v>M8</v>
      </c>
      <c r="F337" s="96" t="str">
        <f t="shared" si="39"/>
        <v>Tue</v>
      </c>
      <c r="G337" s="96">
        <f t="shared" si="40"/>
        <v>1</v>
      </c>
    </row>
    <row r="338" spans="1:7" x14ac:dyDescent="0.3">
      <c r="A338" s="63">
        <f t="shared" si="41"/>
        <v>44167</v>
      </c>
      <c r="B338" s="96">
        <f t="shared" si="35"/>
        <v>12</v>
      </c>
      <c r="C338" s="96">
        <f t="shared" si="36"/>
        <v>2020</v>
      </c>
      <c r="D338" s="96" t="str">
        <f t="shared" si="37"/>
        <v>2020/12</v>
      </c>
      <c r="E338" s="96" t="str">
        <f t="shared" ca="1" si="38"/>
        <v>M8</v>
      </c>
      <c r="F338" s="96" t="str">
        <f t="shared" si="39"/>
        <v>Wed</v>
      </c>
      <c r="G338" s="96">
        <f t="shared" si="40"/>
        <v>1</v>
      </c>
    </row>
    <row r="339" spans="1:7" x14ac:dyDescent="0.3">
      <c r="A339" s="63">
        <f t="shared" si="41"/>
        <v>44168</v>
      </c>
      <c r="B339" s="96">
        <f t="shared" si="35"/>
        <v>12</v>
      </c>
      <c r="C339" s="96">
        <f t="shared" si="36"/>
        <v>2020</v>
      </c>
      <c r="D339" s="96" t="str">
        <f t="shared" si="37"/>
        <v>2020/12</v>
      </c>
      <c r="E339" s="96" t="str">
        <f t="shared" ca="1" si="38"/>
        <v>M8</v>
      </c>
      <c r="F339" s="96" t="str">
        <f t="shared" si="39"/>
        <v>Thu</v>
      </c>
      <c r="G339" s="96">
        <f t="shared" si="40"/>
        <v>1</v>
      </c>
    </row>
    <row r="340" spans="1:7" x14ac:dyDescent="0.3">
      <c r="A340" s="63">
        <f t="shared" si="41"/>
        <v>44169</v>
      </c>
      <c r="B340" s="96">
        <f t="shared" si="35"/>
        <v>12</v>
      </c>
      <c r="C340" s="96">
        <f t="shared" si="36"/>
        <v>2020</v>
      </c>
      <c r="D340" s="96" t="str">
        <f t="shared" si="37"/>
        <v>2020/12</v>
      </c>
      <c r="E340" s="96" t="str">
        <f t="shared" ca="1" si="38"/>
        <v>M8</v>
      </c>
      <c r="F340" s="96" t="str">
        <f t="shared" si="39"/>
        <v>Fri</v>
      </c>
      <c r="G340" s="96">
        <f t="shared" si="40"/>
        <v>1</v>
      </c>
    </row>
    <row r="341" spans="1:7" x14ac:dyDescent="0.3">
      <c r="A341" s="63">
        <f t="shared" si="41"/>
        <v>44170</v>
      </c>
      <c r="B341" s="96">
        <f t="shared" si="35"/>
        <v>12</v>
      </c>
      <c r="C341" s="96">
        <f t="shared" si="36"/>
        <v>2020</v>
      </c>
      <c r="D341" s="96" t="str">
        <f t="shared" si="37"/>
        <v>2020/12</v>
      </c>
      <c r="E341" s="96" t="str">
        <f t="shared" ca="1" si="38"/>
        <v>M8</v>
      </c>
      <c r="F341" s="96" t="str">
        <f t="shared" si="39"/>
        <v>Sat</v>
      </c>
      <c r="G341" s="96">
        <f t="shared" si="40"/>
        <v>0</v>
      </c>
    </row>
    <row r="342" spans="1:7" x14ac:dyDescent="0.3">
      <c r="A342" s="63">
        <f t="shared" si="41"/>
        <v>44171</v>
      </c>
      <c r="B342" s="96">
        <f t="shared" si="35"/>
        <v>12</v>
      </c>
      <c r="C342" s="96">
        <f t="shared" si="36"/>
        <v>2020</v>
      </c>
      <c r="D342" s="96" t="str">
        <f t="shared" si="37"/>
        <v>2020/12</v>
      </c>
      <c r="E342" s="96" t="str">
        <f t="shared" ca="1" si="38"/>
        <v>M8</v>
      </c>
      <c r="F342" s="96" t="str">
        <f t="shared" si="39"/>
        <v>Sun</v>
      </c>
      <c r="G342" s="96">
        <f t="shared" si="40"/>
        <v>0</v>
      </c>
    </row>
    <row r="343" spans="1:7" x14ac:dyDescent="0.3">
      <c r="A343" s="63">
        <f t="shared" si="41"/>
        <v>44172</v>
      </c>
      <c r="B343" s="96">
        <f t="shared" si="35"/>
        <v>12</v>
      </c>
      <c r="C343" s="96">
        <f t="shared" si="36"/>
        <v>2020</v>
      </c>
      <c r="D343" s="96" t="str">
        <f t="shared" si="37"/>
        <v>2020/12</v>
      </c>
      <c r="E343" s="96" t="str">
        <f t="shared" ca="1" si="38"/>
        <v>M8</v>
      </c>
      <c r="F343" s="96" t="str">
        <f t="shared" si="39"/>
        <v>Mon</v>
      </c>
      <c r="G343" s="96">
        <f t="shared" si="40"/>
        <v>1</v>
      </c>
    </row>
    <row r="344" spans="1:7" x14ac:dyDescent="0.3">
      <c r="A344" s="63">
        <f t="shared" si="41"/>
        <v>44173</v>
      </c>
      <c r="B344" s="96">
        <f t="shared" si="35"/>
        <v>12</v>
      </c>
      <c r="C344" s="96">
        <f t="shared" si="36"/>
        <v>2020</v>
      </c>
      <c r="D344" s="96" t="str">
        <f t="shared" si="37"/>
        <v>2020/12</v>
      </c>
      <c r="E344" s="96" t="str">
        <f t="shared" ca="1" si="38"/>
        <v>M8</v>
      </c>
      <c r="F344" s="96" t="str">
        <f t="shared" si="39"/>
        <v>Tue</v>
      </c>
      <c r="G344" s="96">
        <f t="shared" si="40"/>
        <v>1</v>
      </c>
    </row>
    <row r="345" spans="1:7" x14ac:dyDescent="0.3">
      <c r="A345" s="63">
        <f t="shared" si="41"/>
        <v>44174</v>
      </c>
      <c r="B345" s="96">
        <f t="shared" si="35"/>
        <v>12</v>
      </c>
      <c r="C345" s="96">
        <f t="shared" si="36"/>
        <v>2020</v>
      </c>
      <c r="D345" s="96" t="str">
        <f t="shared" si="37"/>
        <v>2020/12</v>
      </c>
      <c r="E345" s="96" t="str">
        <f t="shared" ca="1" si="38"/>
        <v>M8</v>
      </c>
      <c r="F345" s="96" t="str">
        <f t="shared" si="39"/>
        <v>Wed</v>
      </c>
      <c r="G345" s="96">
        <f t="shared" si="40"/>
        <v>1</v>
      </c>
    </row>
    <row r="346" spans="1:7" x14ac:dyDescent="0.3">
      <c r="A346" s="63">
        <f t="shared" si="41"/>
        <v>44175</v>
      </c>
      <c r="B346" s="96">
        <f t="shared" si="35"/>
        <v>12</v>
      </c>
      <c r="C346" s="96">
        <f t="shared" si="36"/>
        <v>2020</v>
      </c>
      <c r="D346" s="96" t="str">
        <f t="shared" si="37"/>
        <v>2020/12</v>
      </c>
      <c r="E346" s="96" t="str">
        <f t="shared" ca="1" si="38"/>
        <v>M8</v>
      </c>
      <c r="F346" s="96" t="str">
        <f t="shared" si="39"/>
        <v>Thu</v>
      </c>
      <c r="G346" s="96">
        <f t="shared" si="40"/>
        <v>1</v>
      </c>
    </row>
    <row r="347" spans="1:7" x14ac:dyDescent="0.3">
      <c r="A347" s="63">
        <f t="shared" si="41"/>
        <v>44176</v>
      </c>
      <c r="B347" s="96">
        <f t="shared" si="35"/>
        <v>12</v>
      </c>
      <c r="C347" s="96">
        <f t="shared" si="36"/>
        <v>2020</v>
      </c>
      <c r="D347" s="96" t="str">
        <f t="shared" si="37"/>
        <v>2020/12</v>
      </c>
      <c r="E347" s="96" t="str">
        <f t="shared" ca="1" si="38"/>
        <v>M8</v>
      </c>
      <c r="F347" s="96" t="str">
        <f t="shared" si="39"/>
        <v>Fri</v>
      </c>
      <c r="G347" s="96">
        <f t="shared" si="40"/>
        <v>1</v>
      </c>
    </row>
    <row r="348" spans="1:7" x14ac:dyDescent="0.3">
      <c r="A348" s="63">
        <f t="shared" si="41"/>
        <v>44177</v>
      </c>
      <c r="B348" s="96">
        <f t="shared" si="35"/>
        <v>12</v>
      </c>
      <c r="C348" s="96">
        <f t="shared" si="36"/>
        <v>2020</v>
      </c>
      <c r="D348" s="96" t="str">
        <f t="shared" si="37"/>
        <v>2020/12</v>
      </c>
      <c r="E348" s="96" t="str">
        <f t="shared" ca="1" si="38"/>
        <v>M8</v>
      </c>
      <c r="F348" s="96" t="str">
        <f t="shared" si="39"/>
        <v>Sat</v>
      </c>
      <c r="G348" s="96">
        <f t="shared" si="40"/>
        <v>0</v>
      </c>
    </row>
    <row r="349" spans="1:7" x14ac:dyDescent="0.3">
      <c r="A349" s="63">
        <f t="shared" si="41"/>
        <v>44178</v>
      </c>
      <c r="B349" s="96">
        <f t="shared" si="35"/>
        <v>12</v>
      </c>
      <c r="C349" s="96">
        <f t="shared" si="36"/>
        <v>2020</v>
      </c>
      <c r="D349" s="96" t="str">
        <f t="shared" si="37"/>
        <v>2020/12</v>
      </c>
      <c r="E349" s="96" t="str">
        <f t="shared" ca="1" si="38"/>
        <v>M8</v>
      </c>
      <c r="F349" s="96" t="str">
        <f t="shared" si="39"/>
        <v>Sun</v>
      </c>
      <c r="G349" s="96">
        <f t="shared" si="40"/>
        <v>0</v>
      </c>
    </row>
    <row r="350" spans="1:7" x14ac:dyDescent="0.3">
      <c r="A350" s="63">
        <f t="shared" si="41"/>
        <v>44179</v>
      </c>
      <c r="B350" s="96">
        <f t="shared" si="35"/>
        <v>12</v>
      </c>
      <c r="C350" s="96">
        <f t="shared" si="36"/>
        <v>2020</v>
      </c>
      <c r="D350" s="96" t="str">
        <f t="shared" si="37"/>
        <v>2020/12</v>
      </c>
      <c r="E350" s="96" t="str">
        <f t="shared" ca="1" si="38"/>
        <v>M8</v>
      </c>
      <c r="F350" s="96" t="str">
        <f t="shared" si="39"/>
        <v>Mon</v>
      </c>
      <c r="G350" s="96">
        <f t="shared" si="40"/>
        <v>1</v>
      </c>
    </row>
    <row r="351" spans="1:7" x14ac:dyDescent="0.3">
      <c r="A351" s="63">
        <f t="shared" si="41"/>
        <v>44180</v>
      </c>
      <c r="B351" s="96">
        <f t="shared" si="35"/>
        <v>12</v>
      </c>
      <c r="C351" s="96">
        <f t="shared" si="36"/>
        <v>2020</v>
      </c>
      <c r="D351" s="96" t="str">
        <f t="shared" si="37"/>
        <v>2020/12</v>
      </c>
      <c r="E351" s="96" t="str">
        <f t="shared" ca="1" si="38"/>
        <v>M8</v>
      </c>
      <c r="F351" s="96" t="str">
        <f t="shared" si="39"/>
        <v>Tue</v>
      </c>
      <c r="G351" s="96">
        <f t="shared" si="40"/>
        <v>1</v>
      </c>
    </row>
    <row r="352" spans="1:7" x14ac:dyDescent="0.3">
      <c r="A352" s="63">
        <f t="shared" si="41"/>
        <v>44181</v>
      </c>
      <c r="B352" s="96">
        <f t="shared" si="35"/>
        <v>12</v>
      </c>
      <c r="C352" s="96">
        <f t="shared" si="36"/>
        <v>2020</v>
      </c>
      <c r="D352" s="96" t="str">
        <f t="shared" si="37"/>
        <v>2020/12</v>
      </c>
      <c r="E352" s="96" t="str">
        <f t="shared" ca="1" si="38"/>
        <v>M8</v>
      </c>
      <c r="F352" s="96" t="str">
        <f t="shared" si="39"/>
        <v>Wed</v>
      </c>
      <c r="G352" s="96">
        <f t="shared" si="40"/>
        <v>1</v>
      </c>
    </row>
    <row r="353" spans="1:7" x14ac:dyDescent="0.3">
      <c r="A353" s="63">
        <f t="shared" si="41"/>
        <v>44182</v>
      </c>
      <c r="B353" s="96">
        <f t="shared" si="35"/>
        <v>12</v>
      </c>
      <c r="C353" s="96">
        <f t="shared" si="36"/>
        <v>2020</v>
      </c>
      <c r="D353" s="96" t="str">
        <f t="shared" si="37"/>
        <v>2020/12</v>
      </c>
      <c r="E353" s="96" t="str">
        <f t="shared" ca="1" si="38"/>
        <v>M8</v>
      </c>
      <c r="F353" s="96" t="str">
        <f t="shared" si="39"/>
        <v>Thu</v>
      </c>
      <c r="G353" s="96">
        <f t="shared" si="40"/>
        <v>1</v>
      </c>
    </row>
    <row r="354" spans="1:7" x14ac:dyDescent="0.3">
      <c r="A354" s="63">
        <f t="shared" si="41"/>
        <v>44183</v>
      </c>
      <c r="B354" s="96">
        <f t="shared" si="35"/>
        <v>12</v>
      </c>
      <c r="C354" s="96">
        <f t="shared" si="36"/>
        <v>2020</v>
      </c>
      <c r="D354" s="96" t="str">
        <f t="shared" si="37"/>
        <v>2020/12</v>
      </c>
      <c r="E354" s="96" t="str">
        <f t="shared" ca="1" si="38"/>
        <v>M8</v>
      </c>
      <c r="F354" s="96" t="str">
        <f t="shared" si="39"/>
        <v>Fri</v>
      </c>
      <c r="G354" s="96">
        <f t="shared" si="40"/>
        <v>1</v>
      </c>
    </row>
    <row r="355" spans="1:7" x14ac:dyDescent="0.3">
      <c r="A355" s="63">
        <f t="shared" si="41"/>
        <v>44184</v>
      </c>
      <c r="B355" s="96">
        <f t="shared" si="35"/>
        <v>12</v>
      </c>
      <c r="C355" s="96">
        <f t="shared" si="36"/>
        <v>2020</v>
      </c>
      <c r="D355" s="96" t="str">
        <f t="shared" si="37"/>
        <v>2020/12</v>
      </c>
      <c r="E355" s="96" t="str">
        <f t="shared" ca="1" si="38"/>
        <v>M8</v>
      </c>
      <c r="F355" s="96" t="str">
        <f t="shared" si="39"/>
        <v>Sat</v>
      </c>
      <c r="G355" s="96">
        <f t="shared" si="40"/>
        <v>0</v>
      </c>
    </row>
    <row r="356" spans="1:7" x14ac:dyDescent="0.3">
      <c r="A356" s="63">
        <f t="shared" si="41"/>
        <v>44185</v>
      </c>
      <c r="B356" s="96">
        <f t="shared" si="35"/>
        <v>12</v>
      </c>
      <c r="C356" s="96">
        <f t="shared" si="36"/>
        <v>2020</v>
      </c>
      <c r="D356" s="96" t="str">
        <f t="shared" si="37"/>
        <v>2020/12</v>
      </c>
      <c r="E356" s="96" t="str">
        <f t="shared" ca="1" si="38"/>
        <v>M8</v>
      </c>
      <c r="F356" s="96" t="str">
        <f t="shared" si="39"/>
        <v>Sun</v>
      </c>
      <c r="G356" s="96">
        <f t="shared" si="40"/>
        <v>0</v>
      </c>
    </row>
    <row r="357" spans="1:7" x14ac:dyDescent="0.3">
      <c r="A357" s="63">
        <f t="shared" si="41"/>
        <v>44186</v>
      </c>
      <c r="B357" s="96">
        <f t="shared" si="35"/>
        <v>12</v>
      </c>
      <c r="C357" s="96">
        <f t="shared" si="36"/>
        <v>2020</v>
      </c>
      <c r="D357" s="96" t="str">
        <f t="shared" si="37"/>
        <v>2020/12</v>
      </c>
      <c r="E357" s="96" t="str">
        <f t="shared" ca="1" si="38"/>
        <v>M8</v>
      </c>
      <c r="F357" s="96" t="str">
        <f t="shared" si="39"/>
        <v>Mon</v>
      </c>
      <c r="G357" s="96">
        <f t="shared" si="40"/>
        <v>1</v>
      </c>
    </row>
    <row r="358" spans="1:7" x14ac:dyDescent="0.3">
      <c r="A358" s="63">
        <f t="shared" si="41"/>
        <v>44187</v>
      </c>
      <c r="B358" s="96">
        <f t="shared" si="35"/>
        <v>12</v>
      </c>
      <c r="C358" s="96">
        <f t="shared" si="36"/>
        <v>2020</v>
      </c>
      <c r="D358" s="96" t="str">
        <f t="shared" si="37"/>
        <v>2020/12</v>
      </c>
      <c r="E358" s="96" t="str">
        <f t="shared" ca="1" si="38"/>
        <v>M8</v>
      </c>
      <c r="F358" s="96" t="str">
        <f t="shared" si="39"/>
        <v>Tue</v>
      </c>
      <c r="G358" s="96">
        <f t="shared" si="40"/>
        <v>1</v>
      </c>
    </row>
    <row r="359" spans="1:7" x14ac:dyDescent="0.3">
      <c r="A359" s="63">
        <f t="shared" si="41"/>
        <v>44188</v>
      </c>
      <c r="B359" s="96">
        <f t="shared" si="35"/>
        <v>12</v>
      </c>
      <c r="C359" s="96">
        <f t="shared" si="36"/>
        <v>2020</v>
      </c>
      <c r="D359" s="96" t="str">
        <f t="shared" si="37"/>
        <v>2020/12</v>
      </c>
      <c r="E359" s="96" t="str">
        <f t="shared" ca="1" si="38"/>
        <v>M8</v>
      </c>
      <c r="F359" s="96" t="str">
        <f t="shared" si="39"/>
        <v>Wed</v>
      </c>
      <c r="G359" s="96">
        <f t="shared" si="40"/>
        <v>1</v>
      </c>
    </row>
    <row r="360" spans="1:7" x14ac:dyDescent="0.3">
      <c r="A360" s="63">
        <f t="shared" si="41"/>
        <v>44189</v>
      </c>
      <c r="B360" s="96">
        <f t="shared" si="35"/>
        <v>12</v>
      </c>
      <c r="C360" s="96">
        <f t="shared" si="36"/>
        <v>2020</v>
      </c>
      <c r="D360" s="96" t="str">
        <f t="shared" si="37"/>
        <v>2020/12</v>
      </c>
      <c r="E360" s="96" t="str">
        <f t="shared" ca="1" si="38"/>
        <v>M8</v>
      </c>
      <c r="F360" s="96" t="str">
        <f t="shared" si="39"/>
        <v>Thu</v>
      </c>
      <c r="G360" s="96">
        <f t="shared" si="40"/>
        <v>1</v>
      </c>
    </row>
    <row r="361" spans="1:7" x14ac:dyDescent="0.3">
      <c r="A361" s="63">
        <f t="shared" si="41"/>
        <v>44190</v>
      </c>
      <c r="B361" s="96">
        <f t="shared" si="35"/>
        <v>12</v>
      </c>
      <c r="C361" s="96">
        <f t="shared" si="36"/>
        <v>2020</v>
      </c>
      <c r="D361" s="96" t="str">
        <f t="shared" si="37"/>
        <v>2020/12</v>
      </c>
      <c r="E361" s="96" t="str">
        <f t="shared" ca="1" si="38"/>
        <v>M8</v>
      </c>
      <c r="F361" s="96" t="str">
        <f t="shared" si="39"/>
        <v>Fri</v>
      </c>
      <c r="G361" s="96">
        <f t="shared" si="40"/>
        <v>1</v>
      </c>
    </row>
    <row r="362" spans="1:7" x14ac:dyDescent="0.3">
      <c r="A362" s="63">
        <f t="shared" si="41"/>
        <v>44191</v>
      </c>
      <c r="B362" s="96">
        <f t="shared" si="35"/>
        <v>12</v>
      </c>
      <c r="C362" s="96">
        <f t="shared" si="36"/>
        <v>2020</v>
      </c>
      <c r="D362" s="96" t="str">
        <f t="shared" si="37"/>
        <v>2020/12</v>
      </c>
      <c r="E362" s="96" t="str">
        <f t="shared" ca="1" si="38"/>
        <v>M8</v>
      </c>
      <c r="F362" s="96" t="str">
        <f t="shared" si="39"/>
        <v>Sat</v>
      </c>
      <c r="G362" s="96">
        <f t="shared" si="40"/>
        <v>0</v>
      </c>
    </row>
    <row r="363" spans="1:7" x14ac:dyDescent="0.3">
      <c r="A363" s="63">
        <f t="shared" si="41"/>
        <v>44192</v>
      </c>
      <c r="B363" s="96">
        <f t="shared" si="35"/>
        <v>12</v>
      </c>
      <c r="C363" s="96">
        <f t="shared" si="36"/>
        <v>2020</v>
      </c>
      <c r="D363" s="96" t="str">
        <f t="shared" si="37"/>
        <v>2020/12</v>
      </c>
      <c r="E363" s="96" t="str">
        <f t="shared" ca="1" si="38"/>
        <v>M8</v>
      </c>
      <c r="F363" s="96" t="str">
        <f t="shared" si="39"/>
        <v>Sun</v>
      </c>
      <c r="G363" s="96">
        <f t="shared" si="40"/>
        <v>0</v>
      </c>
    </row>
    <row r="364" spans="1:7" x14ac:dyDescent="0.3">
      <c r="A364" s="63">
        <f t="shared" si="41"/>
        <v>44193</v>
      </c>
      <c r="B364" s="96">
        <f t="shared" si="35"/>
        <v>12</v>
      </c>
      <c r="C364" s="96">
        <f t="shared" si="36"/>
        <v>2020</v>
      </c>
      <c r="D364" s="96" t="str">
        <f t="shared" si="37"/>
        <v>2020/12</v>
      </c>
      <c r="E364" s="96" t="str">
        <f t="shared" ca="1" si="38"/>
        <v>M8</v>
      </c>
      <c r="F364" s="96" t="str">
        <f t="shared" si="39"/>
        <v>Mon</v>
      </c>
      <c r="G364" s="96">
        <f t="shared" si="40"/>
        <v>1</v>
      </c>
    </row>
    <row r="365" spans="1:7" x14ac:dyDescent="0.3">
      <c r="A365" s="63">
        <f t="shared" si="41"/>
        <v>44194</v>
      </c>
      <c r="B365" s="96">
        <f t="shared" si="35"/>
        <v>12</v>
      </c>
      <c r="C365" s="96">
        <f t="shared" si="36"/>
        <v>2020</v>
      </c>
      <c r="D365" s="96" t="str">
        <f t="shared" si="37"/>
        <v>2020/12</v>
      </c>
      <c r="E365" s="96" t="str">
        <f t="shared" ca="1" si="38"/>
        <v>M8</v>
      </c>
      <c r="F365" s="96" t="str">
        <f t="shared" si="39"/>
        <v>Tue</v>
      </c>
      <c r="G365" s="96">
        <f t="shared" si="40"/>
        <v>1</v>
      </c>
    </row>
    <row r="366" spans="1:7" x14ac:dyDescent="0.3">
      <c r="A366" s="63">
        <f t="shared" si="41"/>
        <v>44195</v>
      </c>
      <c r="B366" s="96">
        <f t="shared" si="35"/>
        <v>12</v>
      </c>
      <c r="C366" s="96">
        <f t="shared" si="36"/>
        <v>2020</v>
      </c>
      <c r="D366" s="96" t="str">
        <f t="shared" si="37"/>
        <v>2020/12</v>
      </c>
      <c r="E366" s="96" t="str">
        <f t="shared" ca="1" si="38"/>
        <v>M8</v>
      </c>
      <c r="F366" s="96" t="str">
        <f t="shared" si="39"/>
        <v>Wed</v>
      </c>
      <c r="G366" s="96">
        <f t="shared" si="40"/>
        <v>1</v>
      </c>
    </row>
    <row r="367" spans="1:7" x14ac:dyDescent="0.3">
      <c r="A367" s="63">
        <f t="shared" si="41"/>
        <v>44196</v>
      </c>
      <c r="B367" s="96">
        <f t="shared" si="35"/>
        <v>12</v>
      </c>
      <c r="C367" s="96">
        <f t="shared" si="36"/>
        <v>2020</v>
      </c>
      <c r="D367" s="96" t="str">
        <f t="shared" si="37"/>
        <v>2020/12</v>
      </c>
      <c r="E367" s="96" t="str">
        <f t="shared" ca="1" si="38"/>
        <v>M8</v>
      </c>
      <c r="F367" s="96" t="str">
        <f t="shared" si="39"/>
        <v>Thu</v>
      </c>
      <c r="G367" s="96">
        <f t="shared" si="40"/>
        <v>1</v>
      </c>
    </row>
    <row r="368" spans="1:7" x14ac:dyDescent="0.3">
      <c r="A368" s="63">
        <f t="shared" si="41"/>
        <v>44197</v>
      </c>
      <c r="B368" s="96">
        <f t="shared" si="35"/>
        <v>1</v>
      </c>
      <c r="C368" s="96">
        <f t="shared" si="36"/>
        <v>2021</v>
      </c>
      <c r="D368" s="96" t="str">
        <f t="shared" si="37"/>
        <v>2021/01</v>
      </c>
      <c r="E368" s="96" t="str">
        <f t="shared" ca="1" si="38"/>
        <v>M-15</v>
      </c>
      <c r="F368" s="96" t="str">
        <f t="shared" si="39"/>
        <v>Fri</v>
      </c>
      <c r="G368" s="96">
        <f t="shared" si="40"/>
        <v>1</v>
      </c>
    </row>
    <row r="369" spans="1:7" x14ac:dyDescent="0.3">
      <c r="A369" s="63">
        <f t="shared" si="41"/>
        <v>44198</v>
      </c>
      <c r="B369" s="96">
        <f t="shared" si="35"/>
        <v>1</v>
      </c>
      <c r="C369" s="96">
        <f t="shared" si="36"/>
        <v>2021</v>
      </c>
      <c r="D369" s="96" t="str">
        <f t="shared" si="37"/>
        <v>2021/01</v>
      </c>
      <c r="E369" s="96" t="str">
        <f t="shared" ca="1" si="38"/>
        <v>M-15</v>
      </c>
      <c r="F369" s="96" t="str">
        <f t="shared" si="39"/>
        <v>Sat</v>
      </c>
      <c r="G369" s="96">
        <f t="shared" si="40"/>
        <v>0</v>
      </c>
    </row>
    <row r="370" spans="1:7" x14ac:dyDescent="0.3">
      <c r="A370" s="63">
        <f t="shared" si="41"/>
        <v>44199</v>
      </c>
      <c r="B370" s="96">
        <f t="shared" si="35"/>
        <v>1</v>
      </c>
      <c r="C370" s="96">
        <f t="shared" si="36"/>
        <v>2021</v>
      </c>
      <c r="D370" s="96" t="str">
        <f t="shared" si="37"/>
        <v>2021/01</v>
      </c>
      <c r="E370" s="96" t="str">
        <f t="shared" ca="1" si="38"/>
        <v>M-15</v>
      </c>
      <c r="F370" s="96" t="str">
        <f t="shared" si="39"/>
        <v>Sun</v>
      </c>
      <c r="G370" s="96">
        <f t="shared" si="40"/>
        <v>0</v>
      </c>
    </row>
    <row r="371" spans="1:7" x14ac:dyDescent="0.3">
      <c r="A371" s="63">
        <f t="shared" si="41"/>
        <v>44200</v>
      </c>
      <c r="B371" s="96">
        <f t="shared" si="35"/>
        <v>1</v>
      </c>
      <c r="C371" s="96">
        <f t="shared" si="36"/>
        <v>2021</v>
      </c>
      <c r="D371" s="96" t="str">
        <f t="shared" si="37"/>
        <v>2021/01</v>
      </c>
      <c r="E371" s="96" t="str">
        <f t="shared" ca="1" si="38"/>
        <v>M-15</v>
      </c>
      <c r="F371" s="96" t="str">
        <f t="shared" si="39"/>
        <v>Mon</v>
      </c>
      <c r="G371" s="96">
        <f t="shared" si="40"/>
        <v>1</v>
      </c>
    </row>
    <row r="372" spans="1:7" x14ac:dyDescent="0.3">
      <c r="A372" s="63">
        <f t="shared" si="41"/>
        <v>44201</v>
      </c>
      <c r="B372" s="96">
        <f t="shared" si="35"/>
        <v>1</v>
      </c>
      <c r="C372" s="96">
        <f t="shared" si="36"/>
        <v>2021</v>
      </c>
      <c r="D372" s="96" t="str">
        <f t="shared" si="37"/>
        <v>2021/01</v>
      </c>
      <c r="E372" s="96" t="str">
        <f t="shared" ca="1" si="38"/>
        <v>M-15</v>
      </c>
      <c r="F372" s="96" t="str">
        <f t="shared" si="39"/>
        <v>Tue</v>
      </c>
      <c r="G372" s="96">
        <f t="shared" si="40"/>
        <v>1</v>
      </c>
    </row>
    <row r="373" spans="1:7" x14ac:dyDescent="0.3">
      <c r="A373" s="63">
        <f t="shared" si="41"/>
        <v>44202</v>
      </c>
      <c r="B373" s="96">
        <f t="shared" si="35"/>
        <v>1</v>
      </c>
      <c r="C373" s="96">
        <f t="shared" si="36"/>
        <v>2021</v>
      </c>
      <c r="D373" s="96" t="str">
        <f t="shared" si="37"/>
        <v>2021/01</v>
      </c>
      <c r="E373" s="96" t="str">
        <f t="shared" ca="1" si="38"/>
        <v>M-15</v>
      </c>
      <c r="F373" s="96" t="str">
        <f t="shared" si="39"/>
        <v>Wed</v>
      </c>
      <c r="G373" s="96">
        <f t="shared" si="40"/>
        <v>1</v>
      </c>
    </row>
    <row r="374" spans="1:7" x14ac:dyDescent="0.3">
      <c r="A374" s="63">
        <f t="shared" si="41"/>
        <v>44203</v>
      </c>
      <c r="B374" s="96">
        <f t="shared" si="35"/>
        <v>1</v>
      </c>
      <c r="C374" s="96">
        <f t="shared" si="36"/>
        <v>2021</v>
      </c>
      <c r="D374" s="96" t="str">
        <f t="shared" si="37"/>
        <v>2021/01</v>
      </c>
      <c r="E374" s="96" t="str">
        <f t="shared" ca="1" si="38"/>
        <v>M-15</v>
      </c>
      <c r="F374" s="96" t="str">
        <f t="shared" si="39"/>
        <v>Thu</v>
      </c>
      <c r="G374" s="96">
        <f t="shared" si="40"/>
        <v>1</v>
      </c>
    </row>
    <row r="375" spans="1:7" x14ac:dyDescent="0.3">
      <c r="A375" s="63">
        <f t="shared" si="41"/>
        <v>44204</v>
      </c>
      <c r="B375" s="96">
        <f t="shared" si="35"/>
        <v>1</v>
      </c>
      <c r="C375" s="96">
        <f t="shared" si="36"/>
        <v>2021</v>
      </c>
      <c r="D375" s="96" t="str">
        <f t="shared" si="37"/>
        <v>2021/01</v>
      </c>
      <c r="E375" s="96" t="str">
        <f t="shared" ca="1" si="38"/>
        <v>M-15</v>
      </c>
      <c r="F375" s="96" t="str">
        <f t="shared" si="39"/>
        <v>Fri</v>
      </c>
      <c r="G375" s="96">
        <f t="shared" si="40"/>
        <v>1</v>
      </c>
    </row>
    <row r="376" spans="1:7" x14ac:dyDescent="0.3">
      <c r="A376" s="63">
        <f t="shared" si="41"/>
        <v>44205</v>
      </c>
      <c r="B376" s="96">
        <f t="shared" si="35"/>
        <v>1</v>
      </c>
      <c r="C376" s="96">
        <f t="shared" si="36"/>
        <v>2021</v>
      </c>
      <c r="D376" s="96" t="str">
        <f t="shared" si="37"/>
        <v>2021/01</v>
      </c>
      <c r="E376" s="96" t="str">
        <f t="shared" ca="1" si="38"/>
        <v>M-15</v>
      </c>
      <c r="F376" s="96" t="str">
        <f t="shared" si="39"/>
        <v>Sat</v>
      </c>
      <c r="G376" s="96">
        <f t="shared" si="40"/>
        <v>0</v>
      </c>
    </row>
    <row r="377" spans="1:7" x14ac:dyDescent="0.3">
      <c r="A377" s="63">
        <f t="shared" si="41"/>
        <v>44206</v>
      </c>
      <c r="B377" s="96">
        <f t="shared" si="35"/>
        <v>1</v>
      </c>
      <c r="C377" s="96">
        <f t="shared" si="36"/>
        <v>2021</v>
      </c>
      <c r="D377" s="96" t="str">
        <f t="shared" si="37"/>
        <v>2021/01</v>
      </c>
      <c r="E377" s="96" t="str">
        <f t="shared" ca="1" si="38"/>
        <v>M-15</v>
      </c>
      <c r="F377" s="96" t="str">
        <f t="shared" si="39"/>
        <v>Sun</v>
      </c>
      <c r="G377" s="96">
        <f t="shared" si="40"/>
        <v>0</v>
      </c>
    </row>
    <row r="378" spans="1:7" x14ac:dyDescent="0.3">
      <c r="A378" s="63">
        <f t="shared" si="41"/>
        <v>44207</v>
      </c>
      <c r="B378" s="96">
        <f t="shared" si="35"/>
        <v>1</v>
      </c>
      <c r="C378" s="96">
        <f t="shared" si="36"/>
        <v>2021</v>
      </c>
      <c r="D378" s="96" t="str">
        <f t="shared" si="37"/>
        <v>2021/01</v>
      </c>
      <c r="E378" s="96" t="str">
        <f t="shared" ca="1" si="38"/>
        <v>M-15</v>
      </c>
      <c r="F378" s="96" t="str">
        <f t="shared" si="39"/>
        <v>Mon</v>
      </c>
      <c r="G378" s="96">
        <f t="shared" si="40"/>
        <v>1</v>
      </c>
    </row>
    <row r="379" spans="1:7" x14ac:dyDescent="0.3">
      <c r="A379" s="63">
        <f t="shared" si="41"/>
        <v>44208</v>
      </c>
      <c r="B379" s="96">
        <f t="shared" si="35"/>
        <v>1</v>
      </c>
      <c r="C379" s="96">
        <f t="shared" si="36"/>
        <v>2021</v>
      </c>
      <c r="D379" s="96" t="str">
        <f t="shared" si="37"/>
        <v>2021/01</v>
      </c>
      <c r="E379" s="96" t="str">
        <f t="shared" ca="1" si="38"/>
        <v>M-15</v>
      </c>
      <c r="F379" s="96" t="str">
        <f t="shared" si="39"/>
        <v>Tue</v>
      </c>
      <c r="G379" s="96">
        <f t="shared" si="40"/>
        <v>1</v>
      </c>
    </row>
    <row r="380" spans="1:7" x14ac:dyDescent="0.3">
      <c r="A380" s="63">
        <f t="shared" si="41"/>
        <v>44209</v>
      </c>
      <c r="B380" s="96">
        <f t="shared" si="35"/>
        <v>1</v>
      </c>
      <c r="C380" s="96">
        <f t="shared" si="36"/>
        <v>2021</v>
      </c>
      <c r="D380" s="96" t="str">
        <f t="shared" si="37"/>
        <v>2021/01</v>
      </c>
      <c r="E380" s="96" t="str">
        <f t="shared" ca="1" si="38"/>
        <v>M-15</v>
      </c>
      <c r="F380" s="96" t="str">
        <f t="shared" si="39"/>
        <v>Wed</v>
      </c>
      <c r="G380" s="96">
        <f t="shared" si="40"/>
        <v>1</v>
      </c>
    </row>
    <row r="381" spans="1:7" x14ac:dyDescent="0.3">
      <c r="A381" s="63">
        <f t="shared" si="41"/>
        <v>44210</v>
      </c>
      <c r="B381" s="96">
        <f t="shared" si="35"/>
        <v>1</v>
      </c>
      <c r="C381" s="96">
        <f t="shared" si="36"/>
        <v>2021</v>
      </c>
      <c r="D381" s="96" t="str">
        <f t="shared" si="37"/>
        <v>2021/01</v>
      </c>
      <c r="E381" s="96" t="str">
        <f t="shared" ca="1" si="38"/>
        <v>M-15</v>
      </c>
      <c r="F381" s="96" t="str">
        <f t="shared" si="39"/>
        <v>Thu</v>
      </c>
      <c r="G381" s="96">
        <f t="shared" si="40"/>
        <v>1</v>
      </c>
    </row>
    <row r="382" spans="1:7" x14ac:dyDescent="0.3">
      <c r="A382" s="63">
        <f t="shared" si="41"/>
        <v>44211</v>
      </c>
      <c r="B382" s="96">
        <f t="shared" si="35"/>
        <v>1</v>
      </c>
      <c r="C382" s="96">
        <f t="shared" si="36"/>
        <v>2021</v>
      </c>
      <c r="D382" s="96" t="str">
        <f t="shared" si="37"/>
        <v>2021/01</v>
      </c>
      <c r="E382" s="96" t="str">
        <f t="shared" ca="1" si="38"/>
        <v>M-15</v>
      </c>
      <c r="F382" s="96" t="str">
        <f t="shared" si="39"/>
        <v>Fri</v>
      </c>
      <c r="G382" s="96">
        <f t="shared" si="40"/>
        <v>1</v>
      </c>
    </row>
    <row r="383" spans="1:7" x14ac:dyDescent="0.3">
      <c r="A383" s="63">
        <f t="shared" si="41"/>
        <v>44212</v>
      </c>
      <c r="B383" s="96">
        <f t="shared" si="35"/>
        <v>1</v>
      </c>
      <c r="C383" s="96">
        <f t="shared" si="36"/>
        <v>2021</v>
      </c>
      <c r="D383" s="96" t="str">
        <f t="shared" si="37"/>
        <v>2021/01</v>
      </c>
      <c r="E383" s="96" t="str">
        <f t="shared" ca="1" si="38"/>
        <v>M-15</v>
      </c>
      <c r="F383" s="96" t="str">
        <f t="shared" si="39"/>
        <v>Sat</v>
      </c>
      <c r="G383" s="96">
        <f t="shared" si="40"/>
        <v>0</v>
      </c>
    </row>
    <row r="384" spans="1:7" x14ac:dyDescent="0.3">
      <c r="A384" s="63">
        <f t="shared" si="41"/>
        <v>44213</v>
      </c>
      <c r="B384" s="96">
        <f t="shared" si="35"/>
        <v>1</v>
      </c>
      <c r="C384" s="96">
        <f t="shared" si="36"/>
        <v>2021</v>
      </c>
      <c r="D384" s="96" t="str">
        <f t="shared" si="37"/>
        <v>2021/01</v>
      </c>
      <c r="E384" s="96" t="str">
        <f t="shared" ca="1" si="38"/>
        <v>M-15</v>
      </c>
      <c r="F384" s="96" t="str">
        <f t="shared" si="39"/>
        <v>Sun</v>
      </c>
      <c r="G384" s="96">
        <f t="shared" si="40"/>
        <v>0</v>
      </c>
    </row>
    <row r="385" spans="1:7" x14ac:dyDescent="0.3">
      <c r="A385" s="63">
        <f t="shared" si="41"/>
        <v>44214</v>
      </c>
      <c r="B385" s="96">
        <f t="shared" si="35"/>
        <v>1</v>
      </c>
      <c r="C385" s="96">
        <f t="shared" si="36"/>
        <v>2021</v>
      </c>
      <c r="D385" s="96" t="str">
        <f t="shared" si="37"/>
        <v>2021/01</v>
      </c>
      <c r="E385" s="96" t="str">
        <f t="shared" ca="1" si="38"/>
        <v>M-15</v>
      </c>
      <c r="F385" s="96" t="str">
        <f t="shared" si="39"/>
        <v>Mon</v>
      </c>
      <c r="G385" s="96">
        <f t="shared" si="40"/>
        <v>1</v>
      </c>
    </row>
    <row r="386" spans="1:7" x14ac:dyDescent="0.3">
      <c r="A386" s="63">
        <f t="shared" si="41"/>
        <v>44215</v>
      </c>
      <c r="B386" s="96">
        <f t="shared" si="35"/>
        <v>1</v>
      </c>
      <c r="C386" s="96">
        <f t="shared" si="36"/>
        <v>2021</v>
      </c>
      <c r="D386" s="96" t="str">
        <f t="shared" si="37"/>
        <v>2021/01</v>
      </c>
      <c r="E386" s="96" t="str">
        <f t="shared" ca="1" si="38"/>
        <v>M-15</v>
      </c>
      <c r="F386" s="96" t="str">
        <f t="shared" si="39"/>
        <v>Tue</v>
      </c>
      <c r="G386" s="96">
        <f t="shared" si="40"/>
        <v>1</v>
      </c>
    </row>
    <row r="387" spans="1:7" x14ac:dyDescent="0.3">
      <c r="A387" s="63">
        <f t="shared" si="41"/>
        <v>44216</v>
      </c>
      <c r="B387" s="96">
        <f t="shared" ref="B387:B450" si="42">MONTH(A387)</f>
        <v>1</v>
      </c>
      <c r="C387" s="96">
        <f t="shared" ref="C387:C450" si="43">YEAR(A387)</f>
        <v>2021</v>
      </c>
      <c r="D387" s="96" t="str">
        <f t="shared" ref="D387:D450" si="44">CONCATENATE(C387,"/",TEXT(B387,"00"))</f>
        <v>2021/01</v>
      </c>
      <c r="E387" s="96" t="str">
        <f t="shared" ref="E387:E450" ca="1" si="45">CONCATENATE("M",B387-MONTH(TODAY())+12*(YEAR(TODAY())-C387))</f>
        <v>M-15</v>
      </c>
      <c r="F387" s="96" t="str">
        <f t="shared" ref="F387:F450" si="46">TEXT(A387,"ddd")</f>
        <v>Wed</v>
      </c>
      <c r="G387" s="96">
        <f t="shared" ref="G387:G450" si="47">IF(LEFT(F387,1)="s",0,1)</f>
        <v>1</v>
      </c>
    </row>
    <row r="388" spans="1:7" x14ac:dyDescent="0.3">
      <c r="A388" s="63">
        <f t="shared" ref="A388:A451" si="48">A387+1</f>
        <v>44217</v>
      </c>
      <c r="B388" s="96">
        <f t="shared" si="42"/>
        <v>1</v>
      </c>
      <c r="C388" s="96">
        <f t="shared" si="43"/>
        <v>2021</v>
      </c>
      <c r="D388" s="96" t="str">
        <f t="shared" si="44"/>
        <v>2021/01</v>
      </c>
      <c r="E388" s="96" t="str">
        <f t="shared" ca="1" si="45"/>
        <v>M-15</v>
      </c>
      <c r="F388" s="96" t="str">
        <f t="shared" si="46"/>
        <v>Thu</v>
      </c>
      <c r="G388" s="96">
        <f t="shared" si="47"/>
        <v>1</v>
      </c>
    </row>
    <row r="389" spans="1:7" x14ac:dyDescent="0.3">
      <c r="A389" s="63">
        <f t="shared" si="48"/>
        <v>44218</v>
      </c>
      <c r="B389" s="96">
        <f t="shared" si="42"/>
        <v>1</v>
      </c>
      <c r="C389" s="96">
        <f t="shared" si="43"/>
        <v>2021</v>
      </c>
      <c r="D389" s="96" t="str">
        <f t="shared" si="44"/>
        <v>2021/01</v>
      </c>
      <c r="E389" s="96" t="str">
        <f t="shared" ca="1" si="45"/>
        <v>M-15</v>
      </c>
      <c r="F389" s="96" t="str">
        <f t="shared" si="46"/>
        <v>Fri</v>
      </c>
      <c r="G389" s="96">
        <f t="shared" si="47"/>
        <v>1</v>
      </c>
    </row>
    <row r="390" spans="1:7" x14ac:dyDescent="0.3">
      <c r="A390" s="63">
        <f t="shared" si="48"/>
        <v>44219</v>
      </c>
      <c r="B390" s="96">
        <f t="shared" si="42"/>
        <v>1</v>
      </c>
      <c r="C390" s="96">
        <f t="shared" si="43"/>
        <v>2021</v>
      </c>
      <c r="D390" s="96" t="str">
        <f t="shared" si="44"/>
        <v>2021/01</v>
      </c>
      <c r="E390" s="96" t="str">
        <f t="shared" ca="1" si="45"/>
        <v>M-15</v>
      </c>
      <c r="F390" s="96" t="str">
        <f t="shared" si="46"/>
        <v>Sat</v>
      </c>
      <c r="G390" s="96">
        <f t="shared" si="47"/>
        <v>0</v>
      </c>
    </row>
    <row r="391" spans="1:7" x14ac:dyDescent="0.3">
      <c r="A391" s="63">
        <f t="shared" si="48"/>
        <v>44220</v>
      </c>
      <c r="B391" s="96">
        <f t="shared" si="42"/>
        <v>1</v>
      </c>
      <c r="C391" s="96">
        <f t="shared" si="43"/>
        <v>2021</v>
      </c>
      <c r="D391" s="96" t="str">
        <f t="shared" si="44"/>
        <v>2021/01</v>
      </c>
      <c r="E391" s="96" t="str">
        <f t="shared" ca="1" si="45"/>
        <v>M-15</v>
      </c>
      <c r="F391" s="96" t="str">
        <f t="shared" si="46"/>
        <v>Sun</v>
      </c>
      <c r="G391" s="96">
        <f t="shared" si="47"/>
        <v>0</v>
      </c>
    </row>
    <row r="392" spans="1:7" x14ac:dyDescent="0.3">
      <c r="A392" s="63">
        <f t="shared" si="48"/>
        <v>44221</v>
      </c>
      <c r="B392" s="96">
        <f t="shared" si="42"/>
        <v>1</v>
      </c>
      <c r="C392" s="96">
        <f t="shared" si="43"/>
        <v>2021</v>
      </c>
      <c r="D392" s="96" t="str">
        <f t="shared" si="44"/>
        <v>2021/01</v>
      </c>
      <c r="E392" s="96" t="str">
        <f t="shared" ca="1" si="45"/>
        <v>M-15</v>
      </c>
      <c r="F392" s="96" t="str">
        <f t="shared" si="46"/>
        <v>Mon</v>
      </c>
      <c r="G392" s="96">
        <f t="shared" si="47"/>
        <v>1</v>
      </c>
    </row>
    <row r="393" spans="1:7" x14ac:dyDescent="0.3">
      <c r="A393" s="63">
        <f t="shared" si="48"/>
        <v>44222</v>
      </c>
      <c r="B393" s="96">
        <f t="shared" si="42"/>
        <v>1</v>
      </c>
      <c r="C393" s="96">
        <f t="shared" si="43"/>
        <v>2021</v>
      </c>
      <c r="D393" s="96" t="str">
        <f t="shared" si="44"/>
        <v>2021/01</v>
      </c>
      <c r="E393" s="96" t="str">
        <f t="shared" ca="1" si="45"/>
        <v>M-15</v>
      </c>
      <c r="F393" s="96" t="str">
        <f t="shared" si="46"/>
        <v>Tue</v>
      </c>
      <c r="G393" s="96">
        <f t="shared" si="47"/>
        <v>1</v>
      </c>
    </row>
    <row r="394" spans="1:7" x14ac:dyDescent="0.3">
      <c r="A394" s="63">
        <f t="shared" si="48"/>
        <v>44223</v>
      </c>
      <c r="B394" s="96">
        <f t="shared" si="42"/>
        <v>1</v>
      </c>
      <c r="C394" s="96">
        <f t="shared" si="43"/>
        <v>2021</v>
      </c>
      <c r="D394" s="96" t="str">
        <f t="shared" si="44"/>
        <v>2021/01</v>
      </c>
      <c r="E394" s="96" t="str">
        <f t="shared" ca="1" si="45"/>
        <v>M-15</v>
      </c>
      <c r="F394" s="96" t="str">
        <f t="shared" si="46"/>
        <v>Wed</v>
      </c>
      <c r="G394" s="96">
        <f t="shared" si="47"/>
        <v>1</v>
      </c>
    </row>
    <row r="395" spans="1:7" x14ac:dyDescent="0.3">
      <c r="A395" s="63">
        <f t="shared" si="48"/>
        <v>44224</v>
      </c>
      <c r="B395" s="96">
        <f t="shared" si="42"/>
        <v>1</v>
      </c>
      <c r="C395" s="96">
        <f t="shared" si="43"/>
        <v>2021</v>
      </c>
      <c r="D395" s="96" t="str">
        <f t="shared" si="44"/>
        <v>2021/01</v>
      </c>
      <c r="E395" s="96" t="str">
        <f t="shared" ca="1" si="45"/>
        <v>M-15</v>
      </c>
      <c r="F395" s="96" t="str">
        <f t="shared" si="46"/>
        <v>Thu</v>
      </c>
      <c r="G395" s="96">
        <f t="shared" si="47"/>
        <v>1</v>
      </c>
    </row>
    <row r="396" spans="1:7" x14ac:dyDescent="0.3">
      <c r="A396" s="63">
        <f t="shared" si="48"/>
        <v>44225</v>
      </c>
      <c r="B396" s="96">
        <f t="shared" si="42"/>
        <v>1</v>
      </c>
      <c r="C396" s="96">
        <f t="shared" si="43"/>
        <v>2021</v>
      </c>
      <c r="D396" s="96" t="str">
        <f t="shared" si="44"/>
        <v>2021/01</v>
      </c>
      <c r="E396" s="96" t="str">
        <f t="shared" ca="1" si="45"/>
        <v>M-15</v>
      </c>
      <c r="F396" s="96" t="str">
        <f t="shared" si="46"/>
        <v>Fri</v>
      </c>
      <c r="G396" s="96">
        <f t="shared" si="47"/>
        <v>1</v>
      </c>
    </row>
    <row r="397" spans="1:7" x14ac:dyDescent="0.3">
      <c r="A397" s="63">
        <f t="shared" si="48"/>
        <v>44226</v>
      </c>
      <c r="B397" s="96">
        <f t="shared" si="42"/>
        <v>1</v>
      </c>
      <c r="C397" s="96">
        <f t="shared" si="43"/>
        <v>2021</v>
      </c>
      <c r="D397" s="96" t="str">
        <f t="shared" si="44"/>
        <v>2021/01</v>
      </c>
      <c r="E397" s="96" t="str">
        <f t="shared" ca="1" si="45"/>
        <v>M-15</v>
      </c>
      <c r="F397" s="96" t="str">
        <f t="shared" si="46"/>
        <v>Sat</v>
      </c>
      <c r="G397" s="96">
        <f t="shared" si="47"/>
        <v>0</v>
      </c>
    </row>
    <row r="398" spans="1:7" x14ac:dyDescent="0.3">
      <c r="A398" s="63">
        <f t="shared" si="48"/>
        <v>44227</v>
      </c>
      <c r="B398" s="96">
        <f t="shared" si="42"/>
        <v>1</v>
      </c>
      <c r="C398" s="96">
        <f t="shared" si="43"/>
        <v>2021</v>
      </c>
      <c r="D398" s="96" t="str">
        <f t="shared" si="44"/>
        <v>2021/01</v>
      </c>
      <c r="E398" s="96" t="str">
        <f t="shared" ca="1" si="45"/>
        <v>M-15</v>
      </c>
      <c r="F398" s="96" t="str">
        <f t="shared" si="46"/>
        <v>Sun</v>
      </c>
      <c r="G398" s="96">
        <f t="shared" si="47"/>
        <v>0</v>
      </c>
    </row>
    <row r="399" spans="1:7" x14ac:dyDescent="0.3">
      <c r="A399" s="63">
        <f t="shared" si="48"/>
        <v>44228</v>
      </c>
      <c r="B399" s="96">
        <f t="shared" si="42"/>
        <v>2</v>
      </c>
      <c r="C399" s="96">
        <f t="shared" si="43"/>
        <v>2021</v>
      </c>
      <c r="D399" s="96" t="str">
        <f t="shared" si="44"/>
        <v>2021/02</v>
      </c>
      <c r="E399" s="96" t="str">
        <f t="shared" ca="1" si="45"/>
        <v>M-14</v>
      </c>
      <c r="F399" s="96" t="str">
        <f t="shared" si="46"/>
        <v>Mon</v>
      </c>
      <c r="G399" s="96">
        <f t="shared" si="47"/>
        <v>1</v>
      </c>
    </row>
    <row r="400" spans="1:7" x14ac:dyDescent="0.3">
      <c r="A400" s="63">
        <f t="shared" si="48"/>
        <v>44229</v>
      </c>
      <c r="B400" s="96">
        <f t="shared" si="42"/>
        <v>2</v>
      </c>
      <c r="C400" s="96">
        <f t="shared" si="43"/>
        <v>2021</v>
      </c>
      <c r="D400" s="96" t="str">
        <f t="shared" si="44"/>
        <v>2021/02</v>
      </c>
      <c r="E400" s="96" t="str">
        <f t="shared" ca="1" si="45"/>
        <v>M-14</v>
      </c>
      <c r="F400" s="96" t="str">
        <f t="shared" si="46"/>
        <v>Tue</v>
      </c>
      <c r="G400" s="96">
        <f t="shared" si="47"/>
        <v>1</v>
      </c>
    </row>
    <row r="401" spans="1:7" x14ac:dyDescent="0.3">
      <c r="A401" s="63">
        <f t="shared" si="48"/>
        <v>44230</v>
      </c>
      <c r="B401" s="96">
        <f t="shared" si="42"/>
        <v>2</v>
      </c>
      <c r="C401" s="96">
        <f t="shared" si="43"/>
        <v>2021</v>
      </c>
      <c r="D401" s="96" t="str">
        <f t="shared" si="44"/>
        <v>2021/02</v>
      </c>
      <c r="E401" s="96" t="str">
        <f t="shared" ca="1" si="45"/>
        <v>M-14</v>
      </c>
      <c r="F401" s="96" t="str">
        <f t="shared" si="46"/>
        <v>Wed</v>
      </c>
      <c r="G401" s="96">
        <f t="shared" si="47"/>
        <v>1</v>
      </c>
    </row>
    <row r="402" spans="1:7" x14ac:dyDescent="0.3">
      <c r="A402" s="63">
        <f t="shared" si="48"/>
        <v>44231</v>
      </c>
      <c r="B402" s="96">
        <f t="shared" si="42"/>
        <v>2</v>
      </c>
      <c r="C402" s="96">
        <f t="shared" si="43"/>
        <v>2021</v>
      </c>
      <c r="D402" s="96" t="str">
        <f t="shared" si="44"/>
        <v>2021/02</v>
      </c>
      <c r="E402" s="96" t="str">
        <f t="shared" ca="1" si="45"/>
        <v>M-14</v>
      </c>
      <c r="F402" s="96" t="str">
        <f t="shared" si="46"/>
        <v>Thu</v>
      </c>
      <c r="G402" s="96">
        <f t="shared" si="47"/>
        <v>1</v>
      </c>
    </row>
    <row r="403" spans="1:7" x14ac:dyDescent="0.3">
      <c r="A403" s="63">
        <f t="shared" si="48"/>
        <v>44232</v>
      </c>
      <c r="B403" s="96">
        <f t="shared" si="42"/>
        <v>2</v>
      </c>
      <c r="C403" s="96">
        <f t="shared" si="43"/>
        <v>2021</v>
      </c>
      <c r="D403" s="96" t="str">
        <f t="shared" si="44"/>
        <v>2021/02</v>
      </c>
      <c r="E403" s="96" t="str">
        <f t="shared" ca="1" si="45"/>
        <v>M-14</v>
      </c>
      <c r="F403" s="96" t="str">
        <f t="shared" si="46"/>
        <v>Fri</v>
      </c>
      <c r="G403" s="96">
        <f t="shared" si="47"/>
        <v>1</v>
      </c>
    </row>
    <row r="404" spans="1:7" x14ac:dyDescent="0.3">
      <c r="A404" s="63">
        <f t="shared" si="48"/>
        <v>44233</v>
      </c>
      <c r="B404" s="96">
        <f t="shared" si="42"/>
        <v>2</v>
      </c>
      <c r="C404" s="96">
        <f t="shared" si="43"/>
        <v>2021</v>
      </c>
      <c r="D404" s="96" t="str">
        <f t="shared" si="44"/>
        <v>2021/02</v>
      </c>
      <c r="E404" s="96" t="str">
        <f t="shared" ca="1" si="45"/>
        <v>M-14</v>
      </c>
      <c r="F404" s="96" t="str">
        <f t="shared" si="46"/>
        <v>Sat</v>
      </c>
      <c r="G404" s="96">
        <f t="shared" si="47"/>
        <v>0</v>
      </c>
    </row>
    <row r="405" spans="1:7" x14ac:dyDescent="0.3">
      <c r="A405" s="63">
        <f t="shared" si="48"/>
        <v>44234</v>
      </c>
      <c r="B405" s="96">
        <f t="shared" si="42"/>
        <v>2</v>
      </c>
      <c r="C405" s="96">
        <f t="shared" si="43"/>
        <v>2021</v>
      </c>
      <c r="D405" s="96" t="str">
        <f t="shared" si="44"/>
        <v>2021/02</v>
      </c>
      <c r="E405" s="96" t="str">
        <f t="shared" ca="1" si="45"/>
        <v>M-14</v>
      </c>
      <c r="F405" s="96" t="str">
        <f t="shared" si="46"/>
        <v>Sun</v>
      </c>
      <c r="G405" s="96">
        <f t="shared" si="47"/>
        <v>0</v>
      </c>
    </row>
    <row r="406" spans="1:7" x14ac:dyDescent="0.3">
      <c r="A406" s="63">
        <f t="shared" si="48"/>
        <v>44235</v>
      </c>
      <c r="B406" s="96">
        <f t="shared" si="42"/>
        <v>2</v>
      </c>
      <c r="C406" s="96">
        <f t="shared" si="43"/>
        <v>2021</v>
      </c>
      <c r="D406" s="96" t="str">
        <f t="shared" si="44"/>
        <v>2021/02</v>
      </c>
      <c r="E406" s="96" t="str">
        <f t="shared" ca="1" si="45"/>
        <v>M-14</v>
      </c>
      <c r="F406" s="96" t="str">
        <f t="shared" si="46"/>
        <v>Mon</v>
      </c>
      <c r="G406" s="96">
        <f t="shared" si="47"/>
        <v>1</v>
      </c>
    </row>
    <row r="407" spans="1:7" x14ac:dyDescent="0.3">
      <c r="A407" s="63">
        <f t="shared" si="48"/>
        <v>44236</v>
      </c>
      <c r="B407" s="96">
        <f t="shared" si="42"/>
        <v>2</v>
      </c>
      <c r="C407" s="96">
        <f t="shared" si="43"/>
        <v>2021</v>
      </c>
      <c r="D407" s="96" t="str">
        <f t="shared" si="44"/>
        <v>2021/02</v>
      </c>
      <c r="E407" s="96" t="str">
        <f t="shared" ca="1" si="45"/>
        <v>M-14</v>
      </c>
      <c r="F407" s="96" t="str">
        <f t="shared" si="46"/>
        <v>Tue</v>
      </c>
      <c r="G407" s="96">
        <f t="shared" si="47"/>
        <v>1</v>
      </c>
    </row>
    <row r="408" spans="1:7" x14ac:dyDescent="0.3">
      <c r="A408" s="63">
        <f t="shared" si="48"/>
        <v>44237</v>
      </c>
      <c r="B408" s="96">
        <f t="shared" si="42"/>
        <v>2</v>
      </c>
      <c r="C408" s="96">
        <f t="shared" si="43"/>
        <v>2021</v>
      </c>
      <c r="D408" s="96" t="str">
        <f t="shared" si="44"/>
        <v>2021/02</v>
      </c>
      <c r="E408" s="96" t="str">
        <f t="shared" ca="1" si="45"/>
        <v>M-14</v>
      </c>
      <c r="F408" s="96" t="str">
        <f t="shared" si="46"/>
        <v>Wed</v>
      </c>
      <c r="G408" s="96">
        <f t="shared" si="47"/>
        <v>1</v>
      </c>
    </row>
    <row r="409" spans="1:7" x14ac:dyDescent="0.3">
      <c r="A409" s="63">
        <f t="shared" si="48"/>
        <v>44238</v>
      </c>
      <c r="B409" s="96">
        <f t="shared" si="42"/>
        <v>2</v>
      </c>
      <c r="C409" s="96">
        <f t="shared" si="43"/>
        <v>2021</v>
      </c>
      <c r="D409" s="96" t="str">
        <f t="shared" si="44"/>
        <v>2021/02</v>
      </c>
      <c r="E409" s="96" t="str">
        <f t="shared" ca="1" si="45"/>
        <v>M-14</v>
      </c>
      <c r="F409" s="96" t="str">
        <f t="shared" si="46"/>
        <v>Thu</v>
      </c>
      <c r="G409" s="96">
        <f t="shared" si="47"/>
        <v>1</v>
      </c>
    </row>
    <row r="410" spans="1:7" x14ac:dyDescent="0.3">
      <c r="A410" s="63">
        <f t="shared" si="48"/>
        <v>44239</v>
      </c>
      <c r="B410" s="96">
        <f t="shared" si="42"/>
        <v>2</v>
      </c>
      <c r="C410" s="96">
        <f t="shared" si="43"/>
        <v>2021</v>
      </c>
      <c r="D410" s="96" t="str">
        <f t="shared" si="44"/>
        <v>2021/02</v>
      </c>
      <c r="E410" s="96" t="str">
        <f t="shared" ca="1" si="45"/>
        <v>M-14</v>
      </c>
      <c r="F410" s="96" t="str">
        <f t="shared" si="46"/>
        <v>Fri</v>
      </c>
      <c r="G410" s="96">
        <f t="shared" si="47"/>
        <v>1</v>
      </c>
    </row>
    <row r="411" spans="1:7" x14ac:dyDescent="0.3">
      <c r="A411" s="63">
        <f t="shared" si="48"/>
        <v>44240</v>
      </c>
      <c r="B411" s="96">
        <f t="shared" si="42"/>
        <v>2</v>
      </c>
      <c r="C411" s="96">
        <f t="shared" si="43"/>
        <v>2021</v>
      </c>
      <c r="D411" s="96" t="str">
        <f t="shared" si="44"/>
        <v>2021/02</v>
      </c>
      <c r="E411" s="96" t="str">
        <f t="shared" ca="1" si="45"/>
        <v>M-14</v>
      </c>
      <c r="F411" s="96" t="str">
        <f t="shared" si="46"/>
        <v>Sat</v>
      </c>
      <c r="G411" s="96">
        <f t="shared" si="47"/>
        <v>0</v>
      </c>
    </row>
    <row r="412" spans="1:7" x14ac:dyDescent="0.3">
      <c r="A412" s="63">
        <f t="shared" si="48"/>
        <v>44241</v>
      </c>
      <c r="B412" s="96">
        <f t="shared" si="42"/>
        <v>2</v>
      </c>
      <c r="C412" s="96">
        <f t="shared" si="43"/>
        <v>2021</v>
      </c>
      <c r="D412" s="96" t="str">
        <f t="shared" si="44"/>
        <v>2021/02</v>
      </c>
      <c r="E412" s="96" t="str">
        <f t="shared" ca="1" si="45"/>
        <v>M-14</v>
      </c>
      <c r="F412" s="96" t="str">
        <f t="shared" si="46"/>
        <v>Sun</v>
      </c>
      <c r="G412" s="96">
        <f t="shared" si="47"/>
        <v>0</v>
      </c>
    </row>
    <row r="413" spans="1:7" x14ac:dyDescent="0.3">
      <c r="A413" s="63">
        <f t="shared" si="48"/>
        <v>44242</v>
      </c>
      <c r="B413" s="96">
        <f t="shared" si="42"/>
        <v>2</v>
      </c>
      <c r="C413" s="96">
        <f t="shared" si="43"/>
        <v>2021</v>
      </c>
      <c r="D413" s="96" t="str">
        <f t="shared" si="44"/>
        <v>2021/02</v>
      </c>
      <c r="E413" s="96" t="str">
        <f t="shared" ca="1" si="45"/>
        <v>M-14</v>
      </c>
      <c r="F413" s="96" t="str">
        <f t="shared" si="46"/>
        <v>Mon</v>
      </c>
      <c r="G413" s="96">
        <f t="shared" si="47"/>
        <v>1</v>
      </c>
    </row>
    <row r="414" spans="1:7" x14ac:dyDescent="0.3">
      <c r="A414" s="63">
        <f t="shared" si="48"/>
        <v>44243</v>
      </c>
      <c r="B414" s="96">
        <f t="shared" si="42"/>
        <v>2</v>
      </c>
      <c r="C414" s="96">
        <f t="shared" si="43"/>
        <v>2021</v>
      </c>
      <c r="D414" s="96" t="str">
        <f t="shared" si="44"/>
        <v>2021/02</v>
      </c>
      <c r="E414" s="96" t="str">
        <f t="shared" ca="1" si="45"/>
        <v>M-14</v>
      </c>
      <c r="F414" s="96" t="str">
        <f t="shared" si="46"/>
        <v>Tue</v>
      </c>
      <c r="G414" s="96">
        <f t="shared" si="47"/>
        <v>1</v>
      </c>
    </row>
    <row r="415" spans="1:7" x14ac:dyDescent="0.3">
      <c r="A415" s="63">
        <f t="shared" si="48"/>
        <v>44244</v>
      </c>
      <c r="B415" s="96">
        <f t="shared" si="42"/>
        <v>2</v>
      </c>
      <c r="C415" s="96">
        <f t="shared" si="43"/>
        <v>2021</v>
      </c>
      <c r="D415" s="96" t="str">
        <f t="shared" si="44"/>
        <v>2021/02</v>
      </c>
      <c r="E415" s="96" t="str">
        <f t="shared" ca="1" si="45"/>
        <v>M-14</v>
      </c>
      <c r="F415" s="96" t="str">
        <f t="shared" si="46"/>
        <v>Wed</v>
      </c>
      <c r="G415" s="96">
        <f t="shared" si="47"/>
        <v>1</v>
      </c>
    </row>
    <row r="416" spans="1:7" x14ac:dyDescent="0.3">
      <c r="A416" s="63">
        <f t="shared" si="48"/>
        <v>44245</v>
      </c>
      <c r="B416" s="96">
        <f t="shared" si="42"/>
        <v>2</v>
      </c>
      <c r="C416" s="96">
        <f t="shared" si="43"/>
        <v>2021</v>
      </c>
      <c r="D416" s="96" t="str">
        <f t="shared" si="44"/>
        <v>2021/02</v>
      </c>
      <c r="E416" s="96" t="str">
        <f t="shared" ca="1" si="45"/>
        <v>M-14</v>
      </c>
      <c r="F416" s="96" t="str">
        <f t="shared" si="46"/>
        <v>Thu</v>
      </c>
      <c r="G416" s="96">
        <f t="shared" si="47"/>
        <v>1</v>
      </c>
    </row>
    <row r="417" spans="1:7" x14ac:dyDescent="0.3">
      <c r="A417" s="63">
        <f t="shared" si="48"/>
        <v>44246</v>
      </c>
      <c r="B417" s="96">
        <f t="shared" si="42"/>
        <v>2</v>
      </c>
      <c r="C417" s="96">
        <f t="shared" si="43"/>
        <v>2021</v>
      </c>
      <c r="D417" s="96" t="str">
        <f t="shared" si="44"/>
        <v>2021/02</v>
      </c>
      <c r="E417" s="96" t="str">
        <f t="shared" ca="1" si="45"/>
        <v>M-14</v>
      </c>
      <c r="F417" s="96" t="str">
        <f t="shared" si="46"/>
        <v>Fri</v>
      </c>
      <c r="G417" s="96">
        <f t="shared" si="47"/>
        <v>1</v>
      </c>
    </row>
    <row r="418" spans="1:7" x14ac:dyDescent="0.3">
      <c r="A418" s="63">
        <f t="shared" si="48"/>
        <v>44247</v>
      </c>
      <c r="B418" s="96">
        <f t="shared" si="42"/>
        <v>2</v>
      </c>
      <c r="C418" s="96">
        <f t="shared" si="43"/>
        <v>2021</v>
      </c>
      <c r="D418" s="96" t="str">
        <f t="shared" si="44"/>
        <v>2021/02</v>
      </c>
      <c r="E418" s="96" t="str">
        <f t="shared" ca="1" si="45"/>
        <v>M-14</v>
      </c>
      <c r="F418" s="96" t="str">
        <f t="shared" si="46"/>
        <v>Sat</v>
      </c>
      <c r="G418" s="96">
        <f t="shared" si="47"/>
        <v>0</v>
      </c>
    </row>
    <row r="419" spans="1:7" x14ac:dyDescent="0.3">
      <c r="A419" s="63">
        <f t="shared" si="48"/>
        <v>44248</v>
      </c>
      <c r="B419" s="96">
        <f t="shared" si="42"/>
        <v>2</v>
      </c>
      <c r="C419" s="96">
        <f t="shared" si="43"/>
        <v>2021</v>
      </c>
      <c r="D419" s="96" t="str">
        <f t="shared" si="44"/>
        <v>2021/02</v>
      </c>
      <c r="E419" s="96" t="str">
        <f t="shared" ca="1" si="45"/>
        <v>M-14</v>
      </c>
      <c r="F419" s="96" t="str">
        <f t="shared" si="46"/>
        <v>Sun</v>
      </c>
      <c r="G419" s="96">
        <f t="shared" si="47"/>
        <v>0</v>
      </c>
    </row>
    <row r="420" spans="1:7" x14ac:dyDescent="0.3">
      <c r="A420" s="63">
        <f t="shared" si="48"/>
        <v>44249</v>
      </c>
      <c r="B420" s="96">
        <f t="shared" si="42"/>
        <v>2</v>
      </c>
      <c r="C420" s="96">
        <f t="shared" si="43"/>
        <v>2021</v>
      </c>
      <c r="D420" s="96" t="str">
        <f t="shared" si="44"/>
        <v>2021/02</v>
      </c>
      <c r="E420" s="96" t="str">
        <f t="shared" ca="1" si="45"/>
        <v>M-14</v>
      </c>
      <c r="F420" s="96" t="str">
        <f t="shared" si="46"/>
        <v>Mon</v>
      </c>
      <c r="G420" s="96">
        <f t="shared" si="47"/>
        <v>1</v>
      </c>
    </row>
    <row r="421" spans="1:7" x14ac:dyDescent="0.3">
      <c r="A421" s="63">
        <f t="shared" si="48"/>
        <v>44250</v>
      </c>
      <c r="B421" s="96">
        <f t="shared" si="42"/>
        <v>2</v>
      </c>
      <c r="C421" s="96">
        <f t="shared" si="43"/>
        <v>2021</v>
      </c>
      <c r="D421" s="96" t="str">
        <f t="shared" si="44"/>
        <v>2021/02</v>
      </c>
      <c r="E421" s="96" t="str">
        <f t="shared" ca="1" si="45"/>
        <v>M-14</v>
      </c>
      <c r="F421" s="96" t="str">
        <f t="shared" si="46"/>
        <v>Tue</v>
      </c>
      <c r="G421" s="96">
        <f t="shared" si="47"/>
        <v>1</v>
      </c>
    </row>
    <row r="422" spans="1:7" x14ac:dyDescent="0.3">
      <c r="A422" s="63">
        <f t="shared" si="48"/>
        <v>44251</v>
      </c>
      <c r="B422" s="96">
        <f t="shared" si="42"/>
        <v>2</v>
      </c>
      <c r="C422" s="96">
        <f t="shared" si="43"/>
        <v>2021</v>
      </c>
      <c r="D422" s="96" t="str">
        <f t="shared" si="44"/>
        <v>2021/02</v>
      </c>
      <c r="E422" s="96" t="str">
        <f t="shared" ca="1" si="45"/>
        <v>M-14</v>
      </c>
      <c r="F422" s="96" t="str">
        <f t="shared" si="46"/>
        <v>Wed</v>
      </c>
      <c r="G422" s="96">
        <f t="shared" si="47"/>
        <v>1</v>
      </c>
    </row>
    <row r="423" spans="1:7" x14ac:dyDescent="0.3">
      <c r="A423" s="63">
        <f t="shared" si="48"/>
        <v>44252</v>
      </c>
      <c r="B423" s="96">
        <f t="shared" si="42"/>
        <v>2</v>
      </c>
      <c r="C423" s="96">
        <f t="shared" si="43"/>
        <v>2021</v>
      </c>
      <c r="D423" s="96" t="str">
        <f t="shared" si="44"/>
        <v>2021/02</v>
      </c>
      <c r="E423" s="96" t="str">
        <f t="shared" ca="1" si="45"/>
        <v>M-14</v>
      </c>
      <c r="F423" s="96" t="str">
        <f t="shared" si="46"/>
        <v>Thu</v>
      </c>
      <c r="G423" s="96">
        <f t="shared" si="47"/>
        <v>1</v>
      </c>
    </row>
    <row r="424" spans="1:7" x14ac:dyDescent="0.3">
      <c r="A424" s="63">
        <f t="shared" si="48"/>
        <v>44253</v>
      </c>
      <c r="B424" s="96">
        <f t="shared" si="42"/>
        <v>2</v>
      </c>
      <c r="C424" s="96">
        <f t="shared" si="43"/>
        <v>2021</v>
      </c>
      <c r="D424" s="96" t="str">
        <f t="shared" si="44"/>
        <v>2021/02</v>
      </c>
      <c r="E424" s="96" t="str">
        <f t="shared" ca="1" si="45"/>
        <v>M-14</v>
      </c>
      <c r="F424" s="96" t="str">
        <f t="shared" si="46"/>
        <v>Fri</v>
      </c>
      <c r="G424" s="96">
        <f t="shared" si="47"/>
        <v>1</v>
      </c>
    </row>
    <row r="425" spans="1:7" x14ac:dyDescent="0.3">
      <c r="A425" s="63">
        <f t="shared" si="48"/>
        <v>44254</v>
      </c>
      <c r="B425" s="96">
        <f t="shared" si="42"/>
        <v>2</v>
      </c>
      <c r="C425" s="96">
        <f t="shared" si="43"/>
        <v>2021</v>
      </c>
      <c r="D425" s="96" t="str">
        <f t="shared" si="44"/>
        <v>2021/02</v>
      </c>
      <c r="E425" s="96" t="str">
        <f t="shared" ca="1" si="45"/>
        <v>M-14</v>
      </c>
      <c r="F425" s="96" t="str">
        <f t="shared" si="46"/>
        <v>Sat</v>
      </c>
      <c r="G425" s="96">
        <f t="shared" si="47"/>
        <v>0</v>
      </c>
    </row>
    <row r="426" spans="1:7" x14ac:dyDescent="0.3">
      <c r="A426" s="63">
        <f t="shared" si="48"/>
        <v>44255</v>
      </c>
      <c r="B426" s="96">
        <f t="shared" si="42"/>
        <v>2</v>
      </c>
      <c r="C426" s="96">
        <f t="shared" si="43"/>
        <v>2021</v>
      </c>
      <c r="D426" s="96" t="str">
        <f t="shared" si="44"/>
        <v>2021/02</v>
      </c>
      <c r="E426" s="96" t="str">
        <f t="shared" ca="1" si="45"/>
        <v>M-14</v>
      </c>
      <c r="F426" s="96" t="str">
        <f t="shared" si="46"/>
        <v>Sun</v>
      </c>
      <c r="G426" s="96">
        <f t="shared" si="47"/>
        <v>0</v>
      </c>
    </row>
    <row r="427" spans="1:7" x14ac:dyDescent="0.3">
      <c r="A427" s="63">
        <f t="shared" si="48"/>
        <v>44256</v>
      </c>
      <c r="B427" s="96">
        <f t="shared" si="42"/>
        <v>3</v>
      </c>
      <c r="C427" s="96">
        <f t="shared" si="43"/>
        <v>2021</v>
      </c>
      <c r="D427" s="96" t="str">
        <f t="shared" si="44"/>
        <v>2021/03</v>
      </c>
      <c r="E427" s="96" t="str">
        <f t="shared" ca="1" si="45"/>
        <v>M-13</v>
      </c>
      <c r="F427" s="96" t="str">
        <f t="shared" si="46"/>
        <v>Mon</v>
      </c>
      <c r="G427" s="96">
        <f t="shared" si="47"/>
        <v>1</v>
      </c>
    </row>
    <row r="428" spans="1:7" x14ac:dyDescent="0.3">
      <c r="A428" s="63">
        <f t="shared" si="48"/>
        <v>44257</v>
      </c>
      <c r="B428" s="96">
        <f t="shared" si="42"/>
        <v>3</v>
      </c>
      <c r="C428" s="96">
        <f t="shared" si="43"/>
        <v>2021</v>
      </c>
      <c r="D428" s="96" t="str">
        <f t="shared" si="44"/>
        <v>2021/03</v>
      </c>
      <c r="E428" s="96" t="str">
        <f t="shared" ca="1" si="45"/>
        <v>M-13</v>
      </c>
      <c r="F428" s="96" t="str">
        <f t="shared" si="46"/>
        <v>Tue</v>
      </c>
      <c r="G428" s="96">
        <f t="shared" si="47"/>
        <v>1</v>
      </c>
    </row>
    <row r="429" spans="1:7" x14ac:dyDescent="0.3">
      <c r="A429" s="63">
        <f t="shared" si="48"/>
        <v>44258</v>
      </c>
      <c r="B429" s="96">
        <f t="shared" si="42"/>
        <v>3</v>
      </c>
      <c r="C429" s="96">
        <f t="shared" si="43"/>
        <v>2021</v>
      </c>
      <c r="D429" s="96" t="str">
        <f t="shared" si="44"/>
        <v>2021/03</v>
      </c>
      <c r="E429" s="96" t="str">
        <f t="shared" ca="1" si="45"/>
        <v>M-13</v>
      </c>
      <c r="F429" s="96" t="str">
        <f t="shared" si="46"/>
        <v>Wed</v>
      </c>
      <c r="G429" s="96">
        <f t="shared" si="47"/>
        <v>1</v>
      </c>
    </row>
    <row r="430" spans="1:7" x14ac:dyDescent="0.3">
      <c r="A430" s="63">
        <f t="shared" si="48"/>
        <v>44259</v>
      </c>
      <c r="B430" s="96">
        <f t="shared" si="42"/>
        <v>3</v>
      </c>
      <c r="C430" s="96">
        <f t="shared" si="43"/>
        <v>2021</v>
      </c>
      <c r="D430" s="96" t="str">
        <f t="shared" si="44"/>
        <v>2021/03</v>
      </c>
      <c r="E430" s="96" t="str">
        <f t="shared" ca="1" si="45"/>
        <v>M-13</v>
      </c>
      <c r="F430" s="96" t="str">
        <f t="shared" si="46"/>
        <v>Thu</v>
      </c>
      <c r="G430" s="96">
        <f t="shared" si="47"/>
        <v>1</v>
      </c>
    </row>
    <row r="431" spans="1:7" x14ac:dyDescent="0.3">
      <c r="A431" s="63">
        <f t="shared" si="48"/>
        <v>44260</v>
      </c>
      <c r="B431" s="96">
        <f t="shared" si="42"/>
        <v>3</v>
      </c>
      <c r="C431" s="96">
        <f t="shared" si="43"/>
        <v>2021</v>
      </c>
      <c r="D431" s="96" t="str">
        <f t="shared" si="44"/>
        <v>2021/03</v>
      </c>
      <c r="E431" s="96" t="str">
        <f t="shared" ca="1" si="45"/>
        <v>M-13</v>
      </c>
      <c r="F431" s="96" t="str">
        <f t="shared" si="46"/>
        <v>Fri</v>
      </c>
      <c r="G431" s="96">
        <f t="shared" si="47"/>
        <v>1</v>
      </c>
    </row>
    <row r="432" spans="1:7" x14ac:dyDescent="0.3">
      <c r="A432" s="63">
        <f t="shared" si="48"/>
        <v>44261</v>
      </c>
      <c r="B432" s="96">
        <f t="shared" si="42"/>
        <v>3</v>
      </c>
      <c r="C432" s="96">
        <f t="shared" si="43"/>
        <v>2021</v>
      </c>
      <c r="D432" s="96" t="str">
        <f t="shared" si="44"/>
        <v>2021/03</v>
      </c>
      <c r="E432" s="96" t="str">
        <f t="shared" ca="1" si="45"/>
        <v>M-13</v>
      </c>
      <c r="F432" s="96" t="str">
        <f t="shared" si="46"/>
        <v>Sat</v>
      </c>
      <c r="G432" s="96">
        <f t="shared" si="47"/>
        <v>0</v>
      </c>
    </row>
    <row r="433" spans="1:7" x14ac:dyDescent="0.3">
      <c r="A433" s="63">
        <f t="shared" si="48"/>
        <v>44262</v>
      </c>
      <c r="B433" s="96">
        <f t="shared" si="42"/>
        <v>3</v>
      </c>
      <c r="C433" s="96">
        <f t="shared" si="43"/>
        <v>2021</v>
      </c>
      <c r="D433" s="96" t="str">
        <f t="shared" si="44"/>
        <v>2021/03</v>
      </c>
      <c r="E433" s="96" t="str">
        <f t="shared" ca="1" si="45"/>
        <v>M-13</v>
      </c>
      <c r="F433" s="96" t="str">
        <f t="shared" si="46"/>
        <v>Sun</v>
      </c>
      <c r="G433" s="96">
        <f t="shared" si="47"/>
        <v>0</v>
      </c>
    </row>
    <row r="434" spans="1:7" x14ac:dyDescent="0.3">
      <c r="A434" s="63">
        <f t="shared" si="48"/>
        <v>44263</v>
      </c>
      <c r="B434" s="96">
        <f t="shared" si="42"/>
        <v>3</v>
      </c>
      <c r="C434" s="96">
        <f t="shared" si="43"/>
        <v>2021</v>
      </c>
      <c r="D434" s="96" t="str">
        <f t="shared" si="44"/>
        <v>2021/03</v>
      </c>
      <c r="E434" s="96" t="str">
        <f t="shared" ca="1" si="45"/>
        <v>M-13</v>
      </c>
      <c r="F434" s="96" t="str">
        <f t="shared" si="46"/>
        <v>Mon</v>
      </c>
      <c r="G434" s="96">
        <f t="shared" si="47"/>
        <v>1</v>
      </c>
    </row>
    <row r="435" spans="1:7" x14ac:dyDescent="0.3">
      <c r="A435" s="63">
        <f t="shared" si="48"/>
        <v>44264</v>
      </c>
      <c r="B435" s="96">
        <f t="shared" si="42"/>
        <v>3</v>
      </c>
      <c r="C435" s="96">
        <f t="shared" si="43"/>
        <v>2021</v>
      </c>
      <c r="D435" s="96" t="str">
        <f t="shared" si="44"/>
        <v>2021/03</v>
      </c>
      <c r="E435" s="96" t="str">
        <f t="shared" ca="1" si="45"/>
        <v>M-13</v>
      </c>
      <c r="F435" s="96" t="str">
        <f t="shared" si="46"/>
        <v>Tue</v>
      </c>
      <c r="G435" s="96">
        <f t="shared" si="47"/>
        <v>1</v>
      </c>
    </row>
    <row r="436" spans="1:7" x14ac:dyDescent="0.3">
      <c r="A436" s="63">
        <f t="shared" si="48"/>
        <v>44265</v>
      </c>
      <c r="B436" s="96">
        <f t="shared" si="42"/>
        <v>3</v>
      </c>
      <c r="C436" s="96">
        <f t="shared" si="43"/>
        <v>2021</v>
      </c>
      <c r="D436" s="96" t="str">
        <f t="shared" si="44"/>
        <v>2021/03</v>
      </c>
      <c r="E436" s="96" t="str">
        <f t="shared" ca="1" si="45"/>
        <v>M-13</v>
      </c>
      <c r="F436" s="96" t="str">
        <f t="shared" si="46"/>
        <v>Wed</v>
      </c>
      <c r="G436" s="96">
        <f t="shared" si="47"/>
        <v>1</v>
      </c>
    </row>
    <row r="437" spans="1:7" x14ac:dyDescent="0.3">
      <c r="A437" s="63">
        <f t="shared" si="48"/>
        <v>44266</v>
      </c>
      <c r="B437" s="96">
        <f t="shared" si="42"/>
        <v>3</v>
      </c>
      <c r="C437" s="96">
        <f t="shared" si="43"/>
        <v>2021</v>
      </c>
      <c r="D437" s="96" t="str">
        <f t="shared" si="44"/>
        <v>2021/03</v>
      </c>
      <c r="E437" s="96" t="str">
        <f t="shared" ca="1" si="45"/>
        <v>M-13</v>
      </c>
      <c r="F437" s="96" t="str">
        <f t="shared" si="46"/>
        <v>Thu</v>
      </c>
      <c r="G437" s="96">
        <f t="shared" si="47"/>
        <v>1</v>
      </c>
    </row>
    <row r="438" spans="1:7" x14ac:dyDescent="0.3">
      <c r="A438" s="63">
        <f t="shared" si="48"/>
        <v>44267</v>
      </c>
      <c r="B438" s="96">
        <f t="shared" si="42"/>
        <v>3</v>
      </c>
      <c r="C438" s="96">
        <f t="shared" si="43"/>
        <v>2021</v>
      </c>
      <c r="D438" s="96" t="str">
        <f t="shared" si="44"/>
        <v>2021/03</v>
      </c>
      <c r="E438" s="96" t="str">
        <f t="shared" ca="1" si="45"/>
        <v>M-13</v>
      </c>
      <c r="F438" s="96" t="str">
        <f t="shared" si="46"/>
        <v>Fri</v>
      </c>
      <c r="G438" s="96">
        <f t="shared" si="47"/>
        <v>1</v>
      </c>
    </row>
    <row r="439" spans="1:7" x14ac:dyDescent="0.3">
      <c r="A439" s="63">
        <f t="shared" si="48"/>
        <v>44268</v>
      </c>
      <c r="B439" s="96">
        <f t="shared" si="42"/>
        <v>3</v>
      </c>
      <c r="C439" s="96">
        <f t="shared" si="43"/>
        <v>2021</v>
      </c>
      <c r="D439" s="96" t="str">
        <f t="shared" si="44"/>
        <v>2021/03</v>
      </c>
      <c r="E439" s="96" t="str">
        <f t="shared" ca="1" si="45"/>
        <v>M-13</v>
      </c>
      <c r="F439" s="96" t="str">
        <f t="shared" si="46"/>
        <v>Sat</v>
      </c>
      <c r="G439" s="96">
        <f t="shared" si="47"/>
        <v>0</v>
      </c>
    </row>
    <row r="440" spans="1:7" x14ac:dyDescent="0.3">
      <c r="A440" s="63">
        <f t="shared" si="48"/>
        <v>44269</v>
      </c>
      <c r="B440" s="96">
        <f t="shared" si="42"/>
        <v>3</v>
      </c>
      <c r="C440" s="96">
        <f t="shared" si="43"/>
        <v>2021</v>
      </c>
      <c r="D440" s="96" t="str">
        <f t="shared" si="44"/>
        <v>2021/03</v>
      </c>
      <c r="E440" s="96" t="str">
        <f t="shared" ca="1" si="45"/>
        <v>M-13</v>
      </c>
      <c r="F440" s="96" t="str">
        <f t="shared" si="46"/>
        <v>Sun</v>
      </c>
      <c r="G440" s="96">
        <f t="shared" si="47"/>
        <v>0</v>
      </c>
    </row>
    <row r="441" spans="1:7" x14ac:dyDescent="0.3">
      <c r="A441" s="63">
        <f t="shared" si="48"/>
        <v>44270</v>
      </c>
      <c r="B441" s="96">
        <f t="shared" si="42"/>
        <v>3</v>
      </c>
      <c r="C441" s="96">
        <f t="shared" si="43"/>
        <v>2021</v>
      </c>
      <c r="D441" s="96" t="str">
        <f t="shared" si="44"/>
        <v>2021/03</v>
      </c>
      <c r="E441" s="96" t="str">
        <f t="shared" ca="1" si="45"/>
        <v>M-13</v>
      </c>
      <c r="F441" s="96" t="str">
        <f t="shared" si="46"/>
        <v>Mon</v>
      </c>
      <c r="G441" s="96">
        <f t="shared" si="47"/>
        <v>1</v>
      </c>
    </row>
    <row r="442" spans="1:7" x14ac:dyDescent="0.3">
      <c r="A442" s="63">
        <f t="shared" si="48"/>
        <v>44271</v>
      </c>
      <c r="B442" s="96">
        <f t="shared" si="42"/>
        <v>3</v>
      </c>
      <c r="C442" s="96">
        <f t="shared" si="43"/>
        <v>2021</v>
      </c>
      <c r="D442" s="96" t="str">
        <f t="shared" si="44"/>
        <v>2021/03</v>
      </c>
      <c r="E442" s="96" t="str">
        <f t="shared" ca="1" si="45"/>
        <v>M-13</v>
      </c>
      <c r="F442" s="96" t="str">
        <f t="shared" si="46"/>
        <v>Tue</v>
      </c>
      <c r="G442" s="96">
        <f t="shared" si="47"/>
        <v>1</v>
      </c>
    </row>
    <row r="443" spans="1:7" x14ac:dyDescent="0.3">
      <c r="A443" s="63">
        <f t="shared" si="48"/>
        <v>44272</v>
      </c>
      <c r="B443" s="96">
        <f t="shared" si="42"/>
        <v>3</v>
      </c>
      <c r="C443" s="96">
        <f t="shared" si="43"/>
        <v>2021</v>
      </c>
      <c r="D443" s="96" t="str">
        <f t="shared" si="44"/>
        <v>2021/03</v>
      </c>
      <c r="E443" s="96" t="str">
        <f t="shared" ca="1" si="45"/>
        <v>M-13</v>
      </c>
      <c r="F443" s="96" t="str">
        <f t="shared" si="46"/>
        <v>Wed</v>
      </c>
      <c r="G443" s="96">
        <f t="shared" si="47"/>
        <v>1</v>
      </c>
    </row>
    <row r="444" spans="1:7" x14ac:dyDescent="0.3">
      <c r="A444" s="63">
        <f t="shared" si="48"/>
        <v>44273</v>
      </c>
      <c r="B444" s="96">
        <f t="shared" si="42"/>
        <v>3</v>
      </c>
      <c r="C444" s="96">
        <f t="shared" si="43"/>
        <v>2021</v>
      </c>
      <c r="D444" s="96" t="str">
        <f t="shared" si="44"/>
        <v>2021/03</v>
      </c>
      <c r="E444" s="96" t="str">
        <f t="shared" ca="1" si="45"/>
        <v>M-13</v>
      </c>
      <c r="F444" s="96" t="str">
        <f t="shared" si="46"/>
        <v>Thu</v>
      </c>
      <c r="G444" s="96">
        <f t="shared" si="47"/>
        <v>1</v>
      </c>
    </row>
    <row r="445" spans="1:7" x14ac:dyDescent="0.3">
      <c r="A445" s="63">
        <f t="shared" si="48"/>
        <v>44274</v>
      </c>
      <c r="B445" s="96">
        <f t="shared" si="42"/>
        <v>3</v>
      </c>
      <c r="C445" s="96">
        <f t="shared" si="43"/>
        <v>2021</v>
      </c>
      <c r="D445" s="96" t="str">
        <f t="shared" si="44"/>
        <v>2021/03</v>
      </c>
      <c r="E445" s="96" t="str">
        <f t="shared" ca="1" si="45"/>
        <v>M-13</v>
      </c>
      <c r="F445" s="96" t="str">
        <f t="shared" si="46"/>
        <v>Fri</v>
      </c>
      <c r="G445" s="96">
        <f t="shared" si="47"/>
        <v>1</v>
      </c>
    </row>
    <row r="446" spans="1:7" x14ac:dyDescent="0.3">
      <c r="A446" s="63">
        <f t="shared" si="48"/>
        <v>44275</v>
      </c>
      <c r="B446" s="96">
        <f t="shared" si="42"/>
        <v>3</v>
      </c>
      <c r="C446" s="96">
        <f t="shared" si="43"/>
        <v>2021</v>
      </c>
      <c r="D446" s="96" t="str">
        <f t="shared" si="44"/>
        <v>2021/03</v>
      </c>
      <c r="E446" s="96" t="str">
        <f t="shared" ca="1" si="45"/>
        <v>M-13</v>
      </c>
      <c r="F446" s="96" t="str">
        <f t="shared" si="46"/>
        <v>Sat</v>
      </c>
      <c r="G446" s="96">
        <f t="shared" si="47"/>
        <v>0</v>
      </c>
    </row>
    <row r="447" spans="1:7" x14ac:dyDescent="0.3">
      <c r="A447" s="63">
        <f t="shared" si="48"/>
        <v>44276</v>
      </c>
      <c r="B447" s="96">
        <f t="shared" si="42"/>
        <v>3</v>
      </c>
      <c r="C447" s="96">
        <f t="shared" si="43"/>
        <v>2021</v>
      </c>
      <c r="D447" s="96" t="str">
        <f t="shared" si="44"/>
        <v>2021/03</v>
      </c>
      <c r="E447" s="96" t="str">
        <f t="shared" ca="1" si="45"/>
        <v>M-13</v>
      </c>
      <c r="F447" s="96" t="str">
        <f t="shared" si="46"/>
        <v>Sun</v>
      </c>
      <c r="G447" s="96">
        <f t="shared" si="47"/>
        <v>0</v>
      </c>
    </row>
    <row r="448" spans="1:7" x14ac:dyDescent="0.3">
      <c r="A448" s="63">
        <f t="shared" si="48"/>
        <v>44277</v>
      </c>
      <c r="B448" s="96">
        <f t="shared" si="42"/>
        <v>3</v>
      </c>
      <c r="C448" s="96">
        <f t="shared" si="43"/>
        <v>2021</v>
      </c>
      <c r="D448" s="96" t="str">
        <f t="shared" si="44"/>
        <v>2021/03</v>
      </c>
      <c r="E448" s="96" t="str">
        <f t="shared" ca="1" si="45"/>
        <v>M-13</v>
      </c>
      <c r="F448" s="96" t="str">
        <f t="shared" si="46"/>
        <v>Mon</v>
      </c>
      <c r="G448" s="96">
        <f t="shared" si="47"/>
        <v>1</v>
      </c>
    </row>
    <row r="449" spans="1:7" x14ac:dyDescent="0.3">
      <c r="A449" s="63">
        <f t="shared" si="48"/>
        <v>44278</v>
      </c>
      <c r="B449" s="96">
        <f t="shared" si="42"/>
        <v>3</v>
      </c>
      <c r="C449" s="96">
        <f t="shared" si="43"/>
        <v>2021</v>
      </c>
      <c r="D449" s="96" t="str">
        <f t="shared" si="44"/>
        <v>2021/03</v>
      </c>
      <c r="E449" s="96" t="str">
        <f t="shared" ca="1" si="45"/>
        <v>M-13</v>
      </c>
      <c r="F449" s="96" t="str">
        <f t="shared" si="46"/>
        <v>Tue</v>
      </c>
      <c r="G449" s="96">
        <f t="shared" si="47"/>
        <v>1</v>
      </c>
    </row>
    <row r="450" spans="1:7" x14ac:dyDescent="0.3">
      <c r="A450" s="63">
        <f t="shared" si="48"/>
        <v>44279</v>
      </c>
      <c r="B450" s="96">
        <f t="shared" si="42"/>
        <v>3</v>
      </c>
      <c r="C450" s="96">
        <f t="shared" si="43"/>
        <v>2021</v>
      </c>
      <c r="D450" s="96" t="str">
        <f t="shared" si="44"/>
        <v>2021/03</v>
      </c>
      <c r="E450" s="96" t="str">
        <f t="shared" ca="1" si="45"/>
        <v>M-13</v>
      </c>
      <c r="F450" s="96" t="str">
        <f t="shared" si="46"/>
        <v>Wed</v>
      </c>
      <c r="G450" s="96">
        <f t="shared" si="47"/>
        <v>1</v>
      </c>
    </row>
    <row r="451" spans="1:7" x14ac:dyDescent="0.3">
      <c r="A451" s="63">
        <f t="shared" si="48"/>
        <v>44280</v>
      </c>
      <c r="B451" s="96">
        <f t="shared" ref="B451:B514" si="49">MONTH(A451)</f>
        <v>3</v>
      </c>
      <c r="C451" s="96">
        <f t="shared" ref="C451:C514" si="50">YEAR(A451)</f>
        <v>2021</v>
      </c>
      <c r="D451" s="96" t="str">
        <f t="shared" ref="D451:D514" si="51">CONCATENATE(C451,"/",TEXT(B451,"00"))</f>
        <v>2021/03</v>
      </c>
      <c r="E451" s="96" t="str">
        <f t="shared" ref="E451:E514" ca="1" si="52">CONCATENATE("M",B451-MONTH(TODAY())+12*(YEAR(TODAY())-C451))</f>
        <v>M-13</v>
      </c>
      <c r="F451" s="96" t="str">
        <f t="shared" ref="F451:F514" si="53">TEXT(A451,"ddd")</f>
        <v>Thu</v>
      </c>
      <c r="G451" s="96">
        <f t="shared" ref="G451:G514" si="54">IF(LEFT(F451,1)="s",0,1)</f>
        <v>1</v>
      </c>
    </row>
    <row r="452" spans="1:7" x14ac:dyDescent="0.3">
      <c r="A452" s="63">
        <f t="shared" ref="A452:A515" si="55">A451+1</f>
        <v>44281</v>
      </c>
      <c r="B452" s="96">
        <f t="shared" si="49"/>
        <v>3</v>
      </c>
      <c r="C452" s="96">
        <f t="shared" si="50"/>
        <v>2021</v>
      </c>
      <c r="D452" s="96" t="str">
        <f t="shared" si="51"/>
        <v>2021/03</v>
      </c>
      <c r="E452" s="96" t="str">
        <f t="shared" ca="1" si="52"/>
        <v>M-13</v>
      </c>
      <c r="F452" s="96" t="str">
        <f t="shared" si="53"/>
        <v>Fri</v>
      </c>
      <c r="G452" s="96">
        <f t="shared" si="54"/>
        <v>1</v>
      </c>
    </row>
    <row r="453" spans="1:7" x14ac:dyDescent="0.3">
      <c r="A453" s="63">
        <f t="shared" si="55"/>
        <v>44282</v>
      </c>
      <c r="B453" s="96">
        <f t="shared" si="49"/>
        <v>3</v>
      </c>
      <c r="C453" s="96">
        <f t="shared" si="50"/>
        <v>2021</v>
      </c>
      <c r="D453" s="96" t="str">
        <f t="shared" si="51"/>
        <v>2021/03</v>
      </c>
      <c r="E453" s="96" t="str">
        <f t="shared" ca="1" si="52"/>
        <v>M-13</v>
      </c>
      <c r="F453" s="96" t="str">
        <f t="shared" si="53"/>
        <v>Sat</v>
      </c>
      <c r="G453" s="96">
        <f t="shared" si="54"/>
        <v>0</v>
      </c>
    </row>
    <row r="454" spans="1:7" x14ac:dyDescent="0.3">
      <c r="A454" s="63">
        <f t="shared" si="55"/>
        <v>44283</v>
      </c>
      <c r="B454" s="96">
        <f t="shared" si="49"/>
        <v>3</v>
      </c>
      <c r="C454" s="96">
        <f t="shared" si="50"/>
        <v>2021</v>
      </c>
      <c r="D454" s="96" t="str">
        <f t="shared" si="51"/>
        <v>2021/03</v>
      </c>
      <c r="E454" s="96" t="str">
        <f t="shared" ca="1" si="52"/>
        <v>M-13</v>
      </c>
      <c r="F454" s="96" t="str">
        <f t="shared" si="53"/>
        <v>Sun</v>
      </c>
      <c r="G454" s="96">
        <f t="shared" si="54"/>
        <v>0</v>
      </c>
    </row>
    <row r="455" spans="1:7" x14ac:dyDescent="0.3">
      <c r="A455" s="63">
        <f t="shared" si="55"/>
        <v>44284</v>
      </c>
      <c r="B455" s="96">
        <f t="shared" si="49"/>
        <v>3</v>
      </c>
      <c r="C455" s="96">
        <f t="shared" si="50"/>
        <v>2021</v>
      </c>
      <c r="D455" s="96" t="str">
        <f t="shared" si="51"/>
        <v>2021/03</v>
      </c>
      <c r="E455" s="96" t="str">
        <f t="shared" ca="1" si="52"/>
        <v>M-13</v>
      </c>
      <c r="F455" s="96" t="str">
        <f t="shared" si="53"/>
        <v>Mon</v>
      </c>
      <c r="G455" s="96">
        <f t="shared" si="54"/>
        <v>1</v>
      </c>
    </row>
    <row r="456" spans="1:7" x14ac:dyDescent="0.3">
      <c r="A456" s="63">
        <f t="shared" si="55"/>
        <v>44285</v>
      </c>
      <c r="B456" s="96">
        <f t="shared" si="49"/>
        <v>3</v>
      </c>
      <c r="C456" s="96">
        <f t="shared" si="50"/>
        <v>2021</v>
      </c>
      <c r="D456" s="96" t="str">
        <f t="shared" si="51"/>
        <v>2021/03</v>
      </c>
      <c r="E456" s="96" t="str">
        <f t="shared" ca="1" si="52"/>
        <v>M-13</v>
      </c>
      <c r="F456" s="96" t="str">
        <f t="shared" si="53"/>
        <v>Tue</v>
      </c>
      <c r="G456" s="96">
        <f t="shared" si="54"/>
        <v>1</v>
      </c>
    </row>
    <row r="457" spans="1:7" x14ac:dyDescent="0.3">
      <c r="A457" s="63">
        <f t="shared" si="55"/>
        <v>44286</v>
      </c>
      <c r="B457" s="96">
        <f t="shared" si="49"/>
        <v>3</v>
      </c>
      <c r="C457" s="96">
        <f t="shared" si="50"/>
        <v>2021</v>
      </c>
      <c r="D457" s="96" t="str">
        <f t="shared" si="51"/>
        <v>2021/03</v>
      </c>
      <c r="E457" s="96" t="str">
        <f t="shared" ca="1" si="52"/>
        <v>M-13</v>
      </c>
      <c r="F457" s="96" t="str">
        <f t="shared" si="53"/>
        <v>Wed</v>
      </c>
      <c r="G457" s="96">
        <f t="shared" si="54"/>
        <v>1</v>
      </c>
    </row>
    <row r="458" spans="1:7" x14ac:dyDescent="0.3">
      <c r="A458" s="63">
        <f t="shared" si="55"/>
        <v>44287</v>
      </c>
      <c r="B458" s="96">
        <f t="shared" si="49"/>
        <v>4</v>
      </c>
      <c r="C458" s="96">
        <f t="shared" si="50"/>
        <v>2021</v>
      </c>
      <c r="D458" s="96" t="str">
        <f t="shared" si="51"/>
        <v>2021/04</v>
      </c>
      <c r="E458" s="96" t="str">
        <f t="shared" ca="1" si="52"/>
        <v>M-12</v>
      </c>
      <c r="F458" s="96" t="str">
        <f t="shared" si="53"/>
        <v>Thu</v>
      </c>
      <c r="G458" s="96">
        <f t="shared" si="54"/>
        <v>1</v>
      </c>
    </row>
    <row r="459" spans="1:7" x14ac:dyDescent="0.3">
      <c r="A459" s="63">
        <f t="shared" si="55"/>
        <v>44288</v>
      </c>
      <c r="B459" s="96">
        <f t="shared" si="49"/>
        <v>4</v>
      </c>
      <c r="C459" s="96">
        <f t="shared" si="50"/>
        <v>2021</v>
      </c>
      <c r="D459" s="96" t="str">
        <f t="shared" si="51"/>
        <v>2021/04</v>
      </c>
      <c r="E459" s="96" t="str">
        <f t="shared" ca="1" si="52"/>
        <v>M-12</v>
      </c>
      <c r="F459" s="96" t="str">
        <f t="shared" si="53"/>
        <v>Fri</v>
      </c>
      <c r="G459" s="96">
        <f t="shared" si="54"/>
        <v>1</v>
      </c>
    </row>
    <row r="460" spans="1:7" x14ac:dyDescent="0.3">
      <c r="A460" s="63">
        <f t="shared" si="55"/>
        <v>44289</v>
      </c>
      <c r="B460" s="96">
        <f t="shared" si="49"/>
        <v>4</v>
      </c>
      <c r="C460" s="96">
        <f t="shared" si="50"/>
        <v>2021</v>
      </c>
      <c r="D460" s="96" t="str">
        <f t="shared" si="51"/>
        <v>2021/04</v>
      </c>
      <c r="E460" s="96" t="str">
        <f t="shared" ca="1" si="52"/>
        <v>M-12</v>
      </c>
      <c r="F460" s="96" t="str">
        <f t="shared" si="53"/>
        <v>Sat</v>
      </c>
      <c r="G460" s="96">
        <f t="shared" si="54"/>
        <v>0</v>
      </c>
    </row>
    <row r="461" spans="1:7" x14ac:dyDescent="0.3">
      <c r="A461" s="63">
        <f t="shared" si="55"/>
        <v>44290</v>
      </c>
      <c r="B461" s="96">
        <f t="shared" si="49"/>
        <v>4</v>
      </c>
      <c r="C461" s="96">
        <f t="shared" si="50"/>
        <v>2021</v>
      </c>
      <c r="D461" s="96" t="str">
        <f t="shared" si="51"/>
        <v>2021/04</v>
      </c>
      <c r="E461" s="96" t="str">
        <f t="shared" ca="1" si="52"/>
        <v>M-12</v>
      </c>
      <c r="F461" s="96" t="str">
        <f t="shared" si="53"/>
        <v>Sun</v>
      </c>
      <c r="G461" s="96">
        <f t="shared" si="54"/>
        <v>0</v>
      </c>
    </row>
    <row r="462" spans="1:7" x14ac:dyDescent="0.3">
      <c r="A462" s="63">
        <f t="shared" si="55"/>
        <v>44291</v>
      </c>
      <c r="B462" s="96">
        <f t="shared" si="49"/>
        <v>4</v>
      </c>
      <c r="C462" s="96">
        <f t="shared" si="50"/>
        <v>2021</v>
      </c>
      <c r="D462" s="96" t="str">
        <f t="shared" si="51"/>
        <v>2021/04</v>
      </c>
      <c r="E462" s="96" t="str">
        <f t="shared" ca="1" si="52"/>
        <v>M-12</v>
      </c>
      <c r="F462" s="96" t="str">
        <f t="shared" si="53"/>
        <v>Mon</v>
      </c>
      <c r="G462" s="96">
        <f t="shared" si="54"/>
        <v>1</v>
      </c>
    </row>
    <row r="463" spans="1:7" x14ac:dyDescent="0.3">
      <c r="A463" s="63">
        <f t="shared" si="55"/>
        <v>44292</v>
      </c>
      <c r="B463" s="96">
        <f t="shared" si="49"/>
        <v>4</v>
      </c>
      <c r="C463" s="96">
        <f t="shared" si="50"/>
        <v>2021</v>
      </c>
      <c r="D463" s="96" t="str">
        <f t="shared" si="51"/>
        <v>2021/04</v>
      </c>
      <c r="E463" s="96" t="str">
        <f t="shared" ca="1" si="52"/>
        <v>M-12</v>
      </c>
      <c r="F463" s="96" t="str">
        <f t="shared" si="53"/>
        <v>Tue</v>
      </c>
      <c r="G463" s="96">
        <f t="shared" si="54"/>
        <v>1</v>
      </c>
    </row>
    <row r="464" spans="1:7" x14ac:dyDescent="0.3">
      <c r="A464" s="63">
        <f t="shared" si="55"/>
        <v>44293</v>
      </c>
      <c r="B464" s="96">
        <f t="shared" si="49"/>
        <v>4</v>
      </c>
      <c r="C464" s="96">
        <f t="shared" si="50"/>
        <v>2021</v>
      </c>
      <c r="D464" s="96" t="str">
        <f t="shared" si="51"/>
        <v>2021/04</v>
      </c>
      <c r="E464" s="96" t="str">
        <f t="shared" ca="1" si="52"/>
        <v>M-12</v>
      </c>
      <c r="F464" s="96" t="str">
        <f t="shared" si="53"/>
        <v>Wed</v>
      </c>
      <c r="G464" s="96">
        <f t="shared" si="54"/>
        <v>1</v>
      </c>
    </row>
    <row r="465" spans="1:7" x14ac:dyDescent="0.3">
      <c r="A465" s="63">
        <f t="shared" si="55"/>
        <v>44294</v>
      </c>
      <c r="B465" s="96">
        <f t="shared" si="49"/>
        <v>4</v>
      </c>
      <c r="C465" s="96">
        <f t="shared" si="50"/>
        <v>2021</v>
      </c>
      <c r="D465" s="96" t="str">
        <f t="shared" si="51"/>
        <v>2021/04</v>
      </c>
      <c r="E465" s="96" t="str">
        <f t="shared" ca="1" si="52"/>
        <v>M-12</v>
      </c>
      <c r="F465" s="96" t="str">
        <f t="shared" si="53"/>
        <v>Thu</v>
      </c>
      <c r="G465" s="96">
        <f t="shared" si="54"/>
        <v>1</v>
      </c>
    </row>
    <row r="466" spans="1:7" x14ac:dyDescent="0.3">
      <c r="A466" s="63">
        <f t="shared" si="55"/>
        <v>44295</v>
      </c>
      <c r="B466" s="96">
        <f t="shared" si="49"/>
        <v>4</v>
      </c>
      <c r="C466" s="96">
        <f t="shared" si="50"/>
        <v>2021</v>
      </c>
      <c r="D466" s="96" t="str">
        <f t="shared" si="51"/>
        <v>2021/04</v>
      </c>
      <c r="E466" s="96" t="str">
        <f t="shared" ca="1" si="52"/>
        <v>M-12</v>
      </c>
      <c r="F466" s="96" t="str">
        <f t="shared" si="53"/>
        <v>Fri</v>
      </c>
      <c r="G466" s="96">
        <f t="shared" si="54"/>
        <v>1</v>
      </c>
    </row>
    <row r="467" spans="1:7" x14ac:dyDescent="0.3">
      <c r="A467" s="63">
        <f t="shared" si="55"/>
        <v>44296</v>
      </c>
      <c r="B467" s="96">
        <f t="shared" si="49"/>
        <v>4</v>
      </c>
      <c r="C467" s="96">
        <f t="shared" si="50"/>
        <v>2021</v>
      </c>
      <c r="D467" s="96" t="str">
        <f t="shared" si="51"/>
        <v>2021/04</v>
      </c>
      <c r="E467" s="96" t="str">
        <f t="shared" ca="1" si="52"/>
        <v>M-12</v>
      </c>
      <c r="F467" s="96" t="str">
        <f t="shared" si="53"/>
        <v>Sat</v>
      </c>
      <c r="G467" s="96">
        <f t="shared" si="54"/>
        <v>0</v>
      </c>
    </row>
    <row r="468" spans="1:7" x14ac:dyDescent="0.3">
      <c r="A468" s="63">
        <f t="shared" si="55"/>
        <v>44297</v>
      </c>
      <c r="B468" s="96">
        <f t="shared" si="49"/>
        <v>4</v>
      </c>
      <c r="C468" s="96">
        <f t="shared" si="50"/>
        <v>2021</v>
      </c>
      <c r="D468" s="96" t="str">
        <f t="shared" si="51"/>
        <v>2021/04</v>
      </c>
      <c r="E468" s="96" t="str">
        <f t="shared" ca="1" si="52"/>
        <v>M-12</v>
      </c>
      <c r="F468" s="96" t="str">
        <f t="shared" si="53"/>
        <v>Sun</v>
      </c>
      <c r="G468" s="96">
        <f t="shared" si="54"/>
        <v>0</v>
      </c>
    </row>
    <row r="469" spans="1:7" x14ac:dyDescent="0.3">
      <c r="A469" s="63">
        <f t="shared" si="55"/>
        <v>44298</v>
      </c>
      <c r="B469" s="96">
        <f t="shared" si="49"/>
        <v>4</v>
      </c>
      <c r="C469" s="96">
        <f t="shared" si="50"/>
        <v>2021</v>
      </c>
      <c r="D469" s="96" t="str">
        <f t="shared" si="51"/>
        <v>2021/04</v>
      </c>
      <c r="E469" s="96" t="str">
        <f t="shared" ca="1" si="52"/>
        <v>M-12</v>
      </c>
      <c r="F469" s="96" t="str">
        <f t="shared" si="53"/>
        <v>Mon</v>
      </c>
      <c r="G469" s="96">
        <f t="shared" si="54"/>
        <v>1</v>
      </c>
    </row>
    <row r="470" spans="1:7" x14ac:dyDescent="0.3">
      <c r="A470" s="63">
        <f t="shared" si="55"/>
        <v>44299</v>
      </c>
      <c r="B470" s="96">
        <f t="shared" si="49"/>
        <v>4</v>
      </c>
      <c r="C470" s="96">
        <f t="shared" si="50"/>
        <v>2021</v>
      </c>
      <c r="D470" s="96" t="str">
        <f t="shared" si="51"/>
        <v>2021/04</v>
      </c>
      <c r="E470" s="96" t="str">
        <f t="shared" ca="1" si="52"/>
        <v>M-12</v>
      </c>
      <c r="F470" s="96" t="str">
        <f t="shared" si="53"/>
        <v>Tue</v>
      </c>
      <c r="G470" s="96">
        <f t="shared" si="54"/>
        <v>1</v>
      </c>
    </row>
    <row r="471" spans="1:7" x14ac:dyDescent="0.3">
      <c r="A471" s="63">
        <f t="shared" si="55"/>
        <v>44300</v>
      </c>
      <c r="B471" s="96">
        <f t="shared" si="49"/>
        <v>4</v>
      </c>
      <c r="C471" s="96">
        <f t="shared" si="50"/>
        <v>2021</v>
      </c>
      <c r="D471" s="96" t="str">
        <f t="shared" si="51"/>
        <v>2021/04</v>
      </c>
      <c r="E471" s="96" t="str">
        <f t="shared" ca="1" si="52"/>
        <v>M-12</v>
      </c>
      <c r="F471" s="96" t="str">
        <f t="shared" si="53"/>
        <v>Wed</v>
      </c>
      <c r="G471" s="96">
        <f t="shared" si="54"/>
        <v>1</v>
      </c>
    </row>
    <row r="472" spans="1:7" x14ac:dyDescent="0.3">
      <c r="A472" s="63">
        <f t="shared" si="55"/>
        <v>44301</v>
      </c>
      <c r="B472" s="96">
        <f t="shared" si="49"/>
        <v>4</v>
      </c>
      <c r="C472" s="96">
        <f t="shared" si="50"/>
        <v>2021</v>
      </c>
      <c r="D472" s="96" t="str">
        <f t="shared" si="51"/>
        <v>2021/04</v>
      </c>
      <c r="E472" s="96" t="str">
        <f t="shared" ca="1" si="52"/>
        <v>M-12</v>
      </c>
      <c r="F472" s="96" t="str">
        <f t="shared" si="53"/>
        <v>Thu</v>
      </c>
      <c r="G472" s="96">
        <f t="shared" si="54"/>
        <v>1</v>
      </c>
    </row>
    <row r="473" spans="1:7" x14ac:dyDescent="0.3">
      <c r="A473" s="63">
        <f t="shared" si="55"/>
        <v>44302</v>
      </c>
      <c r="B473" s="96">
        <f t="shared" si="49"/>
        <v>4</v>
      </c>
      <c r="C473" s="96">
        <f t="shared" si="50"/>
        <v>2021</v>
      </c>
      <c r="D473" s="96" t="str">
        <f t="shared" si="51"/>
        <v>2021/04</v>
      </c>
      <c r="E473" s="96" t="str">
        <f t="shared" ca="1" si="52"/>
        <v>M-12</v>
      </c>
      <c r="F473" s="96" t="str">
        <f t="shared" si="53"/>
        <v>Fri</v>
      </c>
      <c r="G473" s="96">
        <f t="shared" si="54"/>
        <v>1</v>
      </c>
    </row>
    <row r="474" spans="1:7" x14ac:dyDescent="0.3">
      <c r="A474" s="63">
        <f t="shared" si="55"/>
        <v>44303</v>
      </c>
      <c r="B474" s="96">
        <f t="shared" si="49"/>
        <v>4</v>
      </c>
      <c r="C474" s="96">
        <f t="shared" si="50"/>
        <v>2021</v>
      </c>
      <c r="D474" s="96" t="str">
        <f t="shared" si="51"/>
        <v>2021/04</v>
      </c>
      <c r="E474" s="96" t="str">
        <f t="shared" ca="1" si="52"/>
        <v>M-12</v>
      </c>
      <c r="F474" s="96" t="str">
        <f t="shared" si="53"/>
        <v>Sat</v>
      </c>
      <c r="G474" s="96">
        <f t="shared" si="54"/>
        <v>0</v>
      </c>
    </row>
    <row r="475" spans="1:7" x14ac:dyDescent="0.3">
      <c r="A475" s="63">
        <f t="shared" si="55"/>
        <v>44304</v>
      </c>
      <c r="B475" s="96">
        <f t="shared" si="49"/>
        <v>4</v>
      </c>
      <c r="C475" s="96">
        <f t="shared" si="50"/>
        <v>2021</v>
      </c>
      <c r="D475" s="96" t="str">
        <f t="shared" si="51"/>
        <v>2021/04</v>
      </c>
      <c r="E475" s="96" t="str">
        <f t="shared" ca="1" si="52"/>
        <v>M-12</v>
      </c>
      <c r="F475" s="96" t="str">
        <f t="shared" si="53"/>
        <v>Sun</v>
      </c>
      <c r="G475" s="96">
        <f t="shared" si="54"/>
        <v>0</v>
      </c>
    </row>
    <row r="476" spans="1:7" x14ac:dyDescent="0.3">
      <c r="A476" s="63">
        <f t="shared" si="55"/>
        <v>44305</v>
      </c>
      <c r="B476" s="96">
        <f t="shared" si="49"/>
        <v>4</v>
      </c>
      <c r="C476" s="96">
        <f t="shared" si="50"/>
        <v>2021</v>
      </c>
      <c r="D476" s="96" t="str">
        <f t="shared" si="51"/>
        <v>2021/04</v>
      </c>
      <c r="E476" s="96" t="str">
        <f t="shared" ca="1" si="52"/>
        <v>M-12</v>
      </c>
      <c r="F476" s="96" t="str">
        <f t="shared" si="53"/>
        <v>Mon</v>
      </c>
      <c r="G476" s="96">
        <f t="shared" si="54"/>
        <v>1</v>
      </c>
    </row>
    <row r="477" spans="1:7" x14ac:dyDescent="0.3">
      <c r="A477" s="63">
        <f t="shared" si="55"/>
        <v>44306</v>
      </c>
      <c r="B477" s="96">
        <f t="shared" si="49"/>
        <v>4</v>
      </c>
      <c r="C477" s="96">
        <f t="shared" si="50"/>
        <v>2021</v>
      </c>
      <c r="D477" s="96" t="str">
        <f t="shared" si="51"/>
        <v>2021/04</v>
      </c>
      <c r="E477" s="96" t="str">
        <f t="shared" ca="1" si="52"/>
        <v>M-12</v>
      </c>
      <c r="F477" s="96" t="str">
        <f t="shared" si="53"/>
        <v>Tue</v>
      </c>
      <c r="G477" s="96">
        <f t="shared" si="54"/>
        <v>1</v>
      </c>
    </row>
    <row r="478" spans="1:7" x14ac:dyDescent="0.3">
      <c r="A478" s="63">
        <f t="shared" si="55"/>
        <v>44307</v>
      </c>
      <c r="B478" s="96">
        <f t="shared" si="49"/>
        <v>4</v>
      </c>
      <c r="C478" s="96">
        <f t="shared" si="50"/>
        <v>2021</v>
      </c>
      <c r="D478" s="96" t="str">
        <f t="shared" si="51"/>
        <v>2021/04</v>
      </c>
      <c r="E478" s="96" t="str">
        <f t="shared" ca="1" si="52"/>
        <v>M-12</v>
      </c>
      <c r="F478" s="96" t="str">
        <f t="shared" si="53"/>
        <v>Wed</v>
      </c>
      <c r="G478" s="96">
        <f t="shared" si="54"/>
        <v>1</v>
      </c>
    </row>
    <row r="479" spans="1:7" x14ac:dyDescent="0.3">
      <c r="A479" s="63">
        <f t="shared" si="55"/>
        <v>44308</v>
      </c>
      <c r="B479" s="96">
        <f t="shared" si="49"/>
        <v>4</v>
      </c>
      <c r="C479" s="96">
        <f t="shared" si="50"/>
        <v>2021</v>
      </c>
      <c r="D479" s="96" t="str">
        <f t="shared" si="51"/>
        <v>2021/04</v>
      </c>
      <c r="E479" s="96" t="str">
        <f t="shared" ca="1" si="52"/>
        <v>M-12</v>
      </c>
      <c r="F479" s="96" t="str">
        <f t="shared" si="53"/>
        <v>Thu</v>
      </c>
      <c r="G479" s="96">
        <f t="shared" si="54"/>
        <v>1</v>
      </c>
    </row>
    <row r="480" spans="1:7" x14ac:dyDescent="0.3">
      <c r="A480" s="63">
        <f t="shared" si="55"/>
        <v>44309</v>
      </c>
      <c r="B480" s="96">
        <f t="shared" si="49"/>
        <v>4</v>
      </c>
      <c r="C480" s="96">
        <f t="shared" si="50"/>
        <v>2021</v>
      </c>
      <c r="D480" s="96" t="str">
        <f t="shared" si="51"/>
        <v>2021/04</v>
      </c>
      <c r="E480" s="96" t="str">
        <f t="shared" ca="1" si="52"/>
        <v>M-12</v>
      </c>
      <c r="F480" s="96" t="str">
        <f t="shared" si="53"/>
        <v>Fri</v>
      </c>
      <c r="G480" s="96">
        <f t="shared" si="54"/>
        <v>1</v>
      </c>
    </row>
    <row r="481" spans="1:7" x14ac:dyDescent="0.3">
      <c r="A481" s="63">
        <f t="shared" si="55"/>
        <v>44310</v>
      </c>
      <c r="B481" s="96">
        <f t="shared" si="49"/>
        <v>4</v>
      </c>
      <c r="C481" s="96">
        <f t="shared" si="50"/>
        <v>2021</v>
      </c>
      <c r="D481" s="96" t="str">
        <f t="shared" si="51"/>
        <v>2021/04</v>
      </c>
      <c r="E481" s="96" t="str">
        <f t="shared" ca="1" si="52"/>
        <v>M-12</v>
      </c>
      <c r="F481" s="96" t="str">
        <f t="shared" si="53"/>
        <v>Sat</v>
      </c>
      <c r="G481" s="96">
        <f t="shared" si="54"/>
        <v>0</v>
      </c>
    </row>
    <row r="482" spans="1:7" x14ac:dyDescent="0.3">
      <c r="A482" s="63">
        <f t="shared" si="55"/>
        <v>44311</v>
      </c>
      <c r="B482" s="96">
        <f t="shared" si="49"/>
        <v>4</v>
      </c>
      <c r="C482" s="96">
        <f t="shared" si="50"/>
        <v>2021</v>
      </c>
      <c r="D482" s="96" t="str">
        <f t="shared" si="51"/>
        <v>2021/04</v>
      </c>
      <c r="E482" s="96" t="str">
        <f t="shared" ca="1" si="52"/>
        <v>M-12</v>
      </c>
      <c r="F482" s="96" t="str">
        <f t="shared" si="53"/>
        <v>Sun</v>
      </c>
      <c r="G482" s="96">
        <f t="shared" si="54"/>
        <v>0</v>
      </c>
    </row>
    <row r="483" spans="1:7" x14ac:dyDescent="0.3">
      <c r="A483" s="63">
        <f t="shared" si="55"/>
        <v>44312</v>
      </c>
      <c r="B483" s="96">
        <f t="shared" si="49"/>
        <v>4</v>
      </c>
      <c r="C483" s="96">
        <f t="shared" si="50"/>
        <v>2021</v>
      </c>
      <c r="D483" s="96" t="str">
        <f t="shared" si="51"/>
        <v>2021/04</v>
      </c>
      <c r="E483" s="96" t="str">
        <f t="shared" ca="1" si="52"/>
        <v>M-12</v>
      </c>
      <c r="F483" s="96" t="str">
        <f t="shared" si="53"/>
        <v>Mon</v>
      </c>
      <c r="G483" s="96">
        <f t="shared" si="54"/>
        <v>1</v>
      </c>
    </row>
    <row r="484" spans="1:7" x14ac:dyDescent="0.3">
      <c r="A484" s="63">
        <f t="shared" si="55"/>
        <v>44313</v>
      </c>
      <c r="B484" s="96">
        <f t="shared" si="49"/>
        <v>4</v>
      </c>
      <c r="C484" s="96">
        <f t="shared" si="50"/>
        <v>2021</v>
      </c>
      <c r="D484" s="96" t="str">
        <f t="shared" si="51"/>
        <v>2021/04</v>
      </c>
      <c r="E484" s="96" t="str">
        <f t="shared" ca="1" si="52"/>
        <v>M-12</v>
      </c>
      <c r="F484" s="96" t="str">
        <f t="shared" si="53"/>
        <v>Tue</v>
      </c>
      <c r="G484" s="96">
        <f t="shared" si="54"/>
        <v>1</v>
      </c>
    </row>
    <row r="485" spans="1:7" x14ac:dyDescent="0.3">
      <c r="A485" s="63">
        <f t="shared" si="55"/>
        <v>44314</v>
      </c>
      <c r="B485" s="96">
        <f t="shared" si="49"/>
        <v>4</v>
      </c>
      <c r="C485" s="96">
        <f t="shared" si="50"/>
        <v>2021</v>
      </c>
      <c r="D485" s="96" t="str">
        <f t="shared" si="51"/>
        <v>2021/04</v>
      </c>
      <c r="E485" s="96" t="str">
        <f t="shared" ca="1" si="52"/>
        <v>M-12</v>
      </c>
      <c r="F485" s="96" t="str">
        <f t="shared" si="53"/>
        <v>Wed</v>
      </c>
      <c r="G485" s="96">
        <f t="shared" si="54"/>
        <v>1</v>
      </c>
    </row>
    <row r="486" spans="1:7" x14ac:dyDescent="0.3">
      <c r="A486" s="63">
        <f t="shared" si="55"/>
        <v>44315</v>
      </c>
      <c r="B486" s="96">
        <f t="shared" si="49"/>
        <v>4</v>
      </c>
      <c r="C486" s="96">
        <f t="shared" si="50"/>
        <v>2021</v>
      </c>
      <c r="D486" s="96" t="str">
        <f t="shared" si="51"/>
        <v>2021/04</v>
      </c>
      <c r="E486" s="96" t="str">
        <f t="shared" ca="1" si="52"/>
        <v>M-12</v>
      </c>
      <c r="F486" s="96" t="str">
        <f t="shared" si="53"/>
        <v>Thu</v>
      </c>
      <c r="G486" s="96">
        <f t="shared" si="54"/>
        <v>1</v>
      </c>
    </row>
    <row r="487" spans="1:7" x14ac:dyDescent="0.3">
      <c r="A487" s="63">
        <f t="shared" si="55"/>
        <v>44316</v>
      </c>
      <c r="B487" s="96">
        <f t="shared" si="49"/>
        <v>4</v>
      </c>
      <c r="C487" s="96">
        <f t="shared" si="50"/>
        <v>2021</v>
      </c>
      <c r="D487" s="96" t="str">
        <f t="shared" si="51"/>
        <v>2021/04</v>
      </c>
      <c r="E487" s="96" t="str">
        <f t="shared" ca="1" si="52"/>
        <v>M-12</v>
      </c>
      <c r="F487" s="96" t="str">
        <f t="shared" si="53"/>
        <v>Fri</v>
      </c>
      <c r="G487" s="96">
        <f t="shared" si="54"/>
        <v>1</v>
      </c>
    </row>
    <row r="488" spans="1:7" x14ac:dyDescent="0.3">
      <c r="A488" s="63">
        <f t="shared" si="55"/>
        <v>44317</v>
      </c>
      <c r="B488" s="96">
        <f t="shared" si="49"/>
        <v>5</v>
      </c>
      <c r="C488" s="96">
        <f t="shared" si="50"/>
        <v>2021</v>
      </c>
      <c r="D488" s="96" t="str">
        <f t="shared" si="51"/>
        <v>2021/05</v>
      </c>
      <c r="E488" s="96" t="str">
        <f t="shared" ca="1" si="52"/>
        <v>M-11</v>
      </c>
      <c r="F488" s="96" t="str">
        <f t="shared" si="53"/>
        <v>Sat</v>
      </c>
      <c r="G488" s="96">
        <f t="shared" si="54"/>
        <v>0</v>
      </c>
    </row>
    <row r="489" spans="1:7" x14ac:dyDescent="0.3">
      <c r="A489" s="63">
        <f t="shared" si="55"/>
        <v>44318</v>
      </c>
      <c r="B489" s="96">
        <f t="shared" si="49"/>
        <v>5</v>
      </c>
      <c r="C489" s="96">
        <f t="shared" si="50"/>
        <v>2021</v>
      </c>
      <c r="D489" s="96" t="str">
        <f t="shared" si="51"/>
        <v>2021/05</v>
      </c>
      <c r="E489" s="96" t="str">
        <f t="shared" ca="1" si="52"/>
        <v>M-11</v>
      </c>
      <c r="F489" s="96" t="str">
        <f t="shared" si="53"/>
        <v>Sun</v>
      </c>
      <c r="G489" s="96">
        <f t="shared" si="54"/>
        <v>0</v>
      </c>
    </row>
    <row r="490" spans="1:7" x14ac:dyDescent="0.3">
      <c r="A490" s="63">
        <f t="shared" si="55"/>
        <v>44319</v>
      </c>
      <c r="B490" s="96">
        <f t="shared" si="49"/>
        <v>5</v>
      </c>
      <c r="C490" s="96">
        <f t="shared" si="50"/>
        <v>2021</v>
      </c>
      <c r="D490" s="96" t="str">
        <f t="shared" si="51"/>
        <v>2021/05</v>
      </c>
      <c r="E490" s="96" t="str">
        <f t="shared" ca="1" si="52"/>
        <v>M-11</v>
      </c>
      <c r="F490" s="96" t="str">
        <f t="shared" si="53"/>
        <v>Mon</v>
      </c>
      <c r="G490" s="96">
        <f t="shared" si="54"/>
        <v>1</v>
      </c>
    </row>
    <row r="491" spans="1:7" x14ac:dyDescent="0.3">
      <c r="A491" s="63">
        <f t="shared" si="55"/>
        <v>44320</v>
      </c>
      <c r="B491" s="96">
        <f t="shared" si="49"/>
        <v>5</v>
      </c>
      <c r="C491" s="96">
        <f t="shared" si="50"/>
        <v>2021</v>
      </c>
      <c r="D491" s="96" t="str">
        <f t="shared" si="51"/>
        <v>2021/05</v>
      </c>
      <c r="E491" s="96" t="str">
        <f t="shared" ca="1" si="52"/>
        <v>M-11</v>
      </c>
      <c r="F491" s="96" t="str">
        <f t="shared" si="53"/>
        <v>Tue</v>
      </c>
      <c r="G491" s="96">
        <f t="shared" si="54"/>
        <v>1</v>
      </c>
    </row>
    <row r="492" spans="1:7" x14ac:dyDescent="0.3">
      <c r="A492" s="63">
        <f t="shared" si="55"/>
        <v>44321</v>
      </c>
      <c r="B492" s="96">
        <f t="shared" si="49"/>
        <v>5</v>
      </c>
      <c r="C492" s="96">
        <f t="shared" si="50"/>
        <v>2021</v>
      </c>
      <c r="D492" s="96" t="str">
        <f t="shared" si="51"/>
        <v>2021/05</v>
      </c>
      <c r="E492" s="96" t="str">
        <f t="shared" ca="1" si="52"/>
        <v>M-11</v>
      </c>
      <c r="F492" s="96" t="str">
        <f t="shared" si="53"/>
        <v>Wed</v>
      </c>
      <c r="G492" s="96">
        <f t="shared" si="54"/>
        <v>1</v>
      </c>
    </row>
    <row r="493" spans="1:7" x14ac:dyDescent="0.3">
      <c r="A493" s="63">
        <f t="shared" si="55"/>
        <v>44322</v>
      </c>
      <c r="B493" s="96">
        <f t="shared" si="49"/>
        <v>5</v>
      </c>
      <c r="C493" s="96">
        <f t="shared" si="50"/>
        <v>2021</v>
      </c>
      <c r="D493" s="96" t="str">
        <f t="shared" si="51"/>
        <v>2021/05</v>
      </c>
      <c r="E493" s="96" t="str">
        <f t="shared" ca="1" si="52"/>
        <v>M-11</v>
      </c>
      <c r="F493" s="96" t="str">
        <f t="shared" si="53"/>
        <v>Thu</v>
      </c>
      <c r="G493" s="96">
        <f t="shared" si="54"/>
        <v>1</v>
      </c>
    </row>
    <row r="494" spans="1:7" x14ac:dyDescent="0.3">
      <c r="A494" s="63">
        <f t="shared" si="55"/>
        <v>44323</v>
      </c>
      <c r="B494" s="96">
        <f t="shared" si="49"/>
        <v>5</v>
      </c>
      <c r="C494" s="96">
        <f t="shared" si="50"/>
        <v>2021</v>
      </c>
      <c r="D494" s="96" t="str">
        <f t="shared" si="51"/>
        <v>2021/05</v>
      </c>
      <c r="E494" s="96" t="str">
        <f t="shared" ca="1" si="52"/>
        <v>M-11</v>
      </c>
      <c r="F494" s="96" t="str">
        <f t="shared" si="53"/>
        <v>Fri</v>
      </c>
      <c r="G494" s="96">
        <f t="shared" si="54"/>
        <v>1</v>
      </c>
    </row>
    <row r="495" spans="1:7" x14ac:dyDescent="0.3">
      <c r="A495" s="63">
        <f t="shared" si="55"/>
        <v>44324</v>
      </c>
      <c r="B495" s="96">
        <f t="shared" si="49"/>
        <v>5</v>
      </c>
      <c r="C495" s="96">
        <f t="shared" si="50"/>
        <v>2021</v>
      </c>
      <c r="D495" s="96" t="str">
        <f t="shared" si="51"/>
        <v>2021/05</v>
      </c>
      <c r="E495" s="96" t="str">
        <f t="shared" ca="1" si="52"/>
        <v>M-11</v>
      </c>
      <c r="F495" s="96" t="str">
        <f t="shared" si="53"/>
        <v>Sat</v>
      </c>
      <c r="G495" s="96">
        <f t="shared" si="54"/>
        <v>0</v>
      </c>
    </row>
    <row r="496" spans="1:7" x14ac:dyDescent="0.3">
      <c r="A496" s="63">
        <f t="shared" si="55"/>
        <v>44325</v>
      </c>
      <c r="B496" s="96">
        <f t="shared" si="49"/>
        <v>5</v>
      </c>
      <c r="C496" s="96">
        <f t="shared" si="50"/>
        <v>2021</v>
      </c>
      <c r="D496" s="96" t="str">
        <f t="shared" si="51"/>
        <v>2021/05</v>
      </c>
      <c r="E496" s="96" t="str">
        <f t="shared" ca="1" si="52"/>
        <v>M-11</v>
      </c>
      <c r="F496" s="96" t="str">
        <f t="shared" si="53"/>
        <v>Sun</v>
      </c>
      <c r="G496" s="96">
        <f t="shared" si="54"/>
        <v>0</v>
      </c>
    </row>
    <row r="497" spans="1:7" x14ac:dyDescent="0.3">
      <c r="A497" s="63">
        <f t="shared" si="55"/>
        <v>44326</v>
      </c>
      <c r="B497" s="96">
        <f t="shared" si="49"/>
        <v>5</v>
      </c>
      <c r="C497" s="96">
        <f t="shared" si="50"/>
        <v>2021</v>
      </c>
      <c r="D497" s="96" t="str">
        <f t="shared" si="51"/>
        <v>2021/05</v>
      </c>
      <c r="E497" s="96" t="str">
        <f t="shared" ca="1" si="52"/>
        <v>M-11</v>
      </c>
      <c r="F497" s="96" t="str">
        <f t="shared" si="53"/>
        <v>Mon</v>
      </c>
      <c r="G497" s="96">
        <f t="shared" si="54"/>
        <v>1</v>
      </c>
    </row>
    <row r="498" spans="1:7" x14ac:dyDescent="0.3">
      <c r="A498" s="63">
        <f t="shared" si="55"/>
        <v>44327</v>
      </c>
      <c r="B498" s="96">
        <f t="shared" si="49"/>
        <v>5</v>
      </c>
      <c r="C498" s="96">
        <f t="shared" si="50"/>
        <v>2021</v>
      </c>
      <c r="D498" s="96" t="str">
        <f t="shared" si="51"/>
        <v>2021/05</v>
      </c>
      <c r="E498" s="96" t="str">
        <f t="shared" ca="1" si="52"/>
        <v>M-11</v>
      </c>
      <c r="F498" s="96" t="str">
        <f t="shared" si="53"/>
        <v>Tue</v>
      </c>
      <c r="G498" s="96">
        <f t="shared" si="54"/>
        <v>1</v>
      </c>
    </row>
    <row r="499" spans="1:7" x14ac:dyDescent="0.3">
      <c r="A499" s="63">
        <f t="shared" si="55"/>
        <v>44328</v>
      </c>
      <c r="B499" s="96">
        <f t="shared" si="49"/>
        <v>5</v>
      </c>
      <c r="C499" s="96">
        <f t="shared" si="50"/>
        <v>2021</v>
      </c>
      <c r="D499" s="96" t="str">
        <f t="shared" si="51"/>
        <v>2021/05</v>
      </c>
      <c r="E499" s="96" t="str">
        <f t="shared" ca="1" si="52"/>
        <v>M-11</v>
      </c>
      <c r="F499" s="96" t="str">
        <f t="shared" si="53"/>
        <v>Wed</v>
      </c>
      <c r="G499" s="96">
        <f t="shared" si="54"/>
        <v>1</v>
      </c>
    </row>
    <row r="500" spans="1:7" x14ac:dyDescent="0.3">
      <c r="A500" s="63">
        <f t="shared" si="55"/>
        <v>44329</v>
      </c>
      <c r="B500" s="96">
        <f t="shared" si="49"/>
        <v>5</v>
      </c>
      <c r="C500" s="96">
        <f t="shared" si="50"/>
        <v>2021</v>
      </c>
      <c r="D500" s="96" t="str">
        <f t="shared" si="51"/>
        <v>2021/05</v>
      </c>
      <c r="E500" s="96" t="str">
        <f t="shared" ca="1" si="52"/>
        <v>M-11</v>
      </c>
      <c r="F500" s="96" t="str">
        <f t="shared" si="53"/>
        <v>Thu</v>
      </c>
      <c r="G500" s="96">
        <f t="shared" si="54"/>
        <v>1</v>
      </c>
    </row>
    <row r="501" spans="1:7" x14ac:dyDescent="0.3">
      <c r="A501" s="63">
        <f t="shared" si="55"/>
        <v>44330</v>
      </c>
      <c r="B501" s="96">
        <f t="shared" si="49"/>
        <v>5</v>
      </c>
      <c r="C501" s="96">
        <f t="shared" si="50"/>
        <v>2021</v>
      </c>
      <c r="D501" s="96" t="str">
        <f t="shared" si="51"/>
        <v>2021/05</v>
      </c>
      <c r="E501" s="96" t="str">
        <f t="shared" ca="1" si="52"/>
        <v>M-11</v>
      </c>
      <c r="F501" s="96" t="str">
        <f t="shared" si="53"/>
        <v>Fri</v>
      </c>
      <c r="G501" s="96">
        <f t="shared" si="54"/>
        <v>1</v>
      </c>
    </row>
    <row r="502" spans="1:7" x14ac:dyDescent="0.3">
      <c r="A502" s="63">
        <f t="shared" si="55"/>
        <v>44331</v>
      </c>
      <c r="B502" s="96">
        <f t="shared" si="49"/>
        <v>5</v>
      </c>
      <c r="C502" s="96">
        <f t="shared" si="50"/>
        <v>2021</v>
      </c>
      <c r="D502" s="96" t="str">
        <f t="shared" si="51"/>
        <v>2021/05</v>
      </c>
      <c r="E502" s="96" t="str">
        <f t="shared" ca="1" si="52"/>
        <v>M-11</v>
      </c>
      <c r="F502" s="96" t="str">
        <f t="shared" si="53"/>
        <v>Sat</v>
      </c>
      <c r="G502" s="96">
        <f t="shared" si="54"/>
        <v>0</v>
      </c>
    </row>
    <row r="503" spans="1:7" x14ac:dyDescent="0.3">
      <c r="A503" s="63">
        <f t="shared" si="55"/>
        <v>44332</v>
      </c>
      <c r="B503" s="96">
        <f t="shared" si="49"/>
        <v>5</v>
      </c>
      <c r="C503" s="96">
        <f t="shared" si="50"/>
        <v>2021</v>
      </c>
      <c r="D503" s="96" t="str">
        <f t="shared" si="51"/>
        <v>2021/05</v>
      </c>
      <c r="E503" s="96" t="str">
        <f t="shared" ca="1" si="52"/>
        <v>M-11</v>
      </c>
      <c r="F503" s="96" t="str">
        <f t="shared" si="53"/>
        <v>Sun</v>
      </c>
      <c r="G503" s="96">
        <f t="shared" si="54"/>
        <v>0</v>
      </c>
    </row>
    <row r="504" spans="1:7" x14ac:dyDescent="0.3">
      <c r="A504" s="63">
        <f t="shared" si="55"/>
        <v>44333</v>
      </c>
      <c r="B504" s="96">
        <f t="shared" si="49"/>
        <v>5</v>
      </c>
      <c r="C504" s="96">
        <f t="shared" si="50"/>
        <v>2021</v>
      </c>
      <c r="D504" s="96" t="str">
        <f t="shared" si="51"/>
        <v>2021/05</v>
      </c>
      <c r="E504" s="96" t="str">
        <f t="shared" ca="1" si="52"/>
        <v>M-11</v>
      </c>
      <c r="F504" s="96" t="str">
        <f t="shared" si="53"/>
        <v>Mon</v>
      </c>
      <c r="G504" s="96">
        <f t="shared" si="54"/>
        <v>1</v>
      </c>
    </row>
    <row r="505" spans="1:7" x14ac:dyDescent="0.3">
      <c r="A505" s="63">
        <f t="shared" si="55"/>
        <v>44334</v>
      </c>
      <c r="B505" s="96">
        <f t="shared" si="49"/>
        <v>5</v>
      </c>
      <c r="C505" s="96">
        <f t="shared" si="50"/>
        <v>2021</v>
      </c>
      <c r="D505" s="96" t="str">
        <f t="shared" si="51"/>
        <v>2021/05</v>
      </c>
      <c r="E505" s="96" t="str">
        <f t="shared" ca="1" si="52"/>
        <v>M-11</v>
      </c>
      <c r="F505" s="96" t="str">
        <f t="shared" si="53"/>
        <v>Tue</v>
      </c>
      <c r="G505" s="96">
        <f t="shared" si="54"/>
        <v>1</v>
      </c>
    </row>
    <row r="506" spans="1:7" x14ac:dyDescent="0.3">
      <c r="A506" s="63">
        <f t="shared" si="55"/>
        <v>44335</v>
      </c>
      <c r="B506" s="96">
        <f t="shared" si="49"/>
        <v>5</v>
      </c>
      <c r="C506" s="96">
        <f t="shared" si="50"/>
        <v>2021</v>
      </c>
      <c r="D506" s="96" t="str">
        <f t="shared" si="51"/>
        <v>2021/05</v>
      </c>
      <c r="E506" s="96" t="str">
        <f t="shared" ca="1" si="52"/>
        <v>M-11</v>
      </c>
      <c r="F506" s="96" t="str">
        <f t="shared" si="53"/>
        <v>Wed</v>
      </c>
      <c r="G506" s="96">
        <f t="shared" si="54"/>
        <v>1</v>
      </c>
    </row>
    <row r="507" spans="1:7" x14ac:dyDescent="0.3">
      <c r="A507" s="63">
        <f t="shared" si="55"/>
        <v>44336</v>
      </c>
      <c r="B507" s="96">
        <f t="shared" si="49"/>
        <v>5</v>
      </c>
      <c r="C507" s="96">
        <f t="shared" si="50"/>
        <v>2021</v>
      </c>
      <c r="D507" s="96" t="str">
        <f t="shared" si="51"/>
        <v>2021/05</v>
      </c>
      <c r="E507" s="96" t="str">
        <f t="shared" ca="1" si="52"/>
        <v>M-11</v>
      </c>
      <c r="F507" s="96" t="str">
        <f t="shared" si="53"/>
        <v>Thu</v>
      </c>
      <c r="G507" s="96">
        <f t="shared" si="54"/>
        <v>1</v>
      </c>
    </row>
    <row r="508" spans="1:7" x14ac:dyDescent="0.3">
      <c r="A508" s="63">
        <f t="shared" si="55"/>
        <v>44337</v>
      </c>
      <c r="B508" s="96">
        <f t="shared" si="49"/>
        <v>5</v>
      </c>
      <c r="C508" s="96">
        <f t="shared" si="50"/>
        <v>2021</v>
      </c>
      <c r="D508" s="96" t="str">
        <f t="shared" si="51"/>
        <v>2021/05</v>
      </c>
      <c r="E508" s="96" t="str">
        <f t="shared" ca="1" si="52"/>
        <v>M-11</v>
      </c>
      <c r="F508" s="96" t="str">
        <f t="shared" si="53"/>
        <v>Fri</v>
      </c>
      <c r="G508" s="96">
        <f t="shared" si="54"/>
        <v>1</v>
      </c>
    </row>
    <row r="509" spans="1:7" x14ac:dyDescent="0.3">
      <c r="A509" s="63">
        <f t="shared" si="55"/>
        <v>44338</v>
      </c>
      <c r="B509" s="96">
        <f t="shared" si="49"/>
        <v>5</v>
      </c>
      <c r="C509" s="96">
        <f t="shared" si="50"/>
        <v>2021</v>
      </c>
      <c r="D509" s="96" t="str">
        <f t="shared" si="51"/>
        <v>2021/05</v>
      </c>
      <c r="E509" s="96" t="str">
        <f t="shared" ca="1" si="52"/>
        <v>M-11</v>
      </c>
      <c r="F509" s="96" t="str">
        <f t="shared" si="53"/>
        <v>Sat</v>
      </c>
      <c r="G509" s="96">
        <f t="shared" si="54"/>
        <v>0</v>
      </c>
    </row>
    <row r="510" spans="1:7" x14ac:dyDescent="0.3">
      <c r="A510" s="63">
        <f t="shared" si="55"/>
        <v>44339</v>
      </c>
      <c r="B510" s="96">
        <f t="shared" si="49"/>
        <v>5</v>
      </c>
      <c r="C510" s="96">
        <f t="shared" si="50"/>
        <v>2021</v>
      </c>
      <c r="D510" s="96" t="str">
        <f t="shared" si="51"/>
        <v>2021/05</v>
      </c>
      <c r="E510" s="96" t="str">
        <f t="shared" ca="1" si="52"/>
        <v>M-11</v>
      </c>
      <c r="F510" s="96" t="str">
        <f t="shared" si="53"/>
        <v>Sun</v>
      </c>
      <c r="G510" s="96">
        <f t="shared" si="54"/>
        <v>0</v>
      </c>
    </row>
    <row r="511" spans="1:7" x14ac:dyDescent="0.3">
      <c r="A511" s="63">
        <f t="shared" si="55"/>
        <v>44340</v>
      </c>
      <c r="B511" s="96">
        <f t="shared" si="49"/>
        <v>5</v>
      </c>
      <c r="C511" s="96">
        <f t="shared" si="50"/>
        <v>2021</v>
      </c>
      <c r="D511" s="96" t="str">
        <f t="shared" si="51"/>
        <v>2021/05</v>
      </c>
      <c r="E511" s="96" t="str">
        <f t="shared" ca="1" si="52"/>
        <v>M-11</v>
      </c>
      <c r="F511" s="96" t="str">
        <f t="shared" si="53"/>
        <v>Mon</v>
      </c>
      <c r="G511" s="96">
        <f t="shared" si="54"/>
        <v>1</v>
      </c>
    </row>
    <row r="512" spans="1:7" x14ac:dyDescent="0.3">
      <c r="A512" s="63">
        <f t="shared" si="55"/>
        <v>44341</v>
      </c>
      <c r="B512" s="96">
        <f t="shared" si="49"/>
        <v>5</v>
      </c>
      <c r="C512" s="96">
        <f t="shared" si="50"/>
        <v>2021</v>
      </c>
      <c r="D512" s="96" t="str">
        <f t="shared" si="51"/>
        <v>2021/05</v>
      </c>
      <c r="E512" s="96" t="str">
        <f t="shared" ca="1" si="52"/>
        <v>M-11</v>
      </c>
      <c r="F512" s="96" t="str">
        <f t="shared" si="53"/>
        <v>Tue</v>
      </c>
      <c r="G512" s="96">
        <f t="shared" si="54"/>
        <v>1</v>
      </c>
    </row>
    <row r="513" spans="1:7" x14ac:dyDescent="0.3">
      <c r="A513" s="63">
        <f t="shared" si="55"/>
        <v>44342</v>
      </c>
      <c r="B513" s="96">
        <f t="shared" si="49"/>
        <v>5</v>
      </c>
      <c r="C513" s="96">
        <f t="shared" si="50"/>
        <v>2021</v>
      </c>
      <c r="D513" s="96" t="str">
        <f t="shared" si="51"/>
        <v>2021/05</v>
      </c>
      <c r="E513" s="96" t="str">
        <f t="shared" ca="1" si="52"/>
        <v>M-11</v>
      </c>
      <c r="F513" s="96" t="str">
        <f t="shared" si="53"/>
        <v>Wed</v>
      </c>
      <c r="G513" s="96">
        <f t="shared" si="54"/>
        <v>1</v>
      </c>
    </row>
    <row r="514" spans="1:7" x14ac:dyDescent="0.3">
      <c r="A514" s="63">
        <f t="shared" si="55"/>
        <v>44343</v>
      </c>
      <c r="B514" s="96">
        <f t="shared" si="49"/>
        <v>5</v>
      </c>
      <c r="C514" s="96">
        <f t="shared" si="50"/>
        <v>2021</v>
      </c>
      <c r="D514" s="96" t="str">
        <f t="shared" si="51"/>
        <v>2021/05</v>
      </c>
      <c r="E514" s="96" t="str">
        <f t="shared" ca="1" si="52"/>
        <v>M-11</v>
      </c>
      <c r="F514" s="96" t="str">
        <f t="shared" si="53"/>
        <v>Thu</v>
      </c>
      <c r="G514" s="96">
        <f t="shared" si="54"/>
        <v>1</v>
      </c>
    </row>
    <row r="515" spans="1:7" x14ac:dyDescent="0.3">
      <c r="A515" s="63">
        <f t="shared" si="55"/>
        <v>44344</v>
      </c>
      <c r="B515" s="96">
        <f t="shared" ref="B515:B578" si="56">MONTH(A515)</f>
        <v>5</v>
      </c>
      <c r="C515" s="96">
        <f t="shared" ref="C515:C578" si="57">YEAR(A515)</f>
        <v>2021</v>
      </c>
      <c r="D515" s="96" t="str">
        <f t="shared" ref="D515:D578" si="58">CONCATENATE(C515,"/",TEXT(B515,"00"))</f>
        <v>2021/05</v>
      </c>
      <c r="E515" s="96" t="str">
        <f t="shared" ref="E515:E578" ca="1" si="59">CONCATENATE("M",B515-MONTH(TODAY())+12*(YEAR(TODAY())-C515))</f>
        <v>M-11</v>
      </c>
      <c r="F515" s="96" t="str">
        <f t="shared" ref="F515:F578" si="60">TEXT(A515,"ddd")</f>
        <v>Fri</v>
      </c>
      <c r="G515" s="96">
        <f t="shared" ref="G515:G578" si="61">IF(LEFT(F515,1)="s",0,1)</f>
        <v>1</v>
      </c>
    </row>
    <row r="516" spans="1:7" x14ac:dyDescent="0.3">
      <c r="A516" s="63">
        <f t="shared" ref="A516:A579" si="62">A515+1</f>
        <v>44345</v>
      </c>
      <c r="B516" s="96">
        <f t="shared" si="56"/>
        <v>5</v>
      </c>
      <c r="C516" s="96">
        <f t="shared" si="57"/>
        <v>2021</v>
      </c>
      <c r="D516" s="96" t="str">
        <f t="shared" si="58"/>
        <v>2021/05</v>
      </c>
      <c r="E516" s="96" t="str">
        <f t="shared" ca="1" si="59"/>
        <v>M-11</v>
      </c>
      <c r="F516" s="96" t="str">
        <f t="shared" si="60"/>
        <v>Sat</v>
      </c>
      <c r="G516" s="96">
        <f t="shared" si="61"/>
        <v>0</v>
      </c>
    </row>
    <row r="517" spans="1:7" x14ac:dyDescent="0.3">
      <c r="A517" s="63">
        <f t="shared" si="62"/>
        <v>44346</v>
      </c>
      <c r="B517" s="96">
        <f t="shared" si="56"/>
        <v>5</v>
      </c>
      <c r="C517" s="96">
        <f t="shared" si="57"/>
        <v>2021</v>
      </c>
      <c r="D517" s="96" t="str">
        <f t="shared" si="58"/>
        <v>2021/05</v>
      </c>
      <c r="E517" s="96" t="str">
        <f t="shared" ca="1" si="59"/>
        <v>M-11</v>
      </c>
      <c r="F517" s="96" t="str">
        <f t="shared" si="60"/>
        <v>Sun</v>
      </c>
      <c r="G517" s="96">
        <f t="shared" si="61"/>
        <v>0</v>
      </c>
    </row>
    <row r="518" spans="1:7" x14ac:dyDescent="0.3">
      <c r="A518" s="63">
        <f t="shared" si="62"/>
        <v>44347</v>
      </c>
      <c r="B518" s="96">
        <f t="shared" si="56"/>
        <v>5</v>
      </c>
      <c r="C518" s="96">
        <f t="shared" si="57"/>
        <v>2021</v>
      </c>
      <c r="D518" s="96" t="str">
        <f t="shared" si="58"/>
        <v>2021/05</v>
      </c>
      <c r="E518" s="96" t="str">
        <f t="shared" ca="1" si="59"/>
        <v>M-11</v>
      </c>
      <c r="F518" s="96" t="str">
        <f t="shared" si="60"/>
        <v>Mon</v>
      </c>
      <c r="G518" s="96">
        <f t="shared" si="61"/>
        <v>1</v>
      </c>
    </row>
    <row r="519" spans="1:7" x14ac:dyDescent="0.3">
      <c r="A519" s="63">
        <f t="shared" si="62"/>
        <v>44348</v>
      </c>
      <c r="B519" s="96">
        <f t="shared" si="56"/>
        <v>6</v>
      </c>
      <c r="C519" s="96">
        <f t="shared" si="57"/>
        <v>2021</v>
      </c>
      <c r="D519" s="96" t="str">
        <f t="shared" si="58"/>
        <v>2021/06</v>
      </c>
      <c r="E519" s="96" t="str">
        <f t="shared" ca="1" si="59"/>
        <v>M-10</v>
      </c>
      <c r="F519" s="96" t="str">
        <f t="shared" si="60"/>
        <v>Tue</v>
      </c>
      <c r="G519" s="96">
        <f t="shared" si="61"/>
        <v>1</v>
      </c>
    </row>
    <row r="520" spans="1:7" x14ac:dyDescent="0.3">
      <c r="A520" s="63">
        <f t="shared" si="62"/>
        <v>44349</v>
      </c>
      <c r="B520" s="96">
        <f t="shared" si="56"/>
        <v>6</v>
      </c>
      <c r="C520" s="96">
        <f t="shared" si="57"/>
        <v>2021</v>
      </c>
      <c r="D520" s="96" t="str">
        <f t="shared" si="58"/>
        <v>2021/06</v>
      </c>
      <c r="E520" s="96" t="str">
        <f t="shared" ca="1" si="59"/>
        <v>M-10</v>
      </c>
      <c r="F520" s="96" t="str">
        <f t="shared" si="60"/>
        <v>Wed</v>
      </c>
      <c r="G520" s="96">
        <f t="shared" si="61"/>
        <v>1</v>
      </c>
    </row>
    <row r="521" spans="1:7" x14ac:dyDescent="0.3">
      <c r="A521" s="63">
        <f t="shared" si="62"/>
        <v>44350</v>
      </c>
      <c r="B521" s="96">
        <f t="shared" si="56"/>
        <v>6</v>
      </c>
      <c r="C521" s="96">
        <f t="shared" si="57"/>
        <v>2021</v>
      </c>
      <c r="D521" s="96" t="str">
        <f t="shared" si="58"/>
        <v>2021/06</v>
      </c>
      <c r="E521" s="96" t="str">
        <f t="shared" ca="1" si="59"/>
        <v>M-10</v>
      </c>
      <c r="F521" s="96" t="str">
        <f t="shared" si="60"/>
        <v>Thu</v>
      </c>
      <c r="G521" s="96">
        <f t="shared" si="61"/>
        <v>1</v>
      </c>
    </row>
    <row r="522" spans="1:7" x14ac:dyDescent="0.3">
      <c r="A522" s="63">
        <f t="shared" si="62"/>
        <v>44351</v>
      </c>
      <c r="B522" s="96">
        <f t="shared" si="56"/>
        <v>6</v>
      </c>
      <c r="C522" s="96">
        <f t="shared" si="57"/>
        <v>2021</v>
      </c>
      <c r="D522" s="96" t="str">
        <f t="shared" si="58"/>
        <v>2021/06</v>
      </c>
      <c r="E522" s="96" t="str">
        <f t="shared" ca="1" si="59"/>
        <v>M-10</v>
      </c>
      <c r="F522" s="96" t="str">
        <f t="shared" si="60"/>
        <v>Fri</v>
      </c>
      <c r="G522" s="96">
        <f t="shared" si="61"/>
        <v>1</v>
      </c>
    </row>
    <row r="523" spans="1:7" x14ac:dyDescent="0.3">
      <c r="A523" s="63">
        <f t="shared" si="62"/>
        <v>44352</v>
      </c>
      <c r="B523" s="96">
        <f t="shared" si="56"/>
        <v>6</v>
      </c>
      <c r="C523" s="96">
        <f t="shared" si="57"/>
        <v>2021</v>
      </c>
      <c r="D523" s="96" t="str">
        <f t="shared" si="58"/>
        <v>2021/06</v>
      </c>
      <c r="E523" s="96" t="str">
        <f t="shared" ca="1" si="59"/>
        <v>M-10</v>
      </c>
      <c r="F523" s="96" t="str">
        <f t="shared" si="60"/>
        <v>Sat</v>
      </c>
      <c r="G523" s="96">
        <f t="shared" si="61"/>
        <v>0</v>
      </c>
    </row>
    <row r="524" spans="1:7" x14ac:dyDescent="0.3">
      <c r="A524" s="63">
        <f t="shared" si="62"/>
        <v>44353</v>
      </c>
      <c r="B524" s="96">
        <f t="shared" si="56"/>
        <v>6</v>
      </c>
      <c r="C524" s="96">
        <f t="shared" si="57"/>
        <v>2021</v>
      </c>
      <c r="D524" s="96" t="str">
        <f t="shared" si="58"/>
        <v>2021/06</v>
      </c>
      <c r="E524" s="96" t="str">
        <f t="shared" ca="1" si="59"/>
        <v>M-10</v>
      </c>
      <c r="F524" s="96" t="str">
        <f t="shared" si="60"/>
        <v>Sun</v>
      </c>
      <c r="G524" s="96">
        <f t="shared" si="61"/>
        <v>0</v>
      </c>
    </row>
    <row r="525" spans="1:7" x14ac:dyDescent="0.3">
      <c r="A525" s="63">
        <f t="shared" si="62"/>
        <v>44354</v>
      </c>
      <c r="B525" s="96">
        <f t="shared" si="56"/>
        <v>6</v>
      </c>
      <c r="C525" s="96">
        <f t="shared" si="57"/>
        <v>2021</v>
      </c>
      <c r="D525" s="96" t="str">
        <f t="shared" si="58"/>
        <v>2021/06</v>
      </c>
      <c r="E525" s="96" t="str">
        <f t="shared" ca="1" si="59"/>
        <v>M-10</v>
      </c>
      <c r="F525" s="96" t="str">
        <f t="shared" si="60"/>
        <v>Mon</v>
      </c>
      <c r="G525" s="96">
        <f t="shared" si="61"/>
        <v>1</v>
      </c>
    </row>
    <row r="526" spans="1:7" x14ac:dyDescent="0.3">
      <c r="A526" s="63">
        <f t="shared" si="62"/>
        <v>44355</v>
      </c>
      <c r="B526" s="96">
        <f t="shared" si="56"/>
        <v>6</v>
      </c>
      <c r="C526" s="96">
        <f t="shared" si="57"/>
        <v>2021</v>
      </c>
      <c r="D526" s="96" t="str">
        <f t="shared" si="58"/>
        <v>2021/06</v>
      </c>
      <c r="E526" s="96" t="str">
        <f t="shared" ca="1" si="59"/>
        <v>M-10</v>
      </c>
      <c r="F526" s="96" t="str">
        <f t="shared" si="60"/>
        <v>Tue</v>
      </c>
      <c r="G526" s="96">
        <f t="shared" si="61"/>
        <v>1</v>
      </c>
    </row>
    <row r="527" spans="1:7" x14ac:dyDescent="0.3">
      <c r="A527" s="63">
        <f t="shared" si="62"/>
        <v>44356</v>
      </c>
      <c r="B527" s="96">
        <f t="shared" si="56"/>
        <v>6</v>
      </c>
      <c r="C527" s="96">
        <f t="shared" si="57"/>
        <v>2021</v>
      </c>
      <c r="D527" s="96" t="str">
        <f t="shared" si="58"/>
        <v>2021/06</v>
      </c>
      <c r="E527" s="96" t="str">
        <f t="shared" ca="1" si="59"/>
        <v>M-10</v>
      </c>
      <c r="F527" s="96" t="str">
        <f t="shared" si="60"/>
        <v>Wed</v>
      </c>
      <c r="G527" s="96">
        <f t="shared" si="61"/>
        <v>1</v>
      </c>
    </row>
    <row r="528" spans="1:7" x14ac:dyDescent="0.3">
      <c r="A528" s="63">
        <f t="shared" si="62"/>
        <v>44357</v>
      </c>
      <c r="B528" s="96">
        <f t="shared" si="56"/>
        <v>6</v>
      </c>
      <c r="C528" s="96">
        <f t="shared" si="57"/>
        <v>2021</v>
      </c>
      <c r="D528" s="96" t="str">
        <f t="shared" si="58"/>
        <v>2021/06</v>
      </c>
      <c r="E528" s="96" t="str">
        <f t="shared" ca="1" si="59"/>
        <v>M-10</v>
      </c>
      <c r="F528" s="96" t="str">
        <f t="shared" si="60"/>
        <v>Thu</v>
      </c>
      <c r="G528" s="96">
        <f t="shared" si="61"/>
        <v>1</v>
      </c>
    </row>
    <row r="529" spans="1:7" x14ac:dyDescent="0.3">
      <c r="A529" s="63">
        <f t="shared" si="62"/>
        <v>44358</v>
      </c>
      <c r="B529" s="96">
        <f t="shared" si="56"/>
        <v>6</v>
      </c>
      <c r="C529" s="96">
        <f t="shared" si="57"/>
        <v>2021</v>
      </c>
      <c r="D529" s="96" t="str">
        <f t="shared" si="58"/>
        <v>2021/06</v>
      </c>
      <c r="E529" s="96" t="str">
        <f t="shared" ca="1" si="59"/>
        <v>M-10</v>
      </c>
      <c r="F529" s="96" t="str">
        <f t="shared" si="60"/>
        <v>Fri</v>
      </c>
      <c r="G529" s="96">
        <f t="shared" si="61"/>
        <v>1</v>
      </c>
    </row>
    <row r="530" spans="1:7" x14ac:dyDescent="0.3">
      <c r="A530" s="63">
        <f t="shared" si="62"/>
        <v>44359</v>
      </c>
      <c r="B530" s="96">
        <f t="shared" si="56"/>
        <v>6</v>
      </c>
      <c r="C530" s="96">
        <f t="shared" si="57"/>
        <v>2021</v>
      </c>
      <c r="D530" s="96" t="str">
        <f t="shared" si="58"/>
        <v>2021/06</v>
      </c>
      <c r="E530" s="96" t="str">
        <f t="shared" ca="1" si="59"/>
        <v>M-10</v>
      </c>
      <c r="F530" s="96" t="str">
        <f t="shared" si="60"/>
        <v>Sat</v>
      </c>
      <c r="G530" s="96">
        <f t="shared" si="61"/>
        <v>0</v>
      </c>
    </row>
    <row r="531" spans="1:7" x14ac:dyDescent="0.3">
      <c r="A531" s="63">
        <f t="shared" si="62"/>
        <v>44360</v>
      </c>
      <c r="B531" s="96">
        <f t="shared" si="56"/>
        <v>6</v>
      </c>
      <c r="C531" s="96">
        <f t="shared" si="57"/>
        <v>2021</v>
      </c>
      <c r="D531" s="96" t="str">
        <f t="shared" si="58"/>
        <v>2021/06</v>
      </c>
      <c r="E531" s="96" t="str">
        <f t="shared" ca="1" si="59"/>
        <v>M-10</v>
      </c>
      <c r="F531" s="96" t="str">
        <f t="shared" si="60"/>
        <v>Sun</v>
      </c>
      <c r="G531" s="96">
        <f t="shared" si="61"/>
        <v>0</v>
      </c>
    </row>
    <row r="532" spans="1:7" x14ac:dyDescent="0.3">
      <c r="A532" s="63">
        <f t="shared" si="62"/>
        <v>44361</v>
      </c>
      <c r="B532" s="96">
        <f t="shared" si="56"/>
        <v>6</v>
      </c>
      <c r="C532" s="96">
        <f t="shared" si="57"/>
        <v>2021</v>
      </c>
      <c r="D532" s="96" t="str">
        <f t="shared" si="58"/>
        <v>2021/06</v>
      </c>
      <c r="E532" s="96" t="str">
        <f t="shared" ca="1" si="59"/>
        <v>M-10</v>
      </c>
      <c r="F532" s="96" t="str">
        <f t="shared" si="60"/>
        <v>Mon</v>
      </c>
      <c r="G532" s="96">
        <f t="shared" si="61"/>
        <v>1</v>
      </c>
    </row>
    <row r="533" spans="1:7" x14ac:dyDescent="0.3">
      <c r="A533" s="63">
        <f t="shared" si="62"/>
        <v>44362</v>
      </c>
      <c r="B533" s="96">
        <f t="shared" si="56"/>
        <v>6</v>
      </c>
      <c r="C533" s="96">
        <f t="shared" si="57"/>
        <v>2021</v>
      </c>
      <c r="D533" s="96" t="str">
        <f t="shared" si="58"/>
        <v>2021/06</v>
      </c>
      <c r="E533" s="96" t="str">
        <f t="shared" ca="1" si="59"/>
        <v>M-10</v>
      </c>
      <c r="F533" s="96" t="str">
        <f t="shared" si="60"/>
        <v>Tue</v>
      </c>
      <c r="G533" s="96">
        <f t="shared" si="61"/>
        <v>1</v>
      </c>
    </row>
    <row r="534" spans="1:7" x14ac:dyDescent="0.3">
      <c r="A534" s="63">
        <f t="shared" si="62"/>
        <v>44363</v>
      </c>
      <c r="B534" s="96">
        <f t="shared" si="56"/>
        <v>6</v>
      </c>
      <c r="C534" s="96">
        <f t="shared" si="57"/>
        <v>2021</v>
      </c>
      <c r="D534" s="96" t="str">
        <f t="shared" si="58"/>
        <v>2021/06</v>
      </c>
      <c r="E534" s="96" t="str">
        <f t="shared" ca="1" si="59"/>
        <v>M-10</v>
      </c>
      <c r="F534" s="96" t="str">
        <f t="shared" si="60"/>
        <v>Wed</v>
      </c>
      <c r="G534" s="96">
        <f t="shared" si="61"/>
        <v>1</v>
      </c>
    </row>
    <row r="535" spans="1:7" x14ac:dyDescent="0.3">
      <c r="A535" s="63">
        <f t="shared" si="62"/>
        <v>44364</v>
      </c>
      <c r="B535" s="96">
        <f t="shared" si="56"/>
        <v>6</v>
      </c>
      <c r="C535" s="96">
        <f t="shared" si="57"/>
        <v>2021</v>
      </c>
      <c r="D535" s="96" t="str">
        <f t="shared" si="58"/>
        <v>2021/06</v>
      </c>
      <c r="E535" s="96" t="str">
        <f t="shared" ca="1" si="59"/>
        <v>M-10</v>
      </c>
      <c r="F535" s="96" t="str">
        <f t="shared" si="60"/>
        <v>Thu</v>
      </c>
      <c r="G535" s="96">
        <f t="shared" si="61"/>
        <v>1</v>
      </c>
    </row>
    <row r="536" spans="1:7" x14ac:dyDescent="0.3">
      <c r="A536" s="63">
        <f t="shared" si="62"/>
        <v>44365</v>
      </c>
      <c r="B536" s="96">
        <f t="shared" si="56"/>
        <v>6</v>
      </c>
      <c r="C536" s="96">
        <f t="shared" si="57"/>
        <v>2021</v>
      </c>
      <c r="D536" s="96" t="str">
        <f t="shared" si="58"/>
        <v>2021/06</v>
      </c>
      <c r="E536" s="96" t="str">
        <f t="shared" ca="1" si="59"/>
        <v>M-10</v>
      </c>
      <c r="F536" s="96" t="str">
        <f t="shared" si="60"/>
        <v>Fri</v>
      </c>
      <c r="G536" s="96">
        <f t="shared" si="61"/>
        <v>1</v>
      </c>
    </row>
    <row r="537" spans="1:7" x14ac:dyDescent="0.3">
      <c r="A537" s="63">
        <f t="shared" si="62"/>
        <v>44366</v>
      </c>
      <c r="B537" s="96">
        <f t="shared" si="56"/>
        <v>6</v>
      </c>
      <c r="C537" s="96">
        <f t="shared" si="57"/>
        <v>2021</v>
      </c>
      <c r="D537" s="96" t="str">
        <f t="shared" si="58"/>
        <v>2021/06</v>
      </c>
      <c r="E537" s="96" t="str">
        <f t="shared" ca="1" si="59"/>
        <v>M-10</v>
      </c>
      <c r="F537" s="96" t="str">
        <f t="shared" si="60"/>
        <v>Sat</v>
      </c>
      <c r="G537" s="96">
        <f t="shared" si="61"/>
        <v>0</v>
      </c>
    </row>
    <row r="538" spans="1:7" x14ac:dyDescent="0.3">
      <c r="A538" s="63">
        <f t="shared" si="62"/>
        <v>44367</v>
      </c>
      <c r="B538" s="96">
        <f t="shared" si="56"/>
        <v>6</v>
      </c>
      <c r="C538" s="96">
        <f t="shared" si="57"/>
        <v>2021</v>
      </c>
      <c r="D538" s="96" t="str">
        <f t="shared" si="58"/>
        <v>2021/06</v>
      </c>
      <c r="E538" s="96" t="str">
        <f t="shared" ca="1" si="59"/>
        <v>M-10</v>
      </c>
      <c r="F538" s="96" t="str">
        <f t="shared" si="60"/>
        <v>Sun</v>
      </c>
      <c r="G538" s="96">
        <f t="shared" si="61"/>
        <v>0</v>
      </c>
    </row>
    <row r="539" spans="1:7" x14ac:dyDescent="0.3">
      <c r="A539" s="63">
        <f t="shared" si="62"/>
        <v>44368</v>
      </c>
      <c r="B539" s="96">
        <f t="shared" si="56"/>
        <v>6</v>
      </c>
      <c r="C539" s="96">
        <f t="shared" si="57"/>
        <v>2021</v>
      </c>
      <c r="D539" s="96" t="str">
        <f t="shared" si="58"/>
        <v>2021/06</v>
      </c>
      <c r="E539" s="96" t="str">
        <f t="shared" ca="1" si="59"/>
        <v>M-10</v>
      </c>
      <c r="F539" s="96" t="str">
        <f t="shared" si="60"/>
        <v>Mon</v>
      </c>
      <c r="G539" s="96">
        <f t="shared" si="61"/>
        <v>1</v>
      </c>
    </row>
    <row r="540" spans="1:7" x14ac:dyDescent="0.3">
      <c r="A540" s="63">
        <f t="shared" si="62"/>
        <v>44369</v>
      </c>
      <c r="B540" s="96">
        <f t="shared" si="56"/>
        <v>6</v>
      </c>
      <c r="C540" s="96">
        <f t="shared" si="57"/>
        <v>2021</v>
      </c>
      <c r="D540" s="96" t="str">
        <f t="shared" si="58"/>
        <v>2021/06</v>
      </c>
      <c r="E540" s="96" t="str">
        <f t="shared" ca="1" si="59"/>
        <v>M-10</v>
      </c>
      <c r="F540" s="96" t="str">
        <f t="shared" si="60"/>
        <v>Tue</v>
      </c>
      <c r="G540" s="96">
        <f t="shared" si="61"/>
        <v>1</v>
      </c>
    </row>
    <row r="541" spans="1:7" x14ac:dyDescent="0.3">
      <c r="A541" s="63">
        <f t="shared" si="62"/>
        <v>44370</v>
      </c>
      <c r="B541" s="96">
        <f t="shared" si="56"/>
        <v>6</v>
      </c>
      <c r="C541" s="96">
        <f t="shared" si="57"/>
        <v>2021</v>
      </c>
      <c r="D541" s="96" t="str">
        <f t="shared" si="58"/>
        <v>2021/06</v>
      </c>
      <c r="E541" s="96" t="str">
        <f t="shared" ca="1" si="59"/>
        <v>M-10</v>
      </c>
      <c r="F541" s="96" t="str">
        <f t="shared" si="60"/>
        <v>Wed</v>
      </c>
      <c r="G541" s="96">
        <f t="shared" si="61"/>
        <v>1</v>
      </c>
    </row>
    <row r="542" spans="1:7" x14ac:dyDescent="0.3">
      <c r="A542" s="63">
        <f t="shared" si="62"/>
        <v>44371</v>
      </c>
      <c r="B542" s="96">
        <f t="shared" si="56"/>
        <v>6</v>
      </c>
      <c r="C542" s="96">
        <f t="shared" si="57"/>
        <v>2021</v>
      </c>
      <c r="D542" s="96" t="str">
        <f t="shared" si="58"/>
        <v>2021/06</v>
      </c>
      <c r="E542" s="96" t="str">
        <f t="shared" ca="1" si="59"/>
        <v>M-10</v>
      </c>
      <c r="F542" s="96" t="str">
        <f t="shared" si="60"/>
        <v>Thu</v>
      </c>
      <c r="G542" s="96">
        <f t="shared" si="61"/>
        <v>1</v>
      </c>
    </row>
    <row r="543" spans="1:7" x14ac:dyDescent="0.3">
      <c r="A543" s="63">
        <f t="shared" si="62"/>
        <v>44372</v>
      </c>
      <c r="B543" s="96">
        <f t="shared" si="56"/>
        <v>6</v>
      </c>
      <c r="C543" s="96">
        <f t="shared" si="57"/>
        <v>2021</v>
      </c>
      <c r="D543" s="96" t="str">
        <f t="shared" si="58"/>
        <v>2021/06</v>
      </c>
      <c r="E543" s="96" t="str">
        <f t="shared" ca="1" si="59"/>
        <v>M-10</v>
      </c>
      <c r="F543" s="96" t="str">
        <f t="shared" si="60"/>
        <v>Fri</v>
      </c>
      <c r="G543" s="96">
        <f t="shared" si="61"/>
        <v>1</v>
      </c>
    </row>
    <row r="544" spans="1:7" x14ac:dyDescent="0.3">
      <c r="A544" s="63">
        <f t="shared" si="62"/>
        <v>44373</v>
      </c>
      <c r="B544" s="96">
        <f t="shared" si="56"/>
        <v>6</v>
      </c>
      <c r="C544" s="96">
        <f t="shared" si="57"/>
        <v>2021</v>
      </c>
      <c r="D544" s="96" t="str">
        <f t="shared" si="58"/>
        <v>2021/06</v>
      </c>
      <c r="E544" s="96" t="str">
        <f t="shared" ca="1" si="59"/>
        <v>M-10</v>
      </c>
      <c r="F544" s="96" t="str">
        <f t="shared" si="60"/>
        <v>Sat</v>
      </c>
      <c r="G544" s="96">
        <f t="shared" si="61"/>
        <v>0</v>
      </c>
    </row>
    <row r="545" spans="1:7" x14ac:dyDescent="0.3">
      <c r="A545" s="63">
        <f t="shared" si="62"/>
        <v>44374</v>
      </c>
      <c r="B545" s="96">
        <f t="shared" si="56"/>
        <v>6</v>
      </c>
      <c r="C545" s="96">
        <f t="shared" si="57"/>
        <v>2021</v>
      </c>
      <c r="D545" s="96" t="str">
        <f t="shared" si="58"/>
        <v>2021/06</v>
      </c>
      <c r="E545" s="96" t="str">
        <f t="shared" ca="1" si="59"/>
        <v>M-10</v>
      </c>
      <c r="F545" s="96" t="str">
        <f t="shared" si="60"/>
        <v>Sun</v>
      </c>
      <c r="G545" s="96">
        <f t="shared" si="61"/>
        <v>0</v>
      </c>
    </row>
    <row r="546" spans="1:7" x14ac:dyDescent="0.3">
      <c r="A546" s="63">
        <f t="shared" si="62"/>
        <v>44375</v>
      </c>
      <c r="B546" s="96">
        <f t="shared" si="56"/>
        <v>6</v>
      </c>
      <c r="C546" s="96">
        <f t="shared" si="57"/>
        <v>2021</v>
      </c>
      <c r="D546" s="96" t="str">
        <f t="shared" si="58"/>
        <v>2021/06</v>
      </c>
      <c r="E546" s="96" t="str">
        <f t="shared" ca="1" si="59"/>
        <v>M-10</v>
      </c>
      <c r="F546" s="96" t="str">
        <f t="shared" si="60"/>
        <v>Mon</v>
      </c>
      <c r="G546" s="96">
        <f t="shared" si="61"/>
        <v>1</v>
      </c>
    </row>
    <row r="547" spans="1:7" x14ac:dyDescent="0.3">
      <c r="A547" s="63">
        <f t="shared" si="62"/>
        <v>44376</v>
      </c>
      <c r="B547" s="96">
        <f t="shared" si="56"/>
        <v>6</v>
      </c>
      <c r="C547" s="96">
        <f t="shared" si="57"/>
        <v>2021</v>
      </c>
      <c r="D547" s="96" t="str">
        <f t="shared" si="58"/>
        <v>2021/06</v>
      </c>
      <c r="E547" s="96" t="str">
        <f t="shared" ca="1" si="59"/>
        <v>M-10</v>
      </c>
      <c r="F547" s="96" t="str">
        <f t="shared" si="60"/>
        <v>Tue</v>
      </c>
      <c r="G547" s="96">
        <f t="shared" si="61"/>
        <v>1</v>
      </c>
    </row>
    <row r="548" spans="1:7" x14ac:dyDescent="0.3">
      <c r="A548" s="63">
        <f t="shared" si="62"/>
        <v>44377</v>
      </c>
      <c r="B548" s="96">
        <f t="shared" si="56"/>
        <v>6</v>
      </c>
      <c r="C548" s="96">
        <f t="shared" si="57"/>
        <v>2021</v>
      </c>
      <c r="D548" s="96" t="str">
        <f t="shared" si="58"/>
        <v>2021/06</v>
      </c>
      <c r="E548" s="96" t="str">
        <f t="shared" ca="1" si="59"/>
        <v>M-10</v>
      </c>
      <c r="F548" s="96" t="str">
        <f t="shared" si="60"/>
        <v>Wed</v>
      </c>
      <c r="G548" s="96">
        <f t="shared" si="61"/>
        <v>1</v>
      </c>
    </row>
    <row r="549" spans="1:7" x14ac:dyDescent="0.3">
      <c r="A549" s="63">
        <f t="shared" si="62"/>
        <v>44378</v>
      </c>
      <c r="B549" s="96">
        <f t="shared" si="56"/>
        <v>7</v>
      </c>
      <c r="C549" s="96">
        <f t="shared" si="57"/>
        <v>2021</v>
      </c>
      <c r="D549" s="96" t="str">
        <f t="shared" si="58"/>
        <v>2021/07</v>
      </c>
      <c r="E549" s="96" t="str">
        <f t="shared" ca="1" si="59"/>
        <v>M-9</v>
      </c>
      <c r="F549" s="96" t="str">
        <f t="shared" si="60"/>
        <v>Thu</v>
      </c>
      <c r="G549" s="96">
        <f t="shared" si="61"/>
        <v>1</v>
      </c>
    </row>
    <row r="550" spans="1:7" x14ac:dyDescent="0.3">
      <c r="A550" s="63">
        <f t="shared" si="62"/>
        <v>44379</v>
      </c>
      <c r="B550" s="96">
        <f t="shared" si="56"/>
        <v>7</v>
      </c>
      <c r="C550" s="96">
        <f t="shared" si="57"/>
        <v>2021</v>
      </c>
      <c r="D550" s="96" t="str">
        <f t="shared" si="58"/>
        <v>2021/07</v>
      </c>
      <c r="E550" s="96" t="str">
        <f t="shared" ca="1" si="59"/>
        <v>M-9</v>
      </c>
      <c r="F550" s="96" t="str">
        <f t="shared" si="60"/>
        <v>Fri</v>
      </c>
      <c r="G550" s="96">
        <f t="shared" si="61"/>
        <v>1</v>
      </c>
    </row>
    <row r="551" spans="1:7" x14ac:dyDescent="0.3">
      <c r="A551" s="63">
        <f t="shared" si="62"/>
        <v>44380</v>
      </c>
      <c r="B551" s="96">
        <f t="shared" si="56"/>
        <v>7</v>
      </c>
      <c r="C551" s="96">
        <f t="shared" si="57"/>
        <v>2021</v>
      </c>
      <c r="D551" s="96" t="str">
        <f t="shared" si="58"/>
        <v>2021/07</v>
      </c>
      <c r="E551" s="96" t="str">
        <f t="shared" ca="1" si="59"/>
        <v>M-9</v>
      </c>
      <c r="F551" s="96" t="str">
        <f t="shared" si="60"/>
        <v>Sat</v>
      </c>
      <c r="G551" s="96">
        <f t="shared" si="61"/>
        <v>0</v>
      </c>
    </row>
    <row r="552" spans="1:7" x14ac:dyDescent="0.3">
      <c r="A552" s="63">
        <f t="shared" si="62"/>
        <v>44381</v>
      </c>
      <c r="B552" s="96">
        <f t="shared" si="56"/>
        <v>7</v>
      </c>
      <c r="C552" s="96">
        <f t="shared" si="57"/>
        <v>2021</v>
      </c>
      <c r="D552" s="96" t="str">
        <f t="shared" si="58"/>
        <v>2021/07</v>
      </c>
      <c r="E552" s="96" t="str">
        <f t="shared" ca="1" si="59"/>
        <v>M-9</v>
      </c>
      <c r="F552" s="96" t="str">
        <f t="shared" si="60"/>
        <v>Sun</v>
      </c>
      <c r="G552" s="96">
        <f t="shared" si="61"/>
        <v>0</v>
      </c>
    </row>
    <row r="553" spans="1:7" x14ac:dyDescent="0.3">
      <c r="A553" s="63">
        <f t="shared" si="62"/>
        <v>44382</v>
      </c>
      <c r="B553" s="96">
        <f t="shared" si="56"/>
        <v>7</v>
      </c>
      <c r="C553" s="96">
        <f t="shared" si="57"/>
        <v>2021</v>
      </c>
      <c r="D553" s="96" t="str">
        <f t="shared" si="58"/>
        <v>2021/07</v>
      </c>
      <c r="E553" s="96" t="str">
        <f t="shared" ca="1" si="59"/>
        <v>M-9</v>
      </c>
      <c r="F553" s="96" t="str">
        <f t="shared" si="60"/>
        <v>Mon</v>
      </c>
      <c r="G553" s="96">
        <f t="shared" si="61"/>
        <v>1</v>
      </c>
    </row>
    <row r="554" spans="1:7" x14ac:dyDescent="0.3">
      <c r="A554" s="63">
        <f t="shared" si="62"/>
        <v>44383</v>
      </c>
      <c r="B554" s="96">
        <f t="shared" si="56"/>
        <v>7</v>
      </c>
      <c r="C554" s="96">
        <f t="shared" si="57"/>
        <v>2021</v>
      </c>
      <c r="D554" s="96" t="str">
        <f t="shared" si="58"/>
        <v>2021/07</v>
      </c>
      <c r="E554" s="96" t="str">
        <f t="shared" ca="1" si="59"/>
        <v>M-9</v>
      </c>
      <c r="F554" s="96" t="str">
        <f t="shared" si="60"/>
        <v>Tue</v>
      </c>
      <c r="G554" s="96">
        <f t="shared" si="61"/>
        <v>1</v>
      </c>
    </row>
    <row r="555" spans="1:7" x14ac:dyDescent="0.3">
      <c r="A555" s="63">
        <f t="shared" si="62"/>
        <v>44384</v>
      </c>
      <c r="B555" s="96">
        <f t="shared" si="56"/>
        <v>7</v>
      </c>
      <c r="C555" s="96">
        <f t="shared" si="57"/>
        <v>2021</v>
      </c>
      <c r="D555" s="96" t="str">
        <f t="shared" si="58"/>
        <v>2021/07</v>
      </c>
      <c r="E555" s="96" t="str">
        <f t="shared" ca="1" si="59"/>
        <v>M-9</v>
      </c>
      <c r="F555" s="96" t="str">
        <f t="shared" si="60"/>
        <v>Wed</v>
      </c>
      <c r="G555" s="96">
        <f t="shared" si="61"/>
        <v>1</v>
      </c>
    </row>
    <row r="556" spans="1:7" x14ac:dyDescent="0.3">
      <c r="A556" s="63">
        <f t="shared" si="62"/>
        <v>44385</v>
      </c>
      <c r="B556" s="96">
        <f t="shared" si="56"/>
        <v>7</v>
      </c>
      <c r="C556" s="96">
        <f t="shared" si="57"/>
        <v>2021</v>
      </c>
      <c r="D556" s="96" t="str">
        <f t="shared" si="58"/>
        <v>2021/07</v>
      </c>
      <c r="E556" s="96" t="str">
        <f t="shared" ca="1" si="59"/>
        <v>M-9</v>
      </c>
      <c r="F556" s="96" t="str">
        <f t="shared" si="60"/>
        <v>Thu</v>
      </c>
      <c r="G556" s="96">
        <f t="shared" si="61"/>
        <v>1</v>
      </c>
    </row>
    <row r="557" spans="1:7" x14ac:dyDescent="0.3">
      <c r="A557" s="63">
        <f t="shared" si="62"/>
        <v>44386</v>
      </c>
      <c r="B557" s="96">
        <f t="shared" si="56"/>
        <v>7</v>
      </c>
      <c r="C557" s="96">
        <f t="shared" si="57"/>
        <v>2021</v>
      </c>
      <c r="D557" s="96" t="str">
        <f t="shared" si="58"/>
        <v>2021/07</v>
      </c>
      <c r="E557" s="96" t="str">
        <f t="shared" ca="1" si="59"/>
        <v>M-9</v>
      </c>
      <c r="F557" s="96" t="str">
        <f t="shared" si="60"/>
        <v>Fri</v>
      </c>
      <c r="G557" s="96">
        <f t="shared" si="61"/>
        <v>1</v>
      </c>
    </row>
    <row r="558" spans="1:7" x14ac:dyDescent="0.3">
      <c r="A558" s="63">
        <f t="shared" si="62"/>
        <v>44387</v>
      </c>
      <c r="B558" s="96">
        <f t="shared" si="56"/>
        <v>7</v>
      </c>
      <c r="C558" s="96">
        <f t="shared" si="57"/>
        <v>2021</v>
      </c>
      <c r="D558" s="96" t="str">
        <f t="shared" si="58"/>
        <v>2021/07</v>
      </c>
      <c r="E558" s="96" t="str">
        <f t="shared" ca="1" si="59"/>
        <v>M-9</v>
      </c>
      <c r="F558" s="96" t="str">
        <f t="shared" si="60"/>
        <v>Sat</v>
      </c>
      <c r="G558" s="96">
        <f t="shared" si="61"/>
        <v>0</v>
      </c>
    </row>
    <row r="559" spans="1:7" x14ac:dyDescent="0.3">
      <c r="A559" s="63">
        <f t="shared" si="62"/>
        <v>44388</v>
      </c>
      <c r="B559" s="96">
        <f t="shared" si="56"/>
        <v>7</v>
      </c>
      <c r="C559" s="96">
        <f t="shared" si="57"/>
        <v>2021</v>
      </c>
      <c r="D559" s="96" t="str">
        <f t="shared" si="58"/>
        <v>2021/07</v>
      </c>
      <c r="E559" s="96" t="str">
        <f t="shared" ca="1" si="59"/>
        <v>M-9</v>
      </c>
      <c r="F559" s="96" t="str">
        <f t="shared" si="60"/>
        <v>Sun</v>
      </c>
      <c r="G559" s="96">
        <f t="shared" si="61"/>
        <v>0</v>
      </c>
    </row>
    <row r="560" spans="1:7" x14ac:dyDescent="0.3">
      <c r="A560" s="63">
        <f t="shared" si="62"/>
        <v>44389</v>
      </c>
      <c r="B560" s="96">
        <f t="shared" si="56"/>
        <v>7</v>
      </c>
      <c r="C560" s="96">
        <f t="shared" si="57"/>
        <v>2021</v>
      </c>
      <c r="D560" s="96" t="str">
        <f t="shared" si="58"/>
        <v>2021/07</v>
      </c>
      <c r="E560" s="96" t="str">
        <f t="shared" ca="1" si="59"/>
        <v>M-9</v>
      </c>
      <c r="F560" s="96" t="str">
        <f t="shared" si="60"/>
        <v>Mon</v>
      </c>
      <c r="G560" s="96">
        <f t="shared" si="61"/>
        <v>1</v>
      </c>
    </row>
    <row r="561" spans="1:7" x14ac:dyDescent="0.3">
      <c r="A561" s="63">
        <f t="shared" si="62"/>
        <v>44390</v>
      </c>
      <c r="B561" s="96">
        <f t="shared" si="56"/>
        <v>7</v>
      </c>
      <c r="C561" s="96">
        <f t="shared" si="57"/>
        <v>2021</v>
      </c>
      <c r="D561" s="96" t="str">
        <f t="shared" si="58"/>
        <v>2021/07</v>
      </c>
      <c r="E561" s="96" t="str">
        <f t="shared" ca="1" si="59"/>
        <v>M-9</v>
      </c>
      <c r="F561" s="96" t="str">
        <f t="shared" si="60"/>
        <v>Tue</v>
      </c>
      <c r="G561" s="96">
        <f t="shared" si="61"/>
        <v>1</v>
      </c>
    </row>
    <row r="562" spans="1:7" x14ac:dyDescent="0.3">
      <c r="A562" s="63">
        <f t="shared" si="62"/>
        <v>44391</v>
      </c>
      <c r="B562" s="96">
        <f t="shared" si="56"/>
        <v>7</v>
      </c>
      <c r="C562" s="96">
        <f t="shared" si="57"/>
        <v>2021</v>
      </c>
      <c r="D562" s="96" t="str">
        <f t="shared" si="58"/>
        <v>2021/07</v>
      </c>
      <c r="E562" s="96" t="str">
        <f t="shared" ca="1" si="59"/>
        <v>M-9</v>
      </c>
      <c r="F562" s="96" t="str">
        <f t="shared" si="60"/>
        <v>Wed</v>
      </c>
      <c r="G562" s="96">
        <f t="shared" si="61"/>
        <v>1</v>
      </c>
    </row>
    <row r="563" spans="1:7" x14ac:dyDescent="0.3">
      <c r="A563" s="63">
        <f t="shared" si="62"/>
        <v>44392</v>
      </c>
      <c r="B563" s="96">
        <f t="shared" si="56"/>
        <v>7</v>
      </c>
      <c r="C563" s="96">
        <f t="shared" si="57"/>
        <v>2021</v>
      </c>
      <c r="D563" s="96" t="str">
        <f t="shared" si="58"/>
        <v>2021/07</v>
      </c>
      <c r="E563" s="96" t="str">
        <f t="shared" ca="1" si="59"/>
        <v>M-9</v>
      </c>
      <c r="F563" s="96" t="str">
        <f t="shared" si="60"/>
        <v>Thu</v>
      </c>
      <c r="G563" s="96">
        <f t="shared" si="61"/>
        <v>1</v>
      </c>
    </row>
    <row r="564" spans="1:7" x14ac:dyDescent="0.3">
      <c r="A564" s="63">
        <f t="shared" si="62"/>
        <v>44393</v>
      </c>
      <c r="B564" s="96">
        <f t="shared" si="56"/>
        <v>7</v>
      </c>
      <c r="C564" s="96">
        <f t="shared" si="57"/>
        <v>2021</v>
      </c>
      <c r="D564" s="96" t="str">
        <f t="shared" si="58"/>
        <v>2021/07</v>
      </c>
      <c r="E564" s="96" t="str">
        <f t="shared" ca="1" si="59"/>
        <v>M-9</v>
      </c>
      <c r="F564" s="96" t="str">
        <f t="shared" si="60"/>
        <v>Fri</v>
      </c>
      <c r="G564" s="96">
        <f t="shared" si="61"/>
        <v>1</v>
      </c>
    </row>
    <row r="565" spans="1:7" x14ac:dyDescent="0.3">
      <c r="A565" s="63">
        <f t="shared" si="62"/>
        <v>44394</v>
      </c>
      <c r="B565" s="96">
        <f t="shared" si="56"/>
        <v>7</v>
      </c>
      <c r="C565" s="96">
        <f t="shared" si="57"/>
        <v>2021</v>
      </c>
      <c r="D565" s="96" t="str">
        <f t="shared" si="58"/>
        <v>2021/07</v>
      </c>
      <c r="E565" s="96" t="str">
        <f t="shared" ca="1" si="59"/>
        <v>M-9</v>
      </c>
      <c r="F565" s="96" t="str">
        <f t="shared" si="60"/>
        <v>Sat</v>
      </c>
      <c r="G565" s="96">
        <f t="shared" si="61"/>
        <v>0</v>
      </c>
    </row>
    <row r="566" spans="1:7" x14ac:dyDescent="0.3">
      <c r="A566" s="63">
        <f t="shared" si="62"/>
        <v>44395</v>
      </c>
      <c r="B566" s="96">
        <f t="shared" si="56"/>
        <v>7</v>
      </c>
      <c r="C566" s="96">
        <f t="shared" si="57"/>
        <v>2021</v>
      </c>
      <c r="D566" s="96" t="str">
        <f t="shared" si="58"/>
        <v>2021/07</v>
      </c>
      <c r="E566" s="96" t="str">
        <f t="shared" ca="1" si="59"/>
        <v>M-9</v>
      </c>
      <c r="F566" s="96" t="str">
        <f t="shared" si="60"/>
        <v>Sun</v>
      </c>
      <c r="G566" s="96">
        <f t="shared" si="61"/>
        <v>0</v>
      </c>
    </row>
    <row r="567" spans="1:7" x14ac:dyDescent="0.3">
      <c r="A567" s="63">
        <f t="shared" si="62"/>
        <v>44396</v>
      </c>
      <c r="B567" s="96">
        <f t="shared" si="56"/>
        <v>7</v>
      </c>
      <c r="C567" s="96">
        <f t="shared" si="57"/>
        <v>2021</v>
      </c>
      <c r="D567" s="96" t="str">
        <f t="shared" si="58"/>
        <v>2021/07</v>
      </c>
      <c r="E567" s="96" t="str">
        <f t="shared" ca="1" si="59"/>
        <v>M-9</v>
      </c>
      <c r="F567" s="96" t="str">
        <f t="shared" si="60"/>
        <v>Mon</v>
      </c>
      <c r="G567" s="96">
        <f t="shared" si="61"/>
        <v>1</v>
      </c>
    </row>
    <row r="568" spans="1:7" x14ac:dyDescent="0.3">
      <c r="A568" s="63">
        <f t="shared" si="62"/>
        <v>44397</v>
      </c>
      <c r="B568" s="96">
        <f t="shared" si="56"/>
        <v>7</v>
      </c>
      <c r="C568" s="96">
        <f t="shared" si="57"/>
        <v>2021</v>
      </c>
      <c r="D568" s="96" t="str">
        <f t="shared" si="58"/>
        <v>2021/07</v>
      </c>
      <c r="E568" s="96" t="str">
        <f t="shared" ca="1" si="59"/>
        <v>M-9</v>
      </c>
      <c r="F568" s="96" t="str">
        <f t="shared" si="60"/>
        <v>Tue</v>
      </c>
      <c r="G568" s="96">
        <f t="shared" si="61"/>
        <v>1</v>
      </c>
    </row>
    <row r="569" spans="1:7" x14ac:dyDescent="0.3">
      <c r="A569" s="63">
        <f t="shared" si="62"/>
        <v>44398</v>
      </c>
      <c r="B569" s="96">
        <f t="shared" si="56"/>
        <v>7</v>
      </c>
      <c r="C569" s="96">
        <f t="shared" si="57"/>
        <v>2021</v>
      </c>
      <c r="D569" s="96" t="str">
        <f t="shared" si="58"/>
        <v>2021/07</v>
      </c>
      <c r="E569" s="96" t="str">
        <f t="shared" ca="1" si="59"/>
        <v>M-9</v>
      </c>
      <c r="F569" s="96" t="str">
        <f t="shared" si="60"/>
        <v>Wed</v>
      </c>
      <c r="G569" s="96">
        <f t="shared" si="61"/>
        <v>1</v>
      </c>
    </row>
    <row r="570" spans="1:7" x14ac:dyDescent="0.3">
      <c r="A570" s="63">
        <f t="shared" si="62"/>
        <v>44399</v>
      </c>
      <c r="B570" s="96">
        <f t="shared" si="56"/>
        <v>7</v>
      </c>
      <c r="C570" s="96">
        <f t="shared" si="57"/>
        <v>2021</v>
      </c>
      <c r="D570" s="96" t="str">
        <f t="shared" si="58"/>
        <v>2021/07</v>
      </c>
      <c r="E570" s="96" t="str">
        <f t="shared" ca="1" si="59"/>
        <v>M-9</v>
      </c>
      <c r="F570" s="96" t="str">
        <f t="shared" si="60"/>
        <v>Thu</v>
      </c>
      <c r="G570" s="96">
        <f t="shared" si="61"/>
        <v>1</v>
      </c>
    </row>
    <row r="571" spans="1:7" x14ac:dyDescent="0.3">
      <c r="A571" s="63">
        <f t="shared" si="62"/>
        <v>44400</v>
      </c>
      <c r="B571" s="96">
        <f t="shared" si="56"/>
        <v>7</v>
      </c>
      <c r="C571" s="96">
        <f t="shared" si="57"/>
        <v>2021</v>
      </c>
      <c r="D571" s="96" t="str">
        <f t="shared" si="58"/>
        <v>2021/07</v>
      </c>
      <c r="E571" s="96" t="str">
        <f t="shared" ca="1" si="59"/>
        <v>M-9</v>
      </c>
      <c r="F571" s="96" t="str">
        <f t="shared" si="60"/>
        <v>Fri</v>
      </c>
      <c r="G571" s="96">
        <f t="shared" si="61"/>
        <v>1</v>
      </c>
    </row>
    <row r="572" spans="1:7" x14ac:dyDescent="0.3">
      <c r="A572" s="63">
        <f t="shared" si="62"/>
        <v>44401</v>
      </c>
      <c r="B572" s="96">
        <f t="shared" si="56"/>
        <v>7</v>
      </c>
      <c r="C572" s="96">
        <f t="shared" si="57"/>
        <v>2021</v>
      </c>
      <c r="D572" s="96" t="str">
        <f t="shared" si="58"/>
        <v>2021/07</v>
      </c>
      <c r="E572" s="96" t="str">
        <f t="shared" ca="1" si="59"/>
        <v>M-9</v>
      </c>
      <c r="F572" s="96" t="str">
        <f t="shared" si="60"/>
        <v>Sat</v>
      </c>
      <c r="G572" s="96">
        <f t="shared" si="61"/>
        <v>0</v>
      </c>
    </row>
    <row r="573" spans="1:7" x14ac:dyDescent="0.3">
      <c r="A573" s="63">
        <f t="shared" si="62"/>
        <v>44402</v>
      </c>
      <c r="B573" s="96">
        <f t="shared" si="56"/>
        <v>7</v>
      </c>
      <c r="C573" s="96">
        <f t="shared" si="57"/>
        <v>2021</v>
      </c>
      <c r="D573" s="96" t="str">
        <f t="shared" si="58"/>
        <v>2021/07</v>
      </c>
      <c r="E573" s="96" t="str">
        <f t="shared" ca="1" si="59"/>
        <v>M-9</v>
      </c>
      <c r="F573" s="96" t="str">
        <f t="shared" si="60"/>
        <v>Sun</v>
      </c>
      <c r="G573" s="96">
        <f t="shared" si="61"/>
        <v>0</v>
      </c>
    </row>
    <row r="574" spans="1:7" x14ac:dyDescent="0.3">
      <c r="A574" s="63">
        <f t="shared" si="62"/>
        <v>44403</v>
      </c>
      <c r="B574" s="96">
        <f t="shared" si="56"/>
        <v>7</v>
      </c>
      <c r="C574" s="96">
        <f t="shared" si="57"/>
        <v>2021</v>
      </c>
      <c r="D574" s="96" t="str">
        <f t="shared" si="58"/>
        <v>2021/07</v>
      </c>
      <c r="E574" s="96" t="str">
        <f t="shared" ca="1" si="59"/>
        <v>M-9</v>
      </c>
      <c r="F574" s="96" t="str">
        <f t="shared" si="60"/>
        <v>Mon</v>
      </c>
      <c r="G574" s="96">
        <f t="shared" si="61"/>
        <v>1</v>
      </c>
    </row>
    <row r="575" spans="1:7" x14ac:dyDescent="0.3">
      <c r="A575" s="63">
        <f t="shared" si="62"/>
        <v>44404</v>
      </c>
      <c r="B575" s="96">
        <f t="shared" si="56"/>
        <v>7</v>
      </c>
      <c r="C575" s="96">
        <f t="shared" si="57"/>
        <v>2021</v>
      </c>
      <c r="D575" s="96" t="str">
        <f t="shared" si="58"/>
        <v>2021/07</v>
      </c>
      <c r="E575" s="96" t="str">
        <f t="shared" ca="1" si="59"/>
        <v>M-9</v>
      </c>
      <c r="F575" s="96" t="str">
        <f t="shared" si="60"/>
        <v>Tue</v>
      </c>
      <c r="G575" s="96">
        <f t="shared" si="61"/>
        <v>1</v>
      </c>
    </row>
    <row r="576" spans="1:7" x14ac:dyDescent="0.3">
      <c r="A576" s="63">
        <f t="shared" si="62"/>
        <v>44405</v>
      </c>
      <c r="B576" s="96">
        <f t="shared" si="56"/>
        <v>7</v>
      </c>
      <c r="C576" s="96">
        <f t="shared" si="57"/>
        <v>2021</v>
      </c>
      <c r="D576" s="96" t="str">
        <f t="shared" si="58"/>
        <v>2021/07</v>
      </c>
      <c r="E576" s="96" t="str">
        <f t="shared" ca="1" si="59"/>
        <v>M-9</v>
      </c>
      <c r="F576" s="96" t="str">
        <f t="shared" si="60"/>
        <v>Wed</v>
      </c>
      <c r="G576" s="96">
        <f t="shared" si="61"/>
        <v>1</v>
      </c>
    </row>
    <row r="577" spans="1:7" x14ac:dyDescent="0.3">
      <c r="A577" s="63">
        <f t="shared" si="62"/>
        <v>44406</v>
      </c>
      <c r="B577" s="96">
        <f t="shared" si="56"/>
        <v>7</v>
      </c>
      <c r="C577" s="96">
        <f t="shared" si="57"/>
        <v>2021</v>
      </c>
      <c r="D577" s="96" t="str">
        <f t="shared" si="58"/>
        <v>2021/07</v>
      </c>
      <c r="E577" s="96" t="str">
        <f t="shared" ca="1" si="59"/>
        <v>M-9</v>
      </c>
      <c r="F577" s="96" t="str">
        <f t="shared" si="60"/>
        <v>Thu</v>
      </c>
      <c r="G577" s="96">
        <f t="shared" si="61"/>
        <v>1</v>
      </c>
    </row>
    <row r="578" spans="1:7" x14ac:dyDescent="0.3">
      <c r="A578" s="63">
        <f t="shared" si="62"/>
        <v>44407</v>
      </c>
      <c r="B578" s="96">
        <f t="shared" si="56"/>
        <v>7</v>
      </c>
      <c r="C578" s="96">
        <f t="shared" si="57"/>
        <v>2021</v>
      </c>
      <c r="D578" s="96" t="str">
        <f t="shared" si="58"/>
        <v>2021/07</v>
      </c>
      <c r="E578" s="96" t="str">
        <f t="shared" ca="1" si="59"/>
        <v>M-9</v>
      </c>
      <c r="F578" s="96" t="str">
        <f t="shared" si="60"/>
        <v>Fri</v>
      </c>
      <c r="G578" s="96">
        <f t="shared" si="61"/>
        <v>1</v>
      </c>
    </row>
    <row r="579" spans="1:7" x14ac:dyDescent="0.3">
      <c r="A579" s="63">
        <f t="shared" si="62"/>
        <v>44408</v>
      </c>
      <c r="B579" s="96">
        <f t="shared" ref="B579:B642" si="63">MONTH(A579)</f>
        <v>7</v>
      </c>
      <c r="C579" s="96">
        <f t="shared" ref="C579:C642" si="64">YEAR(A579)</f>
        <v>2021</v>
      </c>
      <c r="D579" s="96" t="str">
        <f t="shared" ref="D579:D642" si="65">CONCATENATE(C579,"/",TEXT(B579,"00"))</f>
        <v>2021/07</v>
      </c>
      <c r="E579" s="96" t="str">
        <f t="shared" ref="E579:E642" ca="1" si="66">CONCATENATE("M",B579-MONTH(TODAY())+12*(YEAR(TODAY())-C579))</f>
        <v>M-9</v>
      </c>
      <c r="F579" s="96" t="str">
        <f t="shared" ref="F579:F642" si="67">TEXT(A579,"ddd")</f>
        <v>Sat</v>
      </c>
      <c r="G579" s="96">
        <f t="shared" ref="G579:G642" si="68">IF(LEFT(F579,1)="s",0,1)</f>
        <v>0</v>
      </c>
    </row>
    <row r="580" spans="1:7" x14ac:dyDescent="0.3">
      <c r="A580" s="63">
        <f t="shared" ref="A580:A643" si="69">A579+1</f>
        <v>44409</v>
      </c>
      <c r="B580" s="96">
        <f t="shared" si="63"/>
        <v>8</v>
      </c>
      <c r="C580" s="96">
        <f t="shared" si="64"/>
        <v>2021</v>
      </c>
      <c r="D580" s="96" t="str">
        <f t="shared" si="65"/>
        <v>2021/08</v>
      </c>
      <c r="E580" s="96" t="str">
        <f t="shared" ca="1" si="66"/>
        <v>M-8</v>
      </c>
      <c r="F580" s="96" t="str">
        <f t="shared" si="67"/>
        <v>Sun</v>
      </c>
      <c r="G580" s="96">
        <f t="shared" si="68"/>
        <v>0</v>
      </c>
    </row>
    <row r="581" spans="1:7" x14ac:dyDescent="0.3">
      <c r="A581" s="63">
        <f t="shared" si="69"/>
        <v>44410</v>
      </c>
      <c r="B581" s="96">
        <f t="shared" si="63"/>
        <v>8</v>
      </c>
      <c r="C581" s="96">
        <f t="shared" si="64"/>
        <v>2021</v>
      </c>
      <c r="D581" s="96" t="str">
        <f t="shared" si="65"/>
        <v>2021/08</v>
      </c>
      <c r="E581" s="96" t="str">
        <f t="shared" ca="1" si="66"/>
        <v>M-8</v>
      </c>
      <c r="F581" s="96" t="str">
        <f t="shared" si="67"/>
        <v>Mon</v>
      </c>
      <c r="G581" s="96">
        <f t="shared" si="68"/>
        <v>1</v>
      </c>
    </row>
    <row r="582" spans="1:7" x14ac:dyDescent="0.3">
      <c r="A582" s="63">
        <f t="shared" si="69"/>
        <v>44411</v>
      </c>
      <c r="B582" s="96">
        <f t="shared" si="63"/>
        <v>8</v>
      </c>
      <c r="C582" s="96">
        <f t="shared" si="64"/>
        <v>2021</v>
      </c>
      <c r="D582" s="96" t="str">
        <f t="shared" si="65"/>
        <v>2021/08</v>
      </c>
      <c r="E582" s="96" t="str">
        <f t="shared" ca="1" si="66"/>
        <v>M-8</v>
      </c>
      <c r="F582" s="96" t="str">
        <f t="shared" si="67"/>
        <v>Tue</v>
      </c>
      <c r="G582" s="96">
        <f t="shared" si="68"/>
        <v>1</v>
      </c>
    </row>
    <row r="583" spans="1:7" x14ac:dyDescent="0.3">
      <c r="A583" s="63">
        <f t="shared" si="69"/>
        <v>44412</v>
      </c>
      <c r="B583" s="96">
        <f t="shared" si="63"/>
        <v>8</v>
      </c>
      <c r="C583" s="96">
        <f t="shared" si="64"/>
        <v>2021</v>
      </c>
      <c r="D583" s="96" t="str">
        <f t="shared" si="65"/>
        <v>2021/08</v>
      </c>
      <c r="E583" s="96" t="str">
        <f t="shared" ca="1" si="66"/>
        <v>M-8</v>
      </c>
      <c r="F583" s="96" t="str">
        <f t="shared" si="67"/>
        <v>Wed</v>
      </c>
      <c r="G583" s="96">
        <f t="shared" si="68"/>
        <v>1</v>
      </c>
    </row>
    <row r="584" spans="1:7" x14ac:dyDescent="0.3">
      <c r="A584" s="63">
        <f t="shared" si="69"/>
        <v>44413</v>
      </c>
      <c r="B584" s="96">
        <f t="shared" si="63"/>
        <v>8</v>
      </c>
      <c r="C584" s="96">
        <f t="shared" si="64"/>
        <v>2021</v>
      </c>
      <c r="D584" s="96" t="str">
        <f t="shared" si="65"/>
        <v>2021/08</v>
      </c>
      <c r="E584" s="96" t="str">
        <f t="shared" ca="1" si="66"/>
        <v>M-8</v>
      </c>
      <c r="F584" s="96" t="str">
        <f t="shared" si="67"/>
        <v>Thu</v>
      </c>
      <c r="G584" s="96">
        <f t="shared" si="68"/>
        <v>1</v>
      </c>
    </row>
    <row r="585" spans="1:7" x14ac:dyDescent="0.3">
      <c r="A585" s="63">
        <f t="shared" si="69"/>
        <v>44414</v>
      </c>
      <c r="B585" s="96">
        <f t="shared" si="63"/>
        <v>8</v>
      </c>
      <c r="C585" s="96">
        <f t="shared" si="64"/>
        <v>2021</v>
      </c>
      <c r="D585" s="96" t="str">
        <f t="shared" si="65"/>
        <v>2021/08</v>
      </c>
      <c r="E585" s="96" t="str">
        <f t="shared" ca="1" si="66"/>
        <v>M-8</v>
      </c>
      <c r="F585" s="96" t="str">
        <f t="shared" si="67"/>
        <v>Fri</v>
      </c>
      <c r="G585" s="96">
        <f t="shared" si="68"/>
        <v>1</v>
      </c>
    </row>
    <row r="586" spans="1:7" x14ac:dyDescent="0.3">
      <c r="A586" s="63">
        <f t="shared" si="69"/>
        <v>44415</v>
      </c>
      <c r="B586" s="96">
        <f t="shared" si="63"/>
        <v>8</v>
      </c>
      <c r="C586" s="96">
        <f t="shared" si="64"/>
        <v>2021</v>
      </c>
      <c r="D586" s="96" t="str">
        <f t="shared" si="65"/>
        <v>2021/08</v>
      </c>
      <c r="E586" s="96" t="str">
        <f t="shared" ca="1" si="66"/>
        <v>M-8</v>
      </c>
      <c r="F586" s="96" t="str">
        <f t="shared" si="67"/>
        <v>Sat</v>
      </c>
      <c r="G586" s="96">
        <f t="shared" si="68"/>
        <v>0</v>
      </c>
    </row>
    <row r="587" spans="1:7" x14ac:dyDescent="0.3">
      <c r="A587" s="63">
        <f t="shared" si="69"/>
        <v>44416</v>
      </c>
      <c r="B587" s="96">
        <f t="shared" si="63"/>
        <v>8</v>
      </c>
      <c r="C587" s="96">
        <f t="shared" si="64"/>
        <v>2021</v>
      </c>
      <c r="D587" s="96" t="str">
        <f t="shared" si="65"/>
        <v>2021/08</v>
      </c>
      <c r="E587" s="96" t="str">
        <f t="shared" ca="1" si="66"/>
        <v>M-8</v>
      </c>
      <c r="F587" s="96" t="str">
        <f t="shared" si="67"/>
        <v>Sun</v>
      </c>
      <c r="G587" s="96">
        <f t="shared" si="68"/>
        <v>0</v>
      </c>
    </row>
    <row r="588" spans="1:7" x14ac:dyDescent="0.3">
      <c r="A588" s="63">
        <f t="shared" si="69"/>
        <v>44417</v>
      </c>
      <c r="B588" s="96">
        <f t="shared" si="63"/>
        <v>8</v>
      </c>
      <c r="C588" s="96">
        <f t="shared" si="64"/>
        <v>2021</v>
      </c>
      <c r="D588" s="96" t="str">
        <f t="shared" si="65"/>
        <v>2021/08</v>
      </c>
      <c r="E588" s="96" t="str">
        <f t="shared" ca="1" si="66"/>
        <v>M-8</v>
      </c>
      <c r="F588" s="96" t="str">
        <f t="shared" si="67"/>
        <v>Mon</v>
      </c>
      <c r="G588" s="96">
        <f t="shared" si="68"/>
        <v>1</v>
      </c>
    </row>
    <row r="589" spans="1:7" x14ac:dyDescent="0.3">
      <c r="A589" s="63">
        <f t="shared" si="69"/>
        <v>44418</v>
      </c>
      <c r="B589" s="96">
        <f t="shared" si="63"/>
        <v>8</v>
      </c>
      <c r="C589" s="96">
        <f t="shared" si="64"/>
        <v>2021</v>
      </c>
      <c r="D589" s="96" t="str">
        <f t="shared" si="65"/>
        <v>2021/08</v>
      </c>
      <c r="E589" s="96" t="str">
        <f t="shared" ca="1" si="66"/>
        <v>M-8</v>
      </c>
      <c r="F589" s="96" t="str">
        <f t="shared" si="67"/>
        <v>Tue</v>
      </c>
      <c r="G589" s="96">
        <f t="shared" si="68"/>
        <v>1</v>
      </c>
    </row>
    <row r="590" spans="1:7" x14ac:dyDescent="0.3">
      <c r="A590" s="63">
        <f t="shared" si="69"/>
        <v>44419</v>
      </c>
      <c r="B590" s="96">
        <f t="shared" si="63"/>
        <v>8</v>
      </c>
      <c r="C590" s="96">
        <f t="shared" si="64"/>
        <v>2021</v>
      </c>
      <c r="D590" s="96" t="str">
        <f t="shared" si="65"/>
        <v>2021/08</v>
      </c>
      <c r="E590" s="96" t="str">
        <f t="shared" ca="1" si="66"/>
        <v>M-8</v>
      </c>
      <c r="F590" s="96" t="str">
        <f t="shared" si="67"/>
        <v>Wed</v>
      </c>
      <c r="G590" s="96">
        <f t="shared" si="68"/>
        <v>1</v>
      </c>
    </row>
    <row r="591" spans="1:7" x14ac:dyDescent="0.3">
      <c r="A591" s="63">
        <f t="shared" si="69"/>
        <v>44420</v>
      </c>
      <c r="B591" s="96">
        <f t="shared" si="63"/>
        <v>8</v>
      </c>
      <c r="C591" s="96">
        <f t="shared" si="64"/>
        <v>2021</v>
      </c>
      <c r="D591" s="96" t="str">
        <f t="shared" si="65"/>
        <v>2021/08</v>
      </c>
      <c r="E591" s="96" t="str">
        <f t="shared" ca="1" si="66"/>
        <v>M-8</v>
      </c>
      <c r="F591" s="96" t="str">
        <f t="shared" si="67"/>
        <v>Thu</v>
      </c>
      <c r="G591" s="96">
        <f t="shared" si="68"/>
        <v>1</v>
      </c>
    </row>
    <row r="592" spans="1:7" x14ac:dyDescent="0.3">
      <c r="A592" s="63">
        <f t="shared" si="69"/>
        <v>44421</v>
      </c>
      <c r="B592" s="96">
        <f t="shared" si="63"/>
        <v>8</v>
      </c>
      <c r="C592" s="96">
        <f t="shared" si="64"/>
        <v>2021</v>
      </c>
      <c r="D592" s="96" t="str">
        <f t="shared" si="65"/>
        <v>2021/08</v>
      </c>
      <c r="E592" s="96" t="str">
        <f t="shared" ca="1" si="66"/>
        <v>M-8</v>
      </c>
      <c r="F592" s="96" t="str">
        <f t="shared" si="67"/>
        <v>Fri</v>
      </c>
      <c r="G592" s="96">
        <f t="shared" si="68"/>
        <v>1</v>
      </c>
    </row>
    <row r="593" spans="1:7" x14ac:dyDescent="0.3">
      <c r="A593" s="63">
        <f t="shared" si="69"/>
        <v>44422</v>
      </c>
      <c r="B593" s="96">
        <f t="shared" si="63"/>
        <v>8</v>
      </c>
      <c r="C593" s="96">
        <f t="shared" si="64"/>
        <v>2021</v>
      </c>
      <c r="D593" s="96" t="str">
        <f t="shared" si="65"/>
        <v>2021/08</v>
      </c>
      <c r="E593" s="96" t="str">
        <f t="shared" ca="1" si="66"/>
        <v>M-8</v>
      </c>
      <c r="F593" s="96" t="str">
        <f t="shared" si="67"/>
        <v>Sat</v>
      </c>
      <c r="G593" s="96">
        <f t="shared" si="68"/>
        <v>0</v>
      </c>
    </row>
    <row r="594" spans="1:7" x14ac:dyDescent="0.3">
      <c r="A594" s="63">
        <f t="shared" si="69"/>
        <v>44423</v>
      </c>
      <c r="B594" s="96">
        <f t="shared" si="63"/>
        <v>8</v>
      </c>
      <c r="C594" s="96">
        <f t="shared" si="64"/>
        <v>2021</v>
      </c>
      <c r="D594" s="96" t="str">
        <f t="shared" si="65"/>
        <v>2021/08</v>
      </c>
      <c r="E594" s="96" t="str">
        <f t="shared" ca="1" si="66"/>
        <v>M-8</v>
      </c>
      <c r="F594" s="96" t="str">
        <f t="shared" si="67"/>
        <v>Sun</v>
      </c>
      <c r="G594" s="96">
        <f t="shared" si="68"/>
        <v>0</v>
      </c>
    </row>
    <row r="595" spans="1:7" x14ac:dyDescent="0.3">
      <c r="A595" s="63">
        <f t="shared" si="69"/>
        <v>44424</v>
      </c>
      <c r="B595" s="96">
        <f t="shared" si="63"/>
        <v>8</v>
      </c>
      <c r="C595" s="96">
        <f t="shared" si="64"/>
        <v>2021</v>
      </c>
      <c r="D595" s="96" t="str">
        <f t="shared" si="65"/>
        <v>2021/08</v>
      </c>
      <c r="E595" s="96" t="str">
        <f t="shared" ca="1" si="66"/>
        <v>M-8</v>
      </c>
      <c r="F595" s="96" t="str">
        <f t="shared" si="67"/>
        <v>Mon</v>
      </c>
      <c r="G595" s="96">
        <f t="shared" si="68"/>
        <v>1</v>
      </c>
    </row>
    <row r="596" spans="1:7" x14ac:dyDescent="0.3">
      <c r="A596" s="63">
        <f t="shared" si="69"/>
        <v>44425</v>
      </c>
      <c r="B596" s="96">
        <f t="shared" si="63"/>
        <v>8</v>
      </c>
      <c r="C596" s="96">
        <f t="shared" si="64"/>
        <v>2021</v>
      </c>
      <c r="D596" s="96" t="str">
        <f t="shared" si="65"/>
        <v>2021/08</v>
      </c>
      <c r="E596" s="96" t="str">
        <f t="shared" ca="1" si="66"/>
        <v>M-8</v>
      </c>
      <c r="F596" s="96" t="str">
        <f t="shared" si="67"/>
        <v>Tue</v>
      </c>
      <c r="G596" s="96">
        <f t="shared" si="68"/>
        <v>1</v>
      </c>
    </row>
    <row r="597" spans="1:7" x14ac:dyDescent="0.3">
      <c r="A597" s="63">
        <f t="shared" si="69"/>
        <v>44426</v>
      </c>
      <c r="B597" s="96">
        <f t="shared" si="63"/>
        <v>8</v>
      </c>
      <c r="C597" s="96">
        <f t="shared" si="64"/>
        <v>2021</v>
      </c>
      <c r="D597" s="96" t="str">
        <f t="shared" si="65"/>
        <v>2021/08</v>
      </c>
      <c r="E597" s="96" t="str">
        <f t="shared" ca="1" si="66"/>
        <v>M-8</v>
      </c>
      <c r="F597" s="96" t="str">
        <f t="shared" si="67"/>
        <v>Wed</v>
      </c>
      <c r="G597" s="96">
        <f t="shared" si="68"/>
        <v>1</v>
      </c>
    </row>
    <row r="598" spans="1:7" x14ac:dyDescent="0.3">
      <c r="A598" s="63">
        <f t="shared" si="69"/>
        <v>44427</v>
      </c>
      <c r="B598" s="96">
        <f t="shared" si="63"/>
        <v>8</v>
      </c>
      <c r="C598" s="96">
        <f t="shared" si="64"/>
        <v>2021</v>
      </c>
      <c r="D598" s="96" t="str">
        <f t="shared" si="65"/>
        <v>2021/08</v>
      </c>
      <c r="E598" s="96" t="str">
        <f t="shared" ca="1" si="66"/>
        <v>M-8</v>
      </c>
      <c r="F598" s="96" t="str">
        <f t="shared" si="67"/>
        <v>Thu</v>
      </c>
      <c r="G598" s="96">
        <f t="shared" si="68"/>
        <v>1</v>
      </c>
    </row>
    <row r="599" spans="1:7" x14ac:dyDescent="0.3">
      <c r="A599" s="63">
        <f t="shared" si="69"/>
        <v>44428</v>
      </c>
      <c r="B599" s="96">
        <f t="shared" si="63"/>
        <v>8</v>
      </c>
      <c r="C599" s="96">
        <f t="shared" si="64"/>
        <v>2021</v>
      </c>
      <c r="D599" s="96" t="str">
        <f t="shared" si="65"/>
        <v>2021/08</v>
      </c>
      <c r="E599" s="96" t="str">
        <f t="shared" ca="1" si="66"/>
        <v>M-8</v>
      </c>
      <c r="F599" s="96" t="str">
        <f t="shared" si="67"/>
        <v>Fri</v>
      </c>
      <c r="G599" s="96">
        <f t="shared" si="68"/>
        <v>1</v>
      </c>
    </row>
    <row r="600" spans="1:7" x14ac:dyDescent="0.3">
      <c r="A600" s="63">
        <f t="shared" si="69"/>
        <v>44429</v>
      </c>
      <c r="B600" s="96">
        <f t="shared" si="63"/>
        <v>8</v>
      </c>
      <c r="C600" s="96">
        <f t="shared" si="64"/>
        <v>2021</v>
      </c>
      <c r="D600" s="96" t="str">
        <f t="shared" si="65"/>
        <v>2021/08</v>
      </c>
      <c r="E600" s="96" t="str">
        <f t="shared" ca="1" si="66"/>
        <v>M-8</v>
      </c>
      <c r="F600" s="96" t="str">
        <f t="shared" si="67"/>
        <v>Sat</v>
      </c>
      <c r="G600" s="96">
        <f t="shared" si="68"/>
        <v>0</v>
      </c>
    </row>
    <row r="601" spans="1:7" x14ac:dyDescent="0.3">
      <c r="A601" s="63">
        <f t="shared" si="69"/>
        <v>44430</v>
      </c>
      <c r="B601" s="96">
        <f t="shared" si="63"/>
        <v>8</v>
      </c>
      <c r="C601" s="96">
        <f t="shared" si="64"/>
        <v>2021</v>
      </c>
      <c r="D601" s="96" t="str">
        <f t="shared" si="65"/>
        <v>2021/08</v>
      </c>
      <c r="E601" s="96" t="str">
        <f t="shared" ca="1" si="66"/>
        <v>M-8</v>
      </c>
      <c r="F601" s="96" t="str">
        <f t="shared" si="67"/>
        <v>Sun</v>
      </c>
      <c r="G601" s="96">
        <f t="shared" si="68"/>
        <v>0</v>
      </c>
    </row>
    <row r="602" spans="1:7" x14ac:dyDescent="0.3">
      <c r="A602" s="63">
        <f t="shared" si="69"/>
        <v>44431</v>
      </c>
      <c r="B602" s="96">
        <f t="shared" si="63"/>
        <v>8</v>
      </c>
      <c r="C602" s="96">
        <f t="shared" si="64"/>
        <v>2021</v>
      </c>
      <c r="D602" s="96" t="str">
        <f t="shared" si="65"/>
        <v>2021/08</v>
      </c>
      <c r="E602" s="96" t="str">
        <f t="shared" ca="1" si="66"/>
        <v>M-8</v>
      </c>
      <c r="F602" s="96" t="str">
        <f t="shared" si="67"/>
        <v>Mon</v>
      </c>
      <c r="G602" s="96">
        <f t="shared" si="68"/>
        <v>1</v>
      </c>
    </row>
    <row r="603" spans="1:7" x14ac:dyDescent="0.3">
      <c r="A603" s="63">
        <f t="shared" si="69"/>
        <v>44432</v>
      </c>
      <c r="B603" s="96">
        <f t="shared" si="63"/>
        <v>8</v>
      </c>
      <c r="C603" s="96">
        <f t="shared" si="64"/>
        <v>2021</v>
      </c>
      <c r="D603" s="96" t="str">
        <f t="shared" si="65"/>
        <v>2021/08</v>
      </c>
      <c r="E603" s="96" t="str">
        <f t="shared" ca="1" si="66"/>
        <v>M-8</v>
      </c>
      <c r="F603" s="96" t="str">
        <f t="shared" si="67"/>
        <v>Tue</v>
      </c>
      <c r="G603" s="96">
        <f t="shared" si="68"/>
        <v>1</v>
      </c>
    </row>
    <row r="604" spans="1:7" x14ac:dyDescent="0.3">
      <c r="A604" s="63">
        <f t="shared" si="69"/>
        <v>44433</v>
      </c>
      <c r="B604" s="96">
        <f t="shared" si="63"/>
        <v>8</v>
      </c>
      <c r="C604" s="96">
        <f t="shared" si="64"/>
        <v>2021</v>
      </c>
      <c r="D604" s="96" t="str">
        <f t="shared" si="65"/>
        <v>2021/08</v>
      </c>
      <c r="E604" s="96" t="str">
        <f t="shared" ca="1" si="66"/>
        <v>M-8</v>
      </c>
      <c r="F604" s="96" t="str">
        <f t="shared" si="67"/>
        <v>Wed</v>
      </c>
      <c r="G604" s="96">
        <f t="shared" si="68"/>
        <v>1</v>
      </c>
    </row>
    <row r="605" spans="1:7" x14ac:dyDescent="0.3">
      <c r="A605" s="63">
        <f t="shared" si="69"/>
        <v>44434</v>
      </c>
      <c r="B605" s="96">
        <f t="shared" si="63"/>
        <v>8</v>
      </c>
      <c r="C605" s="96">
        <f t="shared" si="64"/>
        <v>2021</v>
      </c>
      <c r="D605" s="96" t="str">
        <f t="shared" si="65"/>
        <v>2021/08</v>
      </c>
      <c r="E605" s="96" t="str">
        <f t="shared" ca="1" si="66"/>
        <v>M-8</v>
      </c>
      <c r="F605" s="96" t="str">
        <f t="shared" si="67"/>
        <v>Thu</v>
      </c>
      <c r="G605" s="96">
        <f t="shared" si="68"/>
        <v>1</v>
      </c>
    </row>
    <row r="606" spans="1:7" x14ac:dyDescent="0.3">
      <c r="A606" s="63">
        <f t="shared" si="69"/>
        <v>44435</v>
      </c>
      <c r="B606" s="96">
        <f t="shared" si="63"/>
        <v>8</v>
      </c>
      <c r="C606" s="96">
        <f t="shared" si="64"/>
        <v>2021</v>
      </c>
      <c r="D606" s="96" t="str">
        <f t="shared" si="65"/>
        <v>2021/08</v>
      </c>
      <c r="E606" s="96" t="str">
        <f t="shared" ca="1" si="66"/>
        <v>M-8</v>
      </c>
      <c r="F606" s="96" t="str">
        <f t="shared" si="67"/>
        <v>Fri</v>
      </c>
      <c r="G606" s="96">
        <f t="shared" si="68"/>
        <v>1</v>
      </c>
    </row>
    <row r="607" spans="1:7" x14ac:dyDescent="0.3">
      <c r="A607" s="63">
        <f t="shared" si="69"/>
        <v>44436</v>
      </c>
      <c r="B607" s="96">
        <f t="shared" si="63"/>
        <v>8</v>
      </c>
      <c r="C607" s="96">
        <f t="shared" si="64"/>
        <v>2021</v>
      </c>
      <c r="D607" s="96" t="str">
        <f t="shared" si="65"/>
        <v>2021/08</v>
      </c>
      <c r="E607" s="96" t="str">
        <f t="shared" ca="1" si="66"/>
        <v>M-8</v>
      </c>
      <c r="F607" s="96" t="str">
        <f t="shared" si="67"/>
        <v>Sat</v>
      </c>
      <c r="G607" s="96">
        <f t="shared" si="68"/>
        <v>0</v>
      </c>
    </row>
    <row r="608" spans="1:7" x14ac:dyDescent="0.3">
      <c r="A608" s="63">
        <f t="shared" si="69"/>
        <v>44437</v>
      </c>
      <c r="B608" s="96">
        <f t="shared" si="63"/>
        <v>8</v>
      </c>
      <c r="C608" s="96">
        <f t="shared" si="64"/>
        <v>2021</v>
      </c>
      <c r="D608" s="96" t="str">
        <f t="shared" si="65"/>
        <v>2021/08</v>
      </c>
      <c r="E608" s="96" t="str">
        <f t="shared" ca="1" si="66"/>
        <v>M-8</v>
      </c>
      <c r="F608" s="96" t="str">
        <f t="shared" si="67"/>
        <v>Sun</v>
      </c>
      <c r="G608" s="96">
        <f t="shared" si="68"/>
        <v>0</v>
      </c>
    </row>
    <row r="609" spans="1:7" x14ac:dyDescent="0.3">
      <c r="A609" s="63">
        <f t="shared" si="69"/>
        <v>44438</v>
      </c>
      <c r="B609" s="96">
        <f t="shared" si="63"/>
        <v>8</v>
      </c>
      <c r="C609" s="96">
        <f t="shared" si="64"/>
        <v>2021</v>
      </c>
      <c r="D609" s="96" t="str">
        <f t="shared" si="65"/>
        <v>2021/08</v>
      </c>
      <c r="E609" s="96" t="str">
        <f t="shared" ca="1" si="66"/>
        <v>M-8</v>
      </c>
      <c r="F609" s="96" t="str">
        <f t="shared" si="67"/>
        <v>Mon</v>
      </c>
      <c r="G609" s="96">
        <f t="shared" si="68"/>
        <v>1</v>
      </c>
    </row>
    <row r="610" spans="1:7" x14ac:dyDescent="0.3">
      <c r="A610" s="63">
        <f t="shared" si="69"/>
        <v>44439</v>
      </c>
      <c r="B610" s="96">
        <f t="shared" si="63"/>
        <v>8</v>
      </c>
      <c r="C610" s="96">
        <f t="shared" si="64"/>
        <v>2021</v>
      </c>
      <c r="D610" s="96" t="str">
        <f t="shared" si="65"/>
        <v>2021/08</v>
      </c>
      <c r="E610" s="96" t="str">
        <f t="shared" ca="1" si="66"/>
        <v>M-8</v>
      </c>
      <c r="F610" s="96" t="str">
        <f t="shared" si="67"/>
        <v>Tue</v>
      </c>
      <c r="G610" s="96">
        <f t="shared" si="68"/>
        <v>1</v>
      </c>
    </row>
    <row r="611" spans="1:7" x14ac:dyDescent="0.3">
      <c r="A611" s="63">
        <f t="shared" si="69"/>
        <v>44440</v>
      </c>
      <c r="B611" s="96">
        <f t="shared" si="63"/>
        <v>9</v>
      </c>
      <c r="C611" s="96">
        <f t="shared" si="64"/>
        <v>2021</v>
      </c>
      <c r="D611" s="96" t="str">
        <f t="shared" si="65"/>
        <v>2021/09</v>
      </c>
      <c r="E611" s="96" t="str">
        <f t="shared" ca="1" si="66"/>
        <v>M-7</v>
      </c>
      <c r="F611" s="96" t="str">
        <f t="shared" si="67"/>
        <v>Wed</v>
      </c>
      <c r="G611" s="96">
        <f t="shared" si="68"/>
        <v>1</v>
      </c>
    </row>
    <row r="612" spans="1:7" x14ac:dyDescent="0.3">
      <c r="A612" s="63">
        <f t="shared" si="69"/>
        <v>44441</v>
      </c>
      <c r="B612" s="96">
        <f t="shared" si="63"/>
        <v>9</v>
      </c>
      <c r="C612" s="96">
        <f t="shared" si="64"/>
        <v>2021</v>
      </c>
      <c r="D612" s="96" t="str">
        <f t="shared" si="65"/>
        <v>2021/09</v>
      </c>
      <c r="E612" s="96" t="str">
        <f t="shared" ca="1" si="66"/>
        <v>M-7</v>
      </c>
      <c r="F612" s="96" t="str">
        <f t="shared" si="67"/>
        <v>Thu</v>
      </c>
      <c r="G612" s="96">
        <f t="shared" si="68"/>
        <v>1</v>
      </c>
    </row>
    <row r="613" spans="1:7" x14ac:dyDescent="0.3">
      <c r="A613" s="63">
        <f t="shared" si="69"/>
        <v>44442</v>
      </c>
      <c r="B613" s="96">
        <f t="shared" si="63"/>
        <v>9</v>
      </c>
      <c r="C613" s="96">
        <f t="shared" si="64"/>
        <v>2021</v>
      </c>
      <c r="D613" s="96" t="str">
        <f t="shared" si="65"/>
        <v>2021/09</v>
      </c>
      <c r="E613" s="96" t="str">
        <f t="shared" ca="1" si="66"/>
        <v>M-7</v>
      </c>
      <c r="F613" s="96" t="str">
        <f t="shared" si="67"/>
        <v>Fri</v>
      </c>
      <c r="G613" s="96">
        <f t="shared" si="68"/>
        <v>1</v>
      </c>
    </row>
    <row r="614" spans="1:7" x14ac:dyDescent="0.3">
      <c r="A614" s="63">
        <f t="shared" si="69"/>
        <v>44443</v>
      </c>
      <c r="B614" s="96">
        <f t="shared" si="63"/>
        <v>9</v>
      </c>
      <c r="C614" s="96">
        <f t="shared" si="64"/>
        <v>2021</v>
      </c>
      <c r="D614" s="96" t="str">
        <f t="shared" si="65"/>
        <v>2021/09</v>
      </c>
      <c r="E614" s="96" t="str">
        <f t="shared" ca="1" si="66"/>
        <v>M-7</v>
      </c>
      <c r="F614" s="96" t="str">
        <f t="shared" si="67"/>
        <v>Sat</v>
      </c>
      <c r="G614" s="96">
        <f t="shared" si="68"/>
        <v>0</v>
      </c>
    </row>
    <row r="615" spans="1:7" x14ac:dyDescent="0.3">
      <c r="A615" s="63">
        <f t="shared" si="69"/>
        <v>44444</v>
      </c>
      <c r="B615" s="96">
        <f t="shared" si="63"/>
        <v>9</v>
      </c>
      <c r="C615" s="96">
        <f t="shared" si="64"/>
        <v>2021</v>
      </c>
      <c r="D615" s="96" t="str">
        <f t="shared" si="65"/>
        <v>2021/09</v>
      </c>
      <c r="E615" s="96" t="str">
        <f t="shared" ca="1" si="66"/>
        <v>M-7</v>
      </c>
      <c r="F615" s="96" t="str">
        <f t="shared" si="67"/>
        <v>Sun</v>
      </c>
      <c r="G615" s="96">
        <f t="shared" si="68"/>
        <v>0</v>
      </c>
    </row>
    <row r="616" spans="1:7" x14ac:dyDescent="0.3">
      <c r="A616" s="63">
        <f t="shared" si="69"/>
        <v>44445</v>
      </c>
      <c r="B616" s="96">
        <f t="shared" si="63"/>
        <v>9</v>
      </c>
      <c r="C616" s="96">
        <f t="shared" si="64"/>
        <v>2021</v>
      </c>
      <c r="D616" s="96" t="str">
        <f t="shared" si="65"/>
        <v>2021/09</v>
      </c>
      <c r="E616" s="96" t="str">
        <f t="shared" ca="1" si="66"/>
        <v>M-7</v>
      </c>
      <c r="F616" s="96" t="str">
        <f t="shared" si="67"/>
        <v>Mon</v>
      </c>
      <c r="G616" s="96">
        <f t="shared" si="68"/>
        <v>1</v>
      </c>
    </row>
    <row r="617" spans="1:7" x14ac:dyDescent="0.3">
      <c r="A617" s="63">
        <f t="shared" si="69"/>
        <v>44446</v>
      </c>
      <c r="B617" s="96">
        <f t="shared" si="63"/>
        <v>9</v>
      </c>
      <c r="C617" s="96">
        <f t="shared" si="64"/>
        <v>2021</v>
      </c>
      <c r="D617" s="96" t="str">
        <f t="shared" si="65"/>
        <v>2021/09</v>
      </c>
      <c r="E617" s="96" t="str">
        <f t="shared" ca="1" si="66"/>
        <v>M-7</v>
      </c>
      <c r="F617" s="96" t="str">
        <f t="shared" si="67"/>
        <v>Tue</v>
      </c>
      <c r="G617" s="96">
        <f t="shared" si="68"/>
        <v>1</v>
      </c>
    </row>
    <row r="618" spans="1:7" x14ac:dyDescent="0.3">
      <c r="A618" s="63">
        <f t="shared" si="69"/>
        <v>44447</v>
      </c>
      <c r="B618" s="96">
        <f t="shared" si="63"/>
        <v>9</v>
      </c>
      <c r="C618" s="96">
        <f t="shared" si="64"/>
        <v>2021</v>
      </c>
      <c r="D618" s="96" t="str">
        <f t="shared" si="65"/>
        <v>2021/09</v>
      </c>
      <c r="E618" s="96" t="str">
        <f t="shared" ca="1" si="66"/>
        <v>M-7</v>
      </c>
      <c r="F618" s="96" t="str">
        <f t="shared" si="67"/>
        <v>Wed</v>
      </c>
      <c r="G618" s="96">
        <f t="shared" si="68"/>
        <v>1</v>
      </c>
    </row>
    <row r="619" spans="1:7" x14ac:dyDescent="0.3">
      <c r="A619" s="63">
        <f t="shared" si="69"/>
        <v>44448</v>
      </c>
      <c r="B619" s="96">
        <f t="shared" si="63"/>
        <v>9</v>
      </c>
      <c r="C619" s="96">
        <f t="shared" si="64"/>
        <v>2021</v>
      </c>
      <c r="D619" s="96" t="str">
        <f t="shared" si="65"/>
        <v>2021/09</v>
      </c>
      <c r="E619" s="96" t="str">
        <f t="shared" ca="1" si="66"/>
        <v>M-7</v>
      </c>
      <c r="F619" s="96" t="str">
        <f t="shared" si="67"/>
        <v>Thu</v>
      </c>
      <c r="G619" s="96">
        <f t="shared" si="68"/>
        <v>1</v>
      </c>
    </row>
    <row r="620" spans="1:7" x14ac:dyDescent="0.3">
      <c r="A620" s="63">
        <f t="shared" si="69"/>
        <v>44449</v>
      </c>
      <c r="B620" s="96">
        <f t="shared" si="63"/>
        <v>9</v>
      </c>
      <c r="C620" s="96">
        <f t="shared" si="64"/>
        <v>2021</v>
      </c>
      <c r="D620" s="96" t="str">
        <f t="shared" si="65"/>
        <v>2021/09</v>
      </c>
      <c r="E620" s="96" t="str">
        <f t="shared" ca="1" si="66"/>
        <v>M-7</v>
      </c>
      <c r="F620" s="96" t="str">
        <f t="shared" si="67"/>
        <v>Fri</v>
      </c>
      <c r="G620" s="96">
        <f t="shared" si="68"/>
        <v>1</v>
      </c>
    </row>
    <row r="621" spans="1:7" x14ac:dyDescent="0.3">
      <c r="A621" s="63">
        <f t="shared" si="69"/>
        <v>44450</v>
      </c>
      <c r="B621" s="96">
        <f t="shared" si="63"/>
        <v>9</v>
      </c>
      <c r="C621" s="96">
        <f t="shared" si="64"/>
        <v>2021</v>
      </c>
      <c r="D621" s="96" t="str">
        <f t="shared" si="65"/>
        <v>2021/09</v>
      </c>
      <c r="E621" s="96" t="str">
        <f t="shared" ca="1" si="66"/>
        <v>M-7</v>
      </c>
      <c r="F621" s="96" t="str">
        <f t="shared" si="67"/>
        <v>Sat</v>
      </c>
      <c r="G621" s="96">
        <f t="shared" si="68"/>
        <v>0</v>
      </c>
    </row>
    <row r="622" spans="1:7" x14ac:dyDescent="0.3">
      <c r="A622" s="63">
        <f t="shared" si="69"/>
        <v>44451</v>
      </c>
      <c r="B622" s="96">
        <f t="shared" si="63"/>
        <v>9</v>
      </c>
      <c r="C622" s="96">
        <f t="shared" si="64"/>
        <v>2021</v>
      </c>
      <c r="D622" s="96" t="str">
        <f t="shared" si="65"/>
        <v>2021/09</v>
      </c>
      <c r="E622" s="96" t="str">
        <f t="shared" ca="1" si="66"/>
        <v>M-7</v>
      </c>
      <c r="F622" s="96" t="str">
        <f t="shared" si="67"/>
        <v>Sun</v>
      </c>
      <c r="G622" s="96">
        <f t="shared" si="68"/>
        <v>0</v>
      </c>
    </row>
    <row r="623" spans="1:7" x14ac:dyDescent="0.3">
      <c r="A623" s="63">
        <f t="shared" si="69"/>
        <v>44452</v>
      </c>
      <c r="B623" s="96">
        <f t="shared" si="63"/>
        <v>9</v>
      </c>
      <c r="C623" s="96">
        <f t="shared" si="64"/>
        <v>2021</v>
      </c>
      <c r="D623" s="96" t="str">
        <f t="shared" si="65"/>
        <v>2021/09</v>
      </c>
      <c r="E623" s="96" t="str">
        <f t="shared" ca="1" si="66"/>
        <v>M-7</v>
      </c>
      <c r="F623" s="96" t="str">
        <f t="shared" si="67"/>
        <v>Mon</v>
      </c>
      <c r="G623" s="96">
        <f t="shared" si="68"/>
        <v>1</v>
      </c>
    </row>
    <row r="624" spans="1:7" x14ac:dyDescent="0.3">
      <c r="A624" s="63">
        <f t="shared" si="69"/>
        <v>44453</v>
      </c>
      <c r="B624" s="96">
        <f t="shared" si="63"/>
        <v>9</v>
      </c>
      <c r="C624" s="96">
        <f t="shared" si="64"/>
        <v>2021</v>
      </c>
      <c r="D624" s="96" t="str">
        <f t="shared" si="65"/>
        <v>2021/09</v>
      </c>
      <c r="E624" s="96" t="str">
        <f t="shared" ca="1" si="66"/>
        <v>M-7</v>
      </c>
      <c r="F624" s="96" t="str">
        <f t="shared" si="67"/>
        <v>Tue</v>
      </c>
      <c r="G624" s="96">
        <f t="shared" si="68"/>
        <v>1</v>
      </c>
    </row>
    <row r="625" spans="1:7" x14ac:dyDescent="0.3">
      <c r="A625" s="63">
        <f t="shared" si="69"/>
        <v>44454</v>
      </c>
      <c r="B625" s="96">
        <f t="shared" si="63"/>
        <v>9</v>
      </c>
      <c r="C625" s="96">
        <f t="shared" si="64"/>
        <v>2021</v>
      </c>
      <c r="D625" s="96" t="str">
        <f t="shared" si="65"/>
        <v>2021/09</v>
      </c>
      <c r="E625" s="96" t="str">
        <f t="shared" ca="1" si="66"/>
        <v>M-7</v>
      </c>
      <c r="F625" s="96" t="str">
        <f t="shared" si="67"/>
        <v>Wed</v>
      </c>
      <c r="G625" s="96">
        <f t="shared" si="68"/>
        <v>1</v>
      </c>
    </row>
    <row r="626" spans="1:7" x14ac:dyDescent="0.3">
      <c r="A626" s="63">
        <f t="shared" si="69"/>
        <v>44455</v>
      </c>
      <c r="B626" s="96">
        <f t="shared" si="63"/>
        <v>9</v>
      </c>
      <c r="C626" s="96">
        <f t="shared" si="64"/>
        <v>2021</v>
      </c>
      <c r="D626" s="96" t="str">
        <f t="shared" si="65"/>
        <v>2021/09</v>
      </c>
      <c r="E626" s="96" t="str">
        <f t="shared" ca="1" si="66"/>
        <v>M-7</v>
      </c>
      <c r="F626" s="96" t="str">
        <f t="shared" si="67"/>
        <v>Thu</v>
      </c>
      <c r="G626" s="96">
        <f t="shared" si="68"/>
        <v>1</v>
      </c>
    </row>
    <row r="627" spans="1:7" x14ac:dyDescent="0.3">
      <c r="A627" s="63">
        <f t="shared" si="69"/>
        <v>44456</v>
      </c>
      <c r="B627" s="96">
        <f t="shared" si="63"/>
        <v>9</v>
      </c>
      <c r="C627" s="96">
        <f t="shared" si="64"/>
        <v>2021</v>
      </c>
      <c r="D627" s="96" t="str">
        <f t="shared" si="65"/>
        <v>2021/09</v>
      </c>
      <c r="E627" s="96" t="str">
        <f t="shared" ca="1" si="66"/>
        <v>M-7</v>
      </c>
      <c r="F627" s="96" t="str">
        <f t="shared" si="67"/>
        <v>Fri</v>
      </c>
      <c r="G627" s="96">
        <f t="shared" si="68"/>
        <v>1</v>
      </c>
    </row>
    <row r="628" spans="1:7" x14ac:dyDescent="0.3">
      <c r="A628" s="63">
        <f t="shared" si="69"/>
        <v>44457</v>
      </c>
      <c r="B628" s="96">
        <f t="shared" si="63"/>
        <v>9</v>
      </c>
      <c r="C628" s="96">
        <f t="shared" si="64"/>
        <v>2021</v>
      </c>
      <c r="D628" s="96" t="str">
        <f t="shared" si="65"/>
        <v>2021/09</v>
      </c>
      <c r="E628" s="96" t="str">
        <f t="shared" ca="1" si="66"/>
        <v>M-7</v>
      </c>
      <c r="F628" s="96" t="str">
        <f t="shared" si="67"/>
        <v>Sat</v>
      </c>
      <c r="G628" s="96">
        <f t="shared" si="68"/>
        <v>0</v>
      </c>
    </row>
    <row r="629" spans="1:7" x14ac:dyDescent="0.3">
      <c r="A629" s="63">
        <f t="shared" si="69"/>
        <v>44458</v>
      </c>
      <c r="B629" s="96">
        <f t="shared" si="63"/>
        <v>9</v>
      </c>
      <c r="C629" s="96">
        <f t="shared" si="64"/>
        <v>2021</v>
      </c>
      <c r="D629" s="96" t="str">
        <f t="shared" si="65"/>
        <v>2021/09</v>
      </c>
      <c r="E629" s="96" t="str">
        <f t="shared" ca="1" si="66"/>
        <v>M-7</v>
      </c>
      <c r="F629" s="96" t="str">
        <f t="shared" si="67"/>
        <v>Sun</v>
      </c>
      <c r="G629" s="96">
        <f t="shared" si="68"/>
        <v>0</v>
      </c>
    </row>
    <row r="630" spans="1:7" x14ac:dyDescent="0.3">
      <c r="A630" s="63">
        <f t="shared" si="69"/>
        <v>44459</v>
      </c>
      <c r="B630" s="96">
        <f t="shared" si="63"/>
        <v>9</v>
      </c>
      <c r="C630" s="96">
        <f t="shared" si="64"/>
        <v>2021</v>
      </c>
      <c r="D630" s="96" t="str">
        <f t="shared" si="65"/>
        <v>2021/09</v>
      </c>
      <c r="E630" s="96" t="str">
        <f t="shared" ca="1" si="66"/>
        <v>M-7</v>
      </c>
      <c r="F630" s="96" t="str">
        <f t="shared" si="67"/>
        <v>Mon</v>
      </c>
      <c r="G630" s="96">
        <f t="shared" si="68"/>
        <v>1</v>
      </c>
    </row>
    <row r="631" spans="1:7" x14ac:dyDescent="0.3">
      <c r="A631" s="63">
        <f t="shared" si="69"/>
        <v>44460</v>
      </c>
      <c r="B631" s="96">
        <f t="shared" si="63"/>
        <v>9</v>
      </c>
      <c r="C631" s="96">
        <f t="shared" si="64"/>
        <v>2021</v>
      </c>
      <c r="D631" s="96" t="str">
        <f t="shared" si="65"/>
        <v>2021/09</v>
      </c>
      <c r="E631" s="96" t="str">
        <f t="shared" ca="1" si="66"/>
        <v>M-7</v>
      </c>
      <c r="F631" s="96" t="str">
        <f t="shared" si="67"/>
        <v>Tue</v>
      </c>
      <c r="G631" s="96">
        <f t="shared" si="68"/>
        <v>1</v>
      </c>
    </row>
    <row r="632" spans="1:7" x14ac:dyDescent="0.3">
      <c r="A632" s="63">
        <f t="shared" si="69"/>
        <v>44461</v>
      </c>
      <c r="B632" s="96">
        <f t="shared" si="63"/>
        <v>9</v>
      </c>
      <c r="C632" s="96">
        <f t="shared" si="64"/>
        <v>2021</v>
      </c>
      <c r="D632" s="96" t="str">
        <f t="shared" si="65"/>
        <v>2021/09</v>
      </c>
      <c r="E632" s="96" t="str">
        <f t="shared" ca="1" si="66"/>
        <v>M-7</v>
      </c>
      <c r="F632" s="96" t="str">
        <f t="shared" si="67"/>
        <v>Wed</v>
      </c>
      <c r="G632" s="96">
        <f t="shared" si="68"/>
        <v>1</v>
      </c>
    </row>
    <row r="633" spans="1:7" x14ac:dyDescent="0.3">
      <c r="A633" s="63">
        <f t="shared" si="69"/>
        <v>44462</v>
      </c>
      <c r="B633" s="96">
        <f t="shared" si="63"/>
        <v>9</v>
      </c>
      <c r="C633" s="96">
        <f t="shared" si="64"/>
        <v>2021</v>
      </c>
      <c r="D633" s="96" t="str">
        <f t="shared" si="65"/>
        <v>2021/09</v>
      </c>
      <c r="E633" s="96" t="str">
        <f t="shared" ca="1" si="66"/>
        <v>M-7</v>
      </c>
      <c r="F633" s="96" t="str">
        <f t="shared" si="67"/>
        <v>Thu</v>
      </c>
      <c r="G633" s="96">
        <f t="shared" si="68"/>
        <v>1</v>
      </c>
    </row>
    <row r="634" spans="1:7" x14ac:dyDescent="0.3">
      <c r="A634" s="63">
        <f t="shared" si="69"/>
        <v>44463</v>
      </c>
      <c r="B634" s="96">
        <f t="shared" si="63"/>
        <v>9</v>
      </c>
      <c r="C634" s="96">
        <f t="shared" si="64"/>
        <v>2021</v>
      </c>
      <c r="D634" s="96" t="str">
        <f t="shared" si="65"/>
        <v>2021/09</v>
      </c>
      <c r="E634" s="96" t="str">
        <f t="shared" ca="1" si="66"/>
        <v>M-7</v>
      </c>
      <c r="F634" s="96" t="str">
        <f t="shared" si="67"/>
        <v>Fri</v>
      </c>
      <c r="G634" s="96">
        <f t="shared" si="68"/>
        <v>1</v>
      </c>
    </row>
    <row r="635" spans="1:7" x14ac:dyDescent="0.3">
      <c r="A635" s="63">
        <f t="shared" si="69"/>
        <v>44464</v>
      </c>
      <c r="B635" s="96">
        <f t="shared" si="63"/>
        <v>9</v>
      </c>
      <c r="C635" s="96">
        <f t="shared" si="64"/>
        <v>2021</v>
      </c>
      <c r="D635" s="96" t="str">
        <f t="shared" si="65"/>
        <v>2021/09</v>
      </c>
      <c r="E635" s="96" t="str">
        <f t="shared" ca="1" si="66"/>
        <v>M-7</v>
      </c>
      <c r="F635" s="96" t="str">
        <f t="shared" si="67"/>
        <v>Sat</v>
      </c>
      <c r="G635" s="96">
        <f t="shared" si="68"/>
        <v>0</v>
      </c>
    </row>
    <row r="636" spans="1:7" x14ac:dyDescent="0.3">
      <c r="A636" s="63">
        <f t="shared" si="69"/>
        <v>44465</v>
      </c>
      <c r="B636" s="96">
        <f t="shared" si="63"/>
        <v>9</v>
      </c>
      <c r="C636" s="96">
        <f t="shared" si="64"/>
        <v>2021</v>
      </c>
      <c r="D636" s="96" t="str">
        <f t="shared" si="65"/>
        <v>2021/09</v>
      </c>
      <c r="E636" s="96" t="str">
        <f t="shared" ca="1" si="66"/>
        <v>M-7</v>
      </c>
      <c r="F636" s="96" t="str">
        <f t="shared" si="67"/>
        <v>Sun</v>
      </c>
      <c r="G636" s="96">
        <f t="shared" si="68"/>
        <v>0</v>
      </c>
    </row>
    <row r="637" spans="1:7" x14ac:dyDescent="0.3">
      <c r="A637" s="63">
        <f t="shared" si="69"/>
        <v>44466</v>
      </c>
      <c r="B637" s="96">
        <f t="shared" si="63"/>
        <v>9</v>
      </c>
      <c r="C637" s="96">
        <f t="shared" si="64"/>
        <v>2021</v>
      </c>
      <c r="D637" s="96" t="str">
        <f t="shared" si="65"/>
        <v>2021/09</v>
      </c>
      <c r="E637" s="96" t="str">
        <f t="shared" ca="1" si="66"/>
        <v>M-7</v>
      </c>
      <c r="F637" s="96" t="str">
        <f t="shared" si="67"/>
        <v>Mon</v>
      </c>
      <c r="G637" s="96">
        <f t="shared" si="68"/>
        <v>1</v>
      </c>
    </row>
    <row r="638" spans="1:7" x14ac:dyDescent="0.3">
      <c r="A638" s="63">
        <f t="shared" si="69"/>
        <v>44467</v>
      </c>
      <c r="B638" s="96">
        <f t="shared" si="63"/>
        <v>9</v>
      </c>
      <c r="C638" s="96">
        <f t="shared" si="64"/>
        <v>2021</v>
      </c>
      <c r="D638" s="96" t="str">
        <f t="shared" si="65"/>
        <v>2021/09</v>
      </c>
      <c r="E638" s="96" t="str">
        <f t="shared" ca="1" si="66"/>
        <v>M-7</v>
      </c>
      <c r="F638" s="96" t="str">
        <f t="shared" si="67"/>
        <v>Tue</v>
      </c>
      <c r="G638" s="96">
        <f t="shared" si="68"/>
        <v>1</v>
      </c>
    </row>
    <row r="639" spans="1:7" x14ac:dyDescent="0.3">
      <c r="A639" s="63">
        <f t="shared" si="69"/>
        <v>44468</v>
      </c>
      <c r="B639" s="96">
        <f t="shared" si="63"/>
        <v>9</v>
      </c>
      <c r="C639" s="96">
        <f t="shared" si="64"/>
        <v>2021</v>
      </c>
      <c r="D639" s="96" t="str">
        <f t="shared" si="65"/>
        <v>2021/09</v>
      </c>
      <c r="E639" s="96" t="str">
        <f t="shared" ca="1" si="66"/>
        <v>M-7</v>
      </c>
      <c r="F639" s="96" t="str">
        <f t="shared" si="67"/>
        <v>Wed</v>
      </c>
      <c r="G639" s="96">
        <f t="shared" si="68"/>
        <v>1</v>
      </c>
    </row>
    <row r="640" spans="1:7" x14ac:dyDescent="0.3">
      <c r="A640" s="63">
        <f t="shared" si="69"/>
        <v>44469</v>
      </c>
      <c r="B640" s="96">
        <f t="shared" si="63"/>
        <v>9</v>
      </c>
      <c r="C640" s="96">
        <f t="shared" si="64"/>
        <v>2021</v>
      </c>
      <c r="D640" s="96" t="str">
        <f t="shared" si="65"/>
        <v>2021/09</v>
      </c>
      <c r="E640" s="96" t="str">
        <f t="shared" ca="1" si="66"/>
        <v>M-7</v>
      </c>
      <c r="F640" s="96" t="str">
        <f t="shared" si="67"/>
        <v>Thu</v>
      </c>
      <c r="G640" s="96">
        <f t="shared" si="68"/>
        <v>1</v>
      </c>
    </row>
    <row r="641" spans="1:7" x14ac:dyDescent="0.3">
      <c r="A641" s="63">
        <f t="shared" si="69"/>
        <v>44470</v>
      </c>
      <c r="B641" s="96">
        <f t="shared" si="63"/>
        <v>10</v>
      </c>
      <c r="C641" s="96">
        <f t="shared" si="64"/>
        <v>2021</v>
      </c>
      <c r="D641" s="96" t="str">
        <f t="shared" si="65"/>
        <v>2021/10</v>
      </c>
      <c r="E641" s="96" t="str">
        <f t="shared" ca="1" si="66"/>
        <v>M-6</v>
      </c>
      <c r="F641" s="96" t="str">
        <f t="shared" si="67"/>
        <v>Fri</v>
      </c>
      <c r="G641" s="96">
        <f t="shared" si="68"/>
        <v>1</v>
      </c>
    </row>
    <row r="642" spans="1:7" x14ac:dyDescent="0.3">
      <c r="A642" s="63">
        <f t="shared" si="69"/>
        <v>44471</v>
      </c>
      <c r="B642" s="96">
        <f t="shared" si="63"/>
        <v>10</v>
      </c>
      <c r="C642" s="96">
        <f t="shared" si="64"/>
        <v>2021</v>
      </c>
      <c r="D642" s="96" t="str">
        <f t="shared" si="65"/>
        <v>2021/10</v>
      </c>
      <c r="E642" s="96" t="str">
        <f t="shared" ca="1" si="66"/>
        <v>M-6</v>
      </c>
      <c r="F642" s="96" t="str">
        <f t="shared" si="67"/>
        <v>Sat</v>
      </c>
      <c r="G642" s="96">
        <f t="shared" si="68"/>
        <v>0</v>
      </c>
    </row>
    <row r="643" spans="1:7" x14ac:dyDescent="0.3">
      <c r="A643" s="63">
        <f t="shared" si="69"/>
        <v>44472</v>
      </c>
      <c r="B643" s="96">
        <f t="shared" ref="B643:B706" si="70">MONTH(A643)</f>
        <v>10</v>
      </c>
      <c r="C643" s="96">
        <f t="shared" ref="C643:C706" si="71">YEAR(A643)</f>
        <v>2021</v>
      </c>
      <c r="D643" s="96" t="str">
        <f t="shared" ref="D643:D706" si="72">CONCATENATE(C643,"/",TEXT(B643,"00"))</f>
        <v>2021/10</v>
      </c>
      <c r="E643" s="96" t="str">
        <f t="shared" ref="E643:E706" ca="1" si="73">CONCATENATE("M",B643-MONTH(TODAY())+12*(YEAR(TODAY())-C643))</f>
        <v>M-6</v>
      </c>
      <c r="F643" s="96" t="str">
        <f t="shared" ref="F643:F706" si="74">TEXT(A643,"ddd")</f>
        <v>Sun</v>
      </c>
      <c r="G643" s="96">
        <f t="shared" ref="G643:G706" si="75">IF(LEFT(F643,1)="s",0,1)</f>
        <v>0</v>
      </c>
    </row>
    <row r="644" spans="1:7" x14ac:dyDescent="0.3">
      <c r="A644" s="63">
        <f t="shared" ref="A644:A707" si="76">A643+1</f>
        <v>44473</v>
      </c>
      <c r="B644" s="96">
        <f t="shared" si="70"/>
        <v>10</v>
      </c>
      <c r="C644" s="96">
        <f t="shared" si="71"/>
        <v>2021</v>
      </c>
      <c r="D644" s="96" t="str">
        <f t="shared" si="72"/>
        <v>2021/10</v>
      </c>
      <c r="E644" s="96" t="str">
        <f t="shared" ca="1" si="73"/>
        <v>M-6</v>
      </c>
      <c r="F644" s="96" t="str">
        <f t="shared" si="74"/>
        <v>Mon</v>
      </c>
      <c r="G644" s="96">
        <f t="shared" si="75"/>
        <v>1</v>
      </c>
    </row>
    <row r="645" spans="1:7" x14ac:dyDescent="0.3">
      <c r="A645" s="63">
        <f t="shared" si="76"/>
        <v>44474</v>
      </c>
      <c r="B645" s="96">
        <f t="shared" si="70"/>
        <v>10</v>
      </c>
      <c r="C645" s="96">
        <f t="shared" si="71"/>
        <v>2021</v>
      </c>
      <c r="D645" s="96" t="str">
        <f t="shared" si="72"/>
        <v>2021/10</v>
      </c>
      <c r="E645" s="96" t="str">
        <f t="shared" ca="1" si="73"/>
        <v>M-6</v>
      </c>
      <c r="F645" s="96" t="str">
        <f t="shared" si="74"/>
        <v>Tue</v>
      </c>
      <c r="G645" s="96">
        <f t="shared" si="75"/>
        <v>1</v>
      </c>
    </row>
    <row r="646" spans="1:7" x14ac:dyDescent="0.3">
      <c r="A646" s="63">
        <f t="shared" si="76"/>
        <v>44475</v>
      </c>
      <c r="B646" s="96">
        <f t="shared" si="70"/>
        <v>10</v>
      </c>
      <c r="C646" s="96">
        <f t="shared" si="71"/>
        <v>2021</v>
      </c>
      <c r="D646" s="96" t="str">
        <f t="shared" si="72"/>
        <v>2021/10</v>
      </c>
      <c r="E646" s="96" t="str">
        <f t="shared" ca="1" si="73"/>
        <v>M-6</v>
      </c>
      <c r="F646" s="96" t="str">
        <f t="shared" si="74"/>
        <v>Wed</v>
      </c>
      <c r="G646" s="96">
        <f t="shared" si="75"/>
        <v>1</v>
      </c>
    </row>
    <row r="647" spans="1:7" x14ac:dyDescent="0.3">
      <c r="A647" s="63">
        <f t="shared" si="76"/>
        <v>44476</v>
      </c>
      <c r="B647" s="96">
        <f t="shared" si="70"/>
        <v>10</v>
      </c>
      <c r="C647" s="96">
        <f t="shared" si="71"/>
        <v>2021</v>
      </c>
      <c r="D647" s="96" t="str">
        <f t="shared" si="72"/>
        <v>2021/10</v>
      </c>
      <c r="E647" s="96" t="str">
        <f t="shared" ca="1" si="73"/>
        <v>M-6</v>
      </c>
      <c r="F647" s="96" t="str">
        <f t="shared" si="74"/>
        <v>Thu</v>
      </c>
      <c r="G647" s="96">
        <f t="shared" si="75"/>
        <v>1</v>
      </c>
    </row>
    <row r="648" spans="1:7" x14ac:dyDescent="0.3">
      <c r="A648" s="63">
        <f t="shared" si="76"/>
        <v>44477</v>
      </c>
      <c r="B648" s="96">
        <f t="shared" si="70"/>
        <v>10</v>
      </c>
      <c r="C648" s="96">
        <f t="shared" si="71"/>
        <v>2021</v>
      </c>
      <c r="D648" s="96" t="str">
        <f t="shared" si="72"/>
        <v>2021/10</v>
      </c>
      <c r="E648" s="96" t="str">
        <f t="shared" ca="1" si="73"/>
        <v>M-6</v>
      </c>
      <c r="F648" s="96" t="str">
        <f t="shared" si="74"/>
        <v>Fri</v>
      </c>
      <c r="G648" s="96">
        <f t="shared" si="75"/>
        <v>1</v>
      </c>
    </row>
    <row r="649" spans="1:7" x14ac:dyDescent="0.3">
      <c r="A649" s="63">
        <f t="shared" si="76"/>
        <v>44478</v>
      </c>
      <c r="B649" s="96">
        <f t="shared" si="70"/>
        <v>10</v>
      </c>
      <c r="C649" s="96">
        <f t="shared" si="71"/>
        <v>2021</v>
      </c>
      <c r="D649" s="96" t="str">
        <f t="shared" si="72"/>
        <v>2021/10</v>
      </c>
      <c r="E649" s="96" t="str">
        <f t="shared" ca="1" si="73"/>
        <v>M-6</v>
      </c>
      <c r="F649" s="96" t="str">
        <f t="shared" si="74"/>
        <v>Sat</v>
      </c>
      <c r="G649" s="96">
        <f t="shared" si="75"/>
        <v>0</v>
      </c>
    </row>
    <row r="650" spans="1:7" x14ac:dyDescent="0.3">
      <c r="A650" s="63">
        <f t="shared" si="76"/>
        <v>44479</v>
      </c>
      <c r="B650" s="96">
        <f t="shared" si="70"/>
        <v>10</v>
      </c>
      <c r="C650" s="96">
        <f t="shared" si="71"/>
        <v>2021</v>
      </c>
      <c r="D650" s="96" t="str">
        <f t="shared" si="72"/>
        <v>2021/10</v>
      </c>
      <c r="E650" s="96" t="str">
        <f t="shared" ca="1" si="73"/>
        <v>M-6</v>
      </c>
      <c r="F650" s="96" t="str">
        <f t="shared" si="74"/>
        <v>Sun</v>
      </c>
      <c r="G650" s="96">
        <f t="shared" si="75"/>
        <v>0</v>
      </c>
    </row>
    <row r="651" spans="1:7" x14ac:dyDescent="0.3">
      <c r="A651" s="63">
        <f t="shared" si="76"/>
        <v>44480</v>
      </c>
      <c r="B651" s="96">
        <f t="shared" si="70"/>
        <v>10</v>
      </c>
      <c r="C651" s="96">
        <f t="shared" si="71"/>
        <v>2021</v>
      </c>
      <c r="D651" s="96" t="str">
        <f t="shared" si="72"/>
        <v>2021/10</v>
      </c>
      <c r="E651" s="96" t="str">
        <f t="shared" ca="1" si="73"/>
        <v>M-6</v>
      </c>
      <c r="F651" s="96" t="str">
        <f t="shared" si="74"/>
        <v>Mon</v>
      </c>
      <c r="G651" s="96">
        <f t="shared" si="75"/>
        <v>1</v>
      </c>
    </row>
    <row r="652" spans="1:7" x14ac:dyDescent="0.3">
      <c r="A652" s="63">
        <f t="shared" si="76"/>
        <v>44481</v>
      </c>
      <c r="B652" s="96">
        <f t="shared" si="70"/>
        <v>10</v>
      </c>
      <c r="C652" s="96">
        <f t="shared" si="71"/>
        <v>2021</v>
      </c>
      <c r="D652" s="96" t="str">
        <f t="shared" si="72"/>
        <v>2021/10</v>
      </c>
      <c r="E652" s="96" t="str">
        <f t="shared" ca="1" si="73"/>
        <v>M-6</v>
      </c>
      <c r="F652" s="96" t="str">
        <f t="shared" si="74"/>
        <v>Tue</v>
      </c>
      <c r="G652" s="96">
        <f t="shared" si="75"/>
        <v>1</v>
      </c>
    </row>
    <row r="653" spans="1:7" x14ac:dyDescent="0.3">
      <c r="A653" s="63">
        <f t="shared" si="76"/>
        <v>44482</v>
      </c>
      <c r="B653" s="96">
        <f t="shared" si="70"/>
        <v>10</v>
      </c>
      <c r="C653" s="96">
        <f t="shared" si="71"/>
        <v>2021</v>
      </c>
      <c r="D653" s="96" t="str">
        <f t="shared" si="72"/>
        <v>2021/10</v>
      </c>
      <c r="E653" s="96" t="str">
        <f t="shared" ca="1" si="73"/>
        <v>M-6</v>
      </c>
      <c r="F653" s="96" t="str">
        <f t="shared" si="74"/>
        <v>Wed</v>
      </c>
      <c r="G653" s="96">
        <f t="shared" si="75"/>
        <v>1</v>
      </c>
    </row>
    <row r="654" spans="1:7" x14ac:dyDescent="0.3">
      <c r="A654" s="63">
        <f t="shared" si="76"/>
        <v>44483</v>
      </c>
      <c r="B654" s="96">
        <f t="shared" si="70"/>
        <v>10</v>
      </c>
      <c r="C654" s="96">
        <f t="shared" si="71"/>
        <v>2021</v>
      </c>
      <c r="D654" s="96" t="str">
        <f t="shared" si="72"/>
        <v>2021/10</v>
      </c>
      <c r="E654" s="96" t="str">
        <f t="shared" ca="1" si="73"/>
        <v>M-6</v>
      </c>
      <c r="F654" s="96" t="str">
        <f t="shared" si="74"/>
        <v>Thu</v>
      </c>
      <c r="G654" s="96">
        <f t="shared" si="75"/>
        <v>1</v>
      </c>
    </row>
    <row r="655" spans="1:7" x14ac:dyDescent="0.3">
      <c r="A655" s="63">
        <f t="shared" si="76"/>
        <v>44484</v>
      </c>
      <c r="B655" s="96">
        <f t="shared" si="70"/>
        <v>10</v>
      </c>
      <c r="C655" s="96">
        <f t="shared" si="71"/>
        <v>2021</v>
      </c>
      <c r="D655" s="96" t="str">
        <f t="shared" si="72"/>
        <v>2021/10</v>
      </c>
      <c r="E655" s="96" t="str">
        <f t="shared" ca="1" si="73"/>
        <v>M-6</v>
      </c>
      <c r="F655" s="96" t="str">
        <f t="shared" si="74"/>
        <v>Fri</v>
      </c>
      <c r="G655" s="96">
        <f t="shared" si="75"/>
        <v>1</v>
      </c>
    </row>
    <row r="656" spans="1:7" x14ac:dyDescent="0.3">
      <c r="A656" s="63">
        <f t="shared" si="76"/>
        <v>44485</v>
      </c>
      <c r="B656" s="96">
        <f t="shared" si="70"/>
        <v>10</v>
      </c>
      <c r="C656" s="96">
        <f t="shared" si="71"/>
        <v>2021</v>
      </c>
      <c r="D656" s="96" t="str">
        <f t="shared" si="72"/>
        <v>2021/10</v>
      </c>
      <c r="E656" s="96" t="str">
        <f t="shared" ca="1" si="73"/>
        <v>M-6</v>
      </c>
      <c r="F656" s="96" t="str">
        <f t="shared" si="74"/>
        <v>Sat</v>
      </c>
      <c r="G656" s="96">
        <f t="shared" si="75"/>
        <v>0</v>
      </c>
    </row>
    <row r="657" spans="1:7" x14ac:dyDescent="0.3">
      <c r="A657" s="63">
        <f t="shared" si="76"/>
        <v>44486</v>
      </c>
      <c r="B657" s="96">
        <f t="shared" si="70"/>
        <v>10</v>
      </c>
      <c r="C657" s="96">
        <f t="shared" si="71"/>
        <v>2021</v>
      </c>
      <c r="D657" s="96" t="str">
        <f t="shared" si="72"/>
        <v>2021/10</v>
      </c>
      <c r="E657" s="96" t="str">
        <f t="shared" ca="1" si="73"/>
        <v>M-6</v>
      </c>
      <c r="F657" s="96" t="str">
        <f t="shared" si="74"/>
        <v>Sun</v>
      </c>
      <c r="G657" s="96">
        <f t="shared" si="75"/>
        <v>0</v>
      </c>
    </row>
    <row r="658" spans="1:7" x14ac:dyDescent="0.3">
      <c r="A658" s="63">
        <f t="shared" si="76"/>
        <v>44487</v>
      </c>
      <c r="B658" s="96">
        <f t="shared" si="70"/>
        <v>10</v>
      </c>
      <c r="C658" s="96">
        <f t="shared" si="71"/>
        <v>2021</v>
      </c>
      <c r="D658" s="96" t="str">
        <f t="shared" si="72"/>
        <v>2021/10</v>
      </c>
      <c r="E658" s="96" t="str">
        <f t="shared" ca="1" si="73"/>
        <v>M-6</v>
      </c>
      <c r="F658" s="96" t="str">
        <f t="shared" si="74"/>
        <v>Mon</v>
      </c>
      <c r="G658" s="96">
        <f t="shared" si="75"/>
        <v>1</v>
      </c>
    </row>
    <row r="659" spans="1:7" x14ac:dyDescent="0.3">
      <c r="A659" s="63">
        <f t="shared" si="76"/>
        <v>44488</v>
      </c>
      <c r="B659" s="96">
        <f t="shared" si="70"/>
        <v>10</v>
      </c>
      <c r="C659" s="96">
        <f t="shared" si="71"/>
        <v>2021</v>
      </c>
      <c r="D659" s="96" t="str">
        <f t="shared" si="72"/>
        <v>2021/10</v>
      </c>
      <c r="E659" s="96" t="str">
        <f t="shared" ca="1" si="73"/>
        <v>M-6</v>
      </c>
      <c r="F659" s="96" t="str">
        <f t="shared" si="74"/>
        <v>Tue</v>
      </c>
      <c r="G659" s="96">
        <f t="shared" si="75"/>
        <v>1</v>
      </c>
    </row>
    <row r="660" spans="1:7" x14ac:dyDescent="0.3">
      <c r="A660" s="63">
        <f t="shared" si="76"/>
        <v>44489</v>
      </c>
      <c r="B660" s="96">
        <f t="shared" si="70"/>
        <v>10</v>
      </c>
      <c r="C660" s="96">
        <f t="shared" si="71"/>
        <v>2021</v>
      </c>
      <c r="D660" s="96" t="str">
        <f t="shared" si="72"/>
        <v>2021/10</v>
      </c>
      <c r="E660" s="96" t="str">
        <f t="shared" ca="1" si="73"/>
        <v>M-6</v>
      </c>
      <c r="F660" s="96" t="str">
        <f t="shared" si="74"/>
        <v>Wed</v>
      </c>
      <c r="G660" s="96">
        <f t="shared" si="75"/>
        <v>1</v>
      </c>
    </row>
    <row r="661" spans="1:7" x14ac:dyDescent="0.3">
      <c r="A661" s="63">
        <f t="shared" si="76"/>
        <v>44490</v>
      </c>
      <c r="B661" s="96">
        <f t="shared" si="70"/>
        <v>10</v>
      </c>
      <c r="C661" s="96">
        <f t="shared" si="71"/>
        <v>2021</v>
      </c>
      <c r="D661" s="96" t="str">
        <f t="shared" si="72"/>
        <v>2021/10</v>
      </c>
      <c r="E661" s="96" t="str">
        <f t="shared" ca="1" si="73"/>
        <v>M-6</v>
      </c>
      <c r="F661" s="96" t="str">
        <f t="shared" si="74"/>
        <v>Thu</v>
      </c>
      <c r="G661" s="96">
        <f t="shared" si="75"/>
        <v>1</v>
      </c>
    </row>
    <row r="662" spans="1:7" x14ac:dyDescent="0.3">
      <c r="A662" s="63">
        <f t="shared" si="76"/>
        <v>44491</v>
      </c>
      <c r="B662" s="96">
        <f t="shared" si="70"/>
        <v>10</v>
      </c>
      <c r="C662" s="96">
        <f t="shared" si="71"/>
        <v>2021</v>
      </c>
      <c r="D662" s="96" t="str">
        <f t="shared" si="72"/>
        <v>2021/10</v>
      </c>
      <c r="E662" s="96" t="str">
        <f t="shared" ca="1" si="73"/>
        <v>M-6</v>
      </c>
      <c r="F662" s="96" t="str">
        <f t="shared" si="74"/>
        <v>Fri</v>
      </c>
      <c r="G662" s="96">
        <f t="shared" si="75"/>
        <v>1</v>
      </c>
    </row>
    <row r="663" spans="1:7" x14ac:dyDescent="0.3">
      <c r="A663" s="63">
        <f t="shared" si="76"/>
        <v>44492</v>
      </c>
      <c r="B663" s="96">
        <f t="shared" si="70"/>
        <v>10</v>
      </c>
      <c r="C663" s="96">
        <f t="shared" si="71"/>
        <v>2021</v>
      </c>
      <c r="D663" s="96" t="str">
        <f t="shared" si="72"/>
        <v>2021/10</v>
      </c>
      <c r="E663" s="96" t="str">
        <f t="shared" ca="1" si="73"/>
        <v>M-6</v>
      </c>
      <c r="F663" s="96" t="str">
        <f t="shared" si="74"/>
        <v>Sat</v>
      </c>
      <c r="G663" s="96">
        <f t="shared" si="75"/>
        <v>0</v>
      </c>
    </row>
    <row r="664" spans="1:7" x14ac:dyDescent="0.3">
      <c r="A664" s="63">
        <f t="shared" si="76"/>
        <v>44493</v>
      </c>
      <c r="B664" s="96">
        <f t="shared" si="70"/>
        <v>10</v>
      </c>
      <c r="C664" s="96">
        <f t="shared" si="71"/>
        <v>2021</v>
      </c>
      <c r="D664" s="96" t="str">
        <f t="shared" si="72"/>
        <v>2021/10</v>
      </c>
      <c r="E664" s="96" t="str">
        <f t="shared" ca="1" si="73"/>
        <v>M-6</v>
      </c>
      <c r="F664" s="96" t="str">
        <f t="shared" si="74"/>
        <v>Sun</v>
      </c>
      <c r="G664" s="96">
        <f t="shared" si="75"/>
        <v>0</v>
      </c>
    </row>
    <row r="665" spans="1:7" x14ac:dyDescent="0.3">
      <c r="A665" s="63">
        <f t="shared" si="76"/>
        <v>44494</v>
      </c>
      <c r="B665" s="96">
        <f t="shared" si="70"/>
        <v>10</v>
      </c>
      <c r="C665" s="96">
        <f t="shared" si="71"/>
        <v>2021</v>
      </c>
      <c r="D665" s="96" t="str">
        <f t="shared" si="72"/>
        <v>2021/10</v>
      </c>
      <c r="E665" s="96" t="str">
        <f t="shared" ca="1" si="73"/>
        <v>M-6</v>
      </c>
      <c r="F665" s="96" t="str">
        <f t="shared" si="74"/>
        <v>Mon</v>
      </c>
      <c r="G665" s="96">
        <f t="shared" si="75"/>
        <v>1</v>
      </c>
    </row>
    <row r="666" spans="1:7" x14ac:dyDescent="0.3">
      <c r="A666" s="63">
        <f t="shared" si="76"/>
        <v>44495</v>
      </c>
      <c r="B666" s="96">
        <f t="shared" si="70"/>
        <v>10</v>
      </c>
      <c r="C666" s="96">
        <f t="shared" si="71"/>
        <v>2021</v>
      </c>
      <c r="D666" s="96" t="str">
        <f t="shared" si="72"/>
        <v>2021/10</v>
      </c>
      <c r="E666" s="96" t="str">
        <f t="shared" ca="1" si="73"/>
        <v>M-6</v>
      </c>
      <c r="F666" s="96" t="str">
        <f t="shared" si="74"/>
        <v>Tue</v>
      </c>
      <c r="G666" s="96">
        <f t="shared" si="75"/>
        <v>1</v>
      </c>
    </row>
    <row r="667" spans="1:7" x14ac:dyDescent="0.3">
      <c r="A667" s="63">
        <f t="shared" si="76"/>
        <v>44496</v>
      </c>
      <c r="B667" s="96">
        <f t="shared" si="70"/>
        <v>10</v>
      </c>
      <c r="C667" s="96">
        <f t="shared" si="71"/>
        <v>2021</v>
      </c>
      <c r="D667" s="96" t="str">
        <f t="shared" si="72"/>
        <v>2021/10</v>
      </c>
      <c r="E667" s="96" t="str">
        <f t="shared" ca="1" si="73"/>
        <v>M-6</v>
      </c>
      <c r="F667" s="96" t="str">
        <f t="shared" si="74"/>
        <v>Wed</v>
      </c>
      <c r="G667" s="96">
        <f t="shared" si="75"/>
        <v>1</v>
      </c>
    </row>
    <row r="668" spans="1:7" x14ac:dyDescent="0.3">
      <c r="A668" s="63">
        <f t="shared" si="76"/>
        <v>44497</v>
      </c>
      <c r="B668" s="96">
        <f t="shared" si="70"/>
        <v>10</v>
      </c>
      <c r="C668" s="96">
        <f t="shared" si="71"/>
        <v>2021</v>
      </c>
      <c r="D668" s="96" t="str">
        <f t="shared" si="72"/>
        <v>2021/10</v>
      </c>
      <c r="E668" s="96" t="str">
        <f t="shared" ca="1" si="73"/>
        <v>M-6</v>
      </c>
      <c r="F668" s="96" t="str">
        <f t="shared" si="74"/>
        <v>Thu</v>
      </c>
      <c r="G668" s="96">
        <f t="shared" si="75"/>
        <v>1</v>
      </c>
    </row>
    <row r="669" spans="1:7" x14ac:dyDescent="0.3">
      <c r="A669" s="63">
        <f t="shared" si="76"/>
        <v>44498</v>
      </c>
      <c r="B669" s="96">
        <f t="shared" si="70"/>
        <v>10</v>
      </c>
      <c r="C669" s="96">
        <f t="shared" si="71"/>
        <v>2021</v>
      </c>
      <c r="D669" s="96" t="str">
        <f t="shared" si="72"/>
        <v>2021/10</v>
      </c>
      <c r="E669" s="96" t="str">
        <f t="shared" ca="1" si="73"/>
        <v>M-6</v>
      </c>
      <c r="F669" s="96" t="str">
        <f t="shared" si="74"/>
        <v>Fri</v>
      </c>
      <c r="G669" s="96">
        <f t="shared" si="75"/>
        <v>1</v>
      </c>
    </row>
    <row r="670" spans="1:7" x14ac:dyDescent="0.3">
      <c r="A670" s="63">
        <f t="shared" si="76"/>
        <v>44499</v>
      </c>
      <c r="B670" s="96">
        <f t="shared" si="70"/>
        <v>10</v>
      </c>
      <c r="C670" s="96">
        <f t="shared" si="71"/>
        <v>2021</v>
      </c>
      <c r="D670" s="96" t="str">
        <f t="shared" si="72"/>
        <v>2021/10</v>
      </c>
      <c r="E670" s="96" t="str">
        <f t="shared" ca="1" si="73"/>
        <v>M-6</v>
      </c>
      <c r="F670" s="96" t="str">
        <f t="shared" si="74"/>
        <v>Sat</v>
      </c>
      <c r="G670" s="96">
        <f t="shared" si="75"/>
        <v>0</v>
      </c>
    </row>
    <row r="671" spans="1:7" x14ac:dyDescent="0.3">
      <c r="A671" s="63">
        <f t="shared" si="76"/>
        <v>44500</v>
      </c>
      <c r="B671" s="96">
        <f t="shared" si="70"/>
        <v>10</v>
      </c>
      <c r="C671" s="96">
        <f t="shared" si="71"/>
        <v>2021</v>
      </c>
      <c r="D671" s="96" t="str">
        <f t="shared" si="72"/>
        <v>2021/10</v>
      </c>
      <c r="E671" s="96" t="str">
        <f t="shared" ca="1" si="73"/>
        <v>M-6</v>
      </c>
      <c r="F671" s="96" t="str">
        <f t="shared" si="74"/>
        <v>Sun</v>
      </c>
      <c r="G671" s="96">
        <f t="shared" si="75"/>
        <v>0</v>
      </c>
    </row>
    <row r="672" spans="1:7" x14ac:dyDescent="0.3">
      <c r="A672" s="63">
        <f t="shared" si="76"/>
        <v>44501</v>
      </c>
      <c r="B672" s="96">
        <f t="shared" si="70"/>
        <v>11</v>
      </c>
      <c r="C672" s="96">
        <f t="shared" si="71"/>
        <v>2021</v>
      </c>
      <c r="D672" s="96" t="str">
        <f t="shared" si="72"/>
        <v>2021/11</v>
      </c>
      <c r="E672" s="96" t="str">
        <f t="shared" ca="1" si="73"/>
        <v>M-5</v>
      </c>
      <c r="F672" s="96" t="str">
        <f t="shared" si="74"/>
        <v>Mon</v>
      </c>
      <c r="G672" s="96">
        <f t="shared" si="75"/>
        <v>1</v>
      </c>
    </row>
    <row r="673" spans="1:7" x14ac:dyDescent="0.3">
      <c r="A673" s="63">
        <f t="shared" si="76"/>
        <v>44502</v>
      </c>
      <c r="B673" s="96">
        <f t="shared" si="70"/>
        <v>11</v>
      </c>
      <c r="C673" s="96">
        <f t="shared" si="71"/>
        <v>2021</v>
      </c>
      <c r="D673" s="96" t="str">
        <f t="shared" si="72"/>
        <v>2021/11</v>
      </c>
      <c r="E673" s="96" t="str">
        <f t="shared" ca="1" si="73"/>
        <v>M-5</v>
      </c>
      <c r="F673" s="96" t="str">
        <f t="shared" si="74"/>
        <v>Tue</v>
      </c>
      <c r="G673" s="96">
        <f t="shared" si="75"/>
        <v>1</v>
      </c>
    </row>
    <row r="674" spans="1:7" x14ac:dyDescent="0.3">
      <c r="A674" s="63">
        <f t="shared" si="76"/>
        <v>44503</v>
      </c>
      <c r="B674" s="96">
        <f t="shared" si="70"/>
        <v>11</v>
      </c>
      <c r="C674" s="96">
        <f t="shared" si="71"/>
        <v>2021</v>
      </c>
      <c r="D674" s="96" t="str">
        <f t="shared" si="72"/>
        <v>2021/11</v>
      </c>
      <c r="E674" s="96" t="str">
        <f t="shared" ca="1" si="73"/>
        <v>M-5</v>
      </c>
      <c r="F674" s="96" t="str">
        <f t="shared" si="74"/>
        <v>Wed</v>
      </c>
      <c r="G674" s="96">
        <f t="shared" si="75"/>
        <v>1</v>
      </c>
    </row>
    <row r="675" spans="1:7" x14ac:dyDescent="0.3">
      <c r="A675" s="63">
        <f t="shared" si="76"/>
        <v>44504</v>
      </c>
      <c r="B675" s="96">
        <f t="shared" si="70"/>
        <v>11</v>
      </c>
      <c r="C675" s="96">
        <f t="shared" si="71"/>
        <v>2021</v>
      </c>
      <c r="D675" s="96" t="str">
        <f t="shared" si="72"/>
        <v>2021/11</v>
      </c>
      <c r="E675" s="96" t="str">
        <f t="shared" ca="1" si="73"/>
        <v>M-5</v>
      </c>
      <c r="F675" s="96" t="str">
        <f t="shared" si="74"/>
        <v>Thu</v>
      </c>
      <c r="G675" s="96">
        <f t="shared" si="75"/>
        <v>1</v>
      </c>
    </row>
    <row r="676" spans="1:7" x14ac:dyDescent="0.3">
      <c r="A676" s="63">
        <f t="shared" si="76"/>
        <v>44505</v>
      </c>
      <c r="B676" s="96">
        <f t="shared" si="70"/>
        <v>11</v>
      </c>
      <c r="C676" s="96">
        <f t="shared" si="71"/>
        <v>2021</v>
      </c>
      <c r="D676" s="96" t="str">
        <f t="shared" si="72"/>
        <v>2021/11</v>
      </c>
      <c r="E676" s="96" t="str">
        <f t="shared" ca="1" si="73"/>
        <v>M-5</v>
      </c>
      <c r="F676" s="96" t="str">
        <f t="shared" si="74"/>
        <v>Fri</v>
      </c>
      <c r="G676" s="96">
        <f t="shared" si="75"/>
        <v>1</v>
      </c>
    </row>
    <row r="677" spans="1:7" x14ac:dyDescent="0.3">
      <c r="A677" s="63">
        <f t="shared" si="76"/>
        <v>44506</v>
      </c>
      <c r="B677" s="96">
        <f t="shared" si="70"/>
        <v>11</v>
      </c>
      <c r="C677" s="96">
        <f t="shared" si="71"/>
        <v>2021</v>
      </c>
      <c r="D677" s="96" t="str">
        <f t="shared" si="72"/>
        <v>2021/11</v>
      </c>
      <c r="E677" s="96" t="str">
        <f t="shared" ca="1" si="73"/>
        <v>M-5</v>
      </c>
      <c r="F677" s="96" t="str">
        <f t="shared" si="74"/>
        <v>Sat</v>
      </c>
      <c r="G677" s="96">
        <f t="shared" si="75"/>
        <v>0</v>
      </c>
    </row>
    <row r="678" spans="1:7" x14ac:dyDescent="0.3">
      <c r="A678" s="63">
        <f t="shared" si="76"/>
        <v>44507</v>
      </c>
      <c r="B678" s="96">
        <f t="shared" si="70"/>
        <v>11</v>
      </c>
      <c r="C678" s="96">
        <f t="shared" si="71"/>
        <v>2021</v>
      </c>
      <c r="D678" s="96" t="str">
        <f t="shared" si="72"/>
        <v>2021/11</v>
      </c>
      <c r="E678" s="96" t="str">
        <f t="shared" ca="1" si="73"/>
        <v>M-5</v>
      </c>
      <c r="F678" s="96" t="str">
        <f t="shared" si="74"/>
        <v>Sun</v>
      </c>
      <c r="G678" s="96">
        <f t="shared" si="75"/>
        <v>0</v>
      </c>
    </row>
    <row r="679" spans="1:7" x14ac:dyDescent="0.3">
      <c r="A679" s="63">
        <f t="shared" si="76"/>
        <v>44508</v>
      </c>
      <c r="B679" s="96">
        <f t="shared" si="70"/>
        <v>11</v>
      </c>
      <c r="C679" s="96">
        <f t="shared" si="71"/>
        <v>2021</v>
      </c>
      <c r="D679" s="96" t="str">
        <f t="shared" si="72"/>
        <v>2021/11</v>
      </c>
      <c r="E679" s="96" t="str">
        <f t="shared" ca="1" si="73"/>
        <v>M-5</v>
      </c>
      <c r="F679" s="96" t="str">
        <f t="shared" si="74"/>
        <v>Mon</v>
      </c>
      <c r="G679" s="96">
        <f t="shared" si="75"/>
        <v>1</v>
      </c>
    </row>
    <row r="680" spans="1:7" x14ac:dyDescent="0.3">
      <c r="A680" s="63">
        <f t="shared" si="76"/>
        <v>44509</v>
      </c>
      <c r="B680" s="96">
        <f t="shared" si="70"/>
        <v>11</v>
      </c>
      <c r="C680" s="96">
        <f t="shared" si="71"/>
        <v>2021</v>
      </c>
      <c r="D680" s="96" t="str">
        <f t="shared" si="72"/>
        <v>2021/11</v>
      </c>
      <c r="E680" s="96" t="str">
        <f t="shared" ca="1" si="73"/>
        <v>M-5</v>
      </c>
      <c r="F680" s="96" t="str">
        <f t="shared" si="74"/>
        <v>Tue</v>
      </c>
      <c r="G680" s="96">
        <f t="shared" si="75"/>
        <v>1</v>
      </c>
    </row>
    <row r="681" spans="1:7" x14ac:dyDescent="0.3">
      <c r="A681" s="63">
        <f t="shared" si="76"/>
        <v>44510</v>
      </c>
      <c r="B681" s="96">
        <f t="shared" si="70"/>
        <v>11</v>
      </c>
      <c r="C681" s="96">
        <f t="shared" si="71"/>
        <v>2021</v>
      </c>
      <c r="D681" s="96" t="str">
        <f t="shared" si="72"/>
        <v>2021/11</v>
      </c>
      <c r="E681" s="96" t="str">
        <f t="shared" ca="1" si="73"/>
        <v>M-5</v>
      </c>
      <c r="F681" s="96" t="str">
        <f t="shared" si="74"/>
        <v>Wed</v>
      </c>
      <c r="G681" s="96">
        <f t="shared" si="75"/>
        <v>1</v>
      </c>
    </row>
    <row r="682" spans="1:7" x14ac:dyDescent="0.3">
      <c r="A682" s="63">
        <f t="shared" si="76"/>
        <v>44511</v>
      </c>
      <c r="B682" s="96">
        <f t="shared" si="70"/>
        <v>11</v>
      </c>
      <c r="C682" s="96">
        <f t="shared" si="71"/>
        <v>2021</v>
      </c>
      <c r="D682" s="96" t="str">
        <f t="shared" si="72"/>
        <v>2021/11</v>
      </c>
      <c r="E682" s="96" t="str">
        <f t="shared" ca="1" si="73"/>
        <v>M-5</v>
      </c>
      <c r="F682" s="96" t="str">
        <f t="shared" si="74"/>
        <v>Thu</v>
      </c>
      <c r="G682" s="96">
        <f t="shared" si="75"/>
        <v>1</v>
      </c>
    </row>
    <row r="683" spans="1:7" x14ac:dyDescent="0.3">
      <c r="A683" s="63">
        <f t="shared" si="76"/>
        <v>44512</v>
      </c>
      <c r="B683" s="96">
        <f t="shared" si="70"/>
        <v>11</v>
      </c>
      <c r="C683" s="96">
        <f t="shared" si="71"/>
        <v>2021</v>
      </c>
      <c r="D683" s="96" t="str">
        <f t="shared" si="72"/>
        <v>2021/11</v>
      </c>
      <c r="E683" s="96" t="str">
        <f t="shared" ca="1" si="73"/>
        <v>M-5</v>
      </c>
      <c r="F683" s="96" t="str">
        <f t="shared" si="74"/>
        <v>Fri</v>
      </c>
      <c r="G683" s="96">
        <f t="shared" si="75"/>
        <v>1</v>
      </c>
    </row>
    <row r="684" spans="1:7" x14ac:dyDescent="0.3">
      <c r="A684" s="63">
        <f t="shared" si="76"/>
        <v>44513</v>
      </c>
      <c r="B684" s="96">
        <f t="shared" si="70"/>
        <v>11</v>
      </c>
      <c r="C684" s="96">
        <f t="shared" si="71"/>
        <v>2021</v>
      </c>
      <c r="D684" s="96" t="str">
        <f t="shared" si="72"/>
        <v>2021/11</v>
      </c>
      <c r="E684" s="96" t="str">
        <f t="shared" ca="1" si="73"/>
        <v>M-5</v>
      </c>
      <c r="F684" s="96" t="str">
        <f t="shared" si="74"/>
        <v>Sat</v>
      </c>
      <c r="G684" s="96">
        <f t="shared" si="75"/>
        <v>0</v>
      </c>
    </row>
    <row r="685" spans="1:7" x14ac:dyDescent="0.3">
      <c r="A685" s="63">
        <f t="shared" si="76"/>
        <v>44514</v>
      </c>
      <c r="B685" s="96">
        <f t="shared" si="70"/>
        <v>11</v>
      </c>
      <c r="C685" s="96">
        <f t="shared" si="71"/>
        <v>2021</v>
      </c>
      <c r="D685" s="96" t="str">
        <f t="shared" si="72"/>
        <v>2021/11</v>
      </c>
      <c r="E685" s="96" t="str">
        <f t="shared" ca="1" si="73"/>
        <v>M-5</v>
      </c>
      <c r="F685" s="96" t="str">
        <f t="shared" si="74"/>
        <v>Sun</v>
      </c>
      <c r="G685" s="96">
        <f t="shared" si="75"/>
        <v>0</v>
      </c>
    </row>
    <row r="686" spans="1:7" x14ac:dyDescent="0.3">
      <c r="A686" s="63">
        <f t="shared" si="76"/>
        <v>44515</v>
      </c>
      <c r="B686" s="96">
        <f t="shared" si="70"/>
        <v>11</v>
      </c>
      <c r="C686" s="96">
        <f t="shared" si="71"/>
        <v>2021</v>
      </c>
      <c r="D686" s="96" t="str">
        <f t="shared" si="72"/>
        <v>2021/11</v>
      </c>
      <c r="E686" s="96" t="str">
        <f t="shared" ca="1" si="73"/>
        <v>M-5</v>
      </c>
      <c r="F686" s="96" t="str">
        <f t="shared" si="74"/>
        <v>Mon</v>
      </c>
      <c r="G686" s="96">
        <f t="shared" si="75"/>
        <v>1</v>
      </c>
    </row>
    <row r="687" spans="1:7" x14ac:dyDescent="0.3">
      <c r="A687" s="63">
        <f t="shared" si="76"/>
        <v>44516</v>
      </c>
      <c r="B687" s="96">
        <f t="shared" si="70"/>
        <v>11</v>
      </c>
      <c r="C687" s="96">
        <f t="shared" si="71"/>
        <v>2021</v>
      </c>
      <c r="D687" s="96" t="str">
        <f t="shared" si="72"/>
        <v>2021/11</v>
      </c>
      <c r="E687" s="96" t="str">
        <f t="shared" ca="1" si="73"/>
        <v>M-5</v>
      </c>
      <c r="F687" s="96" t="str">
        <f t="shared" si="74"/>
        <v>Tue</v>
      </c>
      <c r="G687" s="96">
        <f t="shared" si="75"/>
        <v>1</v>
      </c>
    </row>
    <row r="688" spans="1:7" x14ac:dyDescent="0.3">
      <c r="A688" s="63">
        <f t="shared" si="76"/>
        <v>44517</v>
      </c>
      <c r="B688" s="96">
        <f t="shared" si="70"/>
        <v>11</v>
      </c>
      <c r="C688" s="96">
        <f t="shared" si="71"/>
        <v>2021</v>
      </c>
      <c r="D688" s="96" t="str">
        <f t="shared" si="72"/>
        <v>2021/11</v>
      </c>
      <c r="E688" s="96" t="str">
        <f t="shared" ca="1" si="73"/>
        <v>M-5</v>
      </c>
      <c r="F688" s="96" t="str">
        <f t="shared" si="74"/>
        <v>Wed</v>
      </c>
      <c r="G688" s="96">
        <f t="shared" si="75"/>
        <v>1</v>
      </c>
    </row>
    <row r="689" spans="1:7" x14ac:dyDescent="0.3">
      <c r="A689" s="63">
        <f t="shared" si="76"/>
        <v>44518</v>
      </c>
      <c r="B689" s="96">
        <f t="shared" si="70"/>
        <v>11</v>
      </c>
      <c r="C689" s="96">
        <f t="shared" si="71"/>
        <v>2021</v>
      </c>
      <c r="D689" s="96" t="str">
        <f t="shared" si="72"/>
        <v>2021/11</v>
      </c>
      <c r="E689" s="96" t="str">
        <f t="shared" ca="1" si="73"/>
        <v>M-5</v>
      </c>
      <c r="F689" s="96" t="str">
        <f t="shared" si="74"/>
        <v>Thu</v>
      </c>
      <c r="G689" s="96">
        <f t="shared" si="75"/>
        <v>1</v>
      </c>
    </row>
    <row r="690" spans="1:7" x14ac:dyDescent="0.3">
      <c r="A690" s="63">
        <f t="shared" si="76"/>
        <v>44519</v>
      </c>
      <c r="B690" s="96">
        <f t="shared" si="70"/>
        <v>11</v>
      </c>
      <c r="C690" s="96">
        <f t="shared" si="71"/>
        <v>2021</v>
      </c>
      <c r="D690" s="96" t="str">
        <f t="shared" si="72"/>
        <v>2021/11</v>
      </c>
      <c r="E690" s="96" t="str">
        <f t="shared" ca="1" si="73"/>
        <v>M-5</v>
      </c>
      <c r="F690" s="96" t="str">
        <f t="shared" si="74"/>
        <v>Fri</v>
      </c>
      <c r="G690" s="96">
        <f t="shared" si="75"/>
        <v>1</v>
      </c>
    </row>
    <row r="691" spans="1:7" x14ac:dyDescent="0.3">
      <c r="A691" s="63">
        <f t="shared" si="76"/>
        <v>44520</v>
      </c>
      <c r="B691" s="96">
        <f t="shared" si="70"/>
        <v>11</v>
      </c>
      <c r="C691" s="96">
        <f t="shared" si="71"/>
        <v>2021</v>
      </c>
      <c r="D691" s="96" t="str">
        <f t="shared" si="72"/>
        <v>2021/11</v>
      </c>
      <c r="E691" s="96" t="str">
        <f t="shared" ca="1" si="73"/>
        <v>M-5</v>
      </c>
      <c r="F691" s="96" t="str">
        <f t="shared" si="74"/>
        <v>Sat</v>
      </c>
      <c r="G691" s="96">
        <f t="shared" si="75"/>
        <v>0</v>
      </c>
    </row>
    <row r="692" spans="1:7" x14ac:dyDescent="0.3">
      <c r="A692" s="63">
        <f t="shared" si="76"/>
        <v>44521</v>
      </c>
      <c r="B692" s="96">
        <f t="shared" si="70"/>
        <v>11</v>
      </c>
      <c r="C692" s="96">
        <f t="shared" si="71"/>
        <v>2021</v>
      </c>
      <c r="D692" s="96" t="str">
        <f t="shared" si="72"/>
        <v>2021/11</v>
      </c>
      <c r="E692" s="96" t="str">
        <f t="shared" ca="1" si="73"/>
        <v>M-5</v>
      </c>
      <c r="F692" s="96" t="str">
        <f t="shared" si="74"/>
        <v>Sun</v>
      </c>
      <c r="G692" s="96">
        <f t="shared" si="75"/>
        <v>0</v>
      </c>
    </row>
    <row r="693" spans="1:7" x14ac:dyDescent="0.3">
      <c r="A693" s="63">
        <f t="shared" si="76"/>
        <v>44522</v>
      </c>
      <c r="B693" s="96">
        <f t="shared" si="70"/>
        <v>11</v>
      </c>
      <c r="C693" s="96">
        <f t="shared" si="71"/>
        <v>2021</v>
      </c>
      <c r="D693" s="96" t="str">
        <f t="shared" si="72"/>
        <v>2021/11</v>
      </c>
      <c r="E693" s="96" t="str">
        <f t="shared" ca="1" si="73"/>
        <v>M-5</v>
      </c>
      <c r="F693" s="96" t="str">
        <f t="shared" si="74"/>
        <v>Mon</v>
      </c>
      <c r="G693" s="96">
        <f t="shared" si="75"/>
        <v>1</v>
      </c>
    </row>
    <row r="694" spans="1:7" x14ac:dyDescent="0.3">
      <c r="A694" s="63">
        <f t="shared" si="76"/>
        <v>44523</v>
      </c>
      <c r="B694" s="96">
        <f t="shared" si="70"/>
        <v>11</v>
      </c>
      <c r="C694" s="96">
        <f t="shared" si="71"/>
        <v>2021</v>
      </c>
      <c r="D694" s="96" t="str">
        <f t="shared" si="72"/>
        <v>2021/11</v>
      </c>
      <c r="E694" s="96" t="str">
        <f t="shared" ca="1" si="73"/>
        <v>M-5</v>
      </c>
      <c r="F694" s="96" t="str">
        <f t="shared" si="74"/>
        <v>Tue</v>
      </c>
      <c r="G694" s="96">
        <f t="shared" si="75"/>
        <v>1</v>
      </c>
    </row>
    <row r="695" spans="1:7" x14ac:dyDescent="0.3">
      <c r="A695" s="63">
        <f t="shared" si="76"/>
        <v>44524</v>
      </c>
      <c r="B695" s="96">
        <f t="shared" si="70"/>
        <v>11</v>
      </c>
      <c r="C695" s="96">
        <f t="shared" si="71"/>
        <v>2021</v>
      </c>
      <c r="D695" s="96" t="str">
        <f t="shared" si="72"/>
        <v>2021/11</v>
      </c>
      <c r="E695" s="96" t="str">
        <f t="shared" ca="1" si="73"/>
        <v>M-5</v>
      </c>
      <c r="F695" s="96" t="str">
        <f t="shared" si="74"/>
        <v>Wed</v>
      </c>
      <c r="G695" s="96">
        <f t="shared" si="75"/>
        <v>1</v>
      </c>
    </row>
    <row r="696" spans="1:7" x14ac:dyDescent="0.3">
      <c r="A696" s="63">
        <f t="shared" si="76"/>
        <v>44525</v>
      </c>
      <c r="B696" s="96">
        <f t="shared" si="70"/>
        <v>11</v>
      </c>
      <c r="C696" s="96">
        <f t="shared" si="71"/>
        <v>2021</v>
      </c>
      <c r="D696" s="96" t="str">
        <f t="shared" si="72"/>
        <v>2021/11</v>
      </c>
      <c r="E696" s="96" t="str">
        <f t="shared" ca="1" si="73"/>
        <v>M-5</v>
      </c>
      <c r="F696" s="96" t="str">
        <f t="shared" si="74"/>
        <v>Thu</v>
      </c>
      <c r="G696" s="96">
        <f t="shared" si="75"/>
        <v>1</v>
      </c>
    </row>
    <row r="697" spans="1:7" x14ac:dyDescent="0.3">
      <c r="A697" s="63">
        <f t="shared" si="76"/>
        <v>44526</v>
      </c>
      <c r="B697" s="96">
        <f t="shared" si="70"/>
        <v>11</v>
      </c>
      <c r="C697" s="96">
        <f t="shared" si="71"/>
        <v>2021</v>
      </c>
      <c r="D697" s="96" t="str">
        <f t="shared" si="72"/>
        <v>2021/11</v>
      </c>
      <c r="E697" s="96" t="str">
        <f t="shared" ca="1" si="73"/>
        <v>M-5</v>
      </c>
      <c r="F697" s="96" t="str">
        <f t="shared" si="74"/>
        <v>Fri</v>
      </c>
      <c r="G697" s="96">
        <f t="shared" si="75"/>
        <v>1</v>
      </c>
    </row>
    <row r="698" spans="1:7" x14ac:dyDescent="0.3">
      <c r="A698" s="63">
        <f t="shared" si="76"/>
        <v>44527</v>
      </c>
      <c r="B698" s="96">
        <f t="shared" si="70"/>
        <v>11</v>
      </c>
      <c r="C698" s="96">
        <f t="shared" si="71"/>
        <v>2021</v>
      </c>
      <c r="D698" s="96" t="str">
        <f t="shared" si="72"/>
        <v>2021/11</v>
      </c>
      <c r="E698" s="96" t="str">
        <f t="shared" ca="1" si="73"/>
        <v>M-5</v>
      </c>
      <c r="F698" s="96" t="str">
        <f t="shared" si="74"/>
        <v>Sat</v>
      </c>
      <c r="G698" s="96">
        <f t="shared" si="75"/>
        <v>0</v>
      </c>
    </row>
    <row r="699" spans="1:7" x14ac:dyDescent="0.3">
      <c r="A699" s="63">
        <f t="shared" si="76"/>
        <v>44528</v>
      </c>
      <c r="B699" s="96">
        <f t="shared" si="70"/>
        <v>11</v>
      </c>
      <c r="C699" s="96">
        <f t="shared" si="71"/>
        <v>2021</v>
      </c>
      <c r="D699" s="96" t="str">
        <f t="shared" si="72"/>
        <v>2021/11</v>
      </c>
      <c r="E699" s="96" t="str">
        <f t="shared" ca="1" si="73"/>
        <v>M-5</v>
      </c>
      <c r="F699" s="96" t="str">
        <f t="shared" si="74"/>
        <v>Sun</v>
      </c>
      <c r="G699" s="96">
        <f t="shared" si="75"/>
        <v>0</v>
      </c>
    </row>
    <row r="700" spans="1:7" x14ac:dyDescent="0.3">
      <c r="A700" s="63">
        <f t="shared" si="76"/>
        <v>44529</v>
      </c>
      <c r="B700" s="96">
        <f t="shared" si="70"/>
        <v>11</v>
      </c>
      <c r="C700" s="96">
        <f t="shared" si="71"/>
        <v>2021</v>
      </c>
      <c r="D700" s="96" t="str">
        <f t="shared" si="72"/>
        <v>2021/11</v>
      </c>
      <c r="E700" s="96" t="str">
        <f t="shared" ca="1" si="73"/>
        <v>M-5</v>
      </c>
      <c r="F700" s="96" t="str">
        <f t="shared" si="74"/>
        <v>Mon</v>
      </c>
      <c r="G700" s="96">
        <f t="shared" si="75"/>
        <v>1</v>
      </c>
    </row>
    <row r="701" spans="1:7" x14ac:dyDescent="0.3">
      <c r="A701" s="63">
        <f t="shared" si="76"/>
        <v>44530</v>
      </c>
      <c r="B701" s="96">
        <f t="shared" si="70"/>
        <v>11</v>
      </c>
      <c r="C701" s="96">
        <f t="shared" si="71"/>
        <v>2021</v>
      </c>
      <c r="D701" s="96" t="str">
        <f t="shared" si="72"/>
        <v>2021/11</v>
      </c>
      <c r="E701" s="96" t="str">
        <f t="shared" ca="1" si="73"/>
        <v>M-5</v>
      </c>
      <c r="F701" s="96" t="str">
        <f t="shared" si="74"/>
        <v>Tue</v>
      </c>
      <c r="G701" s="96">
        <f t="shared" si="75"/>
        <v>1</v>
      </c>
    </row>
    <row r="702" spans="1:7" x14ac:dyDescent="0.3">
      <c r="A702" s="63">
        <f t="shared" si="76"/>
        <v>44531</v>
      </c>
      <c r="B702" s="96">
        <f t="shared" si="70"/>
        <v>12</v>
      </c>
      <c r="C702" s="96">
        <f t="shared" si="71"/>
        <v>2021</v>
      </c>
      <c r="D702" s="96" t="str">
        <f t="shared" si="72"/>
        <v>2021/12</v>
      </c>
      <c r="E702" s="96" t="str">
        <f t="shared" ca="1" si="73"/>
        <v>M-4</v>
      </c>
      <c r="F702" s="96" t="str">
        <f t="shared" si="74"/>
        <v>Wed</v>
      </c>
      <c r="G702" s="96">
        <f t="shared" si="75"/>
        <v>1</v>
      </c>
    </row>
    <row r="703" spans="1:7" x14ac:dyDescent="0.3">
      <c r="A703" s="63">
        <f t="shared" si="76"/>
        <v>44532</v>
      </c>
      <c r="B703" s="96">
        <f t="shared" si="70"/>
        <v>12</v>
      </c>
      <c r="C703" s="96">
        <f t="shared" si="71"/>
        <v>2021</v>
      </c>
      <c r="D703" s="96" t="str">
        <f t="shared" si="72"/>
        <v>2021/12</v>
      </c>
      <c r="E703" s="96" t="str">
        <f t="shared" ca="1" si="73"/>
        <v>M-4</v>
      </c>
      <c r="F703" s="96" t="str">
        <f t="shared" si="74"/>
        <v>Thu</v>
      </c>
      <c r="G703" s="96">
        <f t="shared" si="75"/>
        <v>1</v>
      </c>
    </row>
    <row r="704" spans="1:7" x14ac:dyDescent="0.3">
      <c r="A704" s="63">
        <f t="shared" si="76"/>
        <v>44533</v>
      </c>
      <c r="B704" s="96">
        <f t="shared" si="70"/>
        <v>12</v>
      </c>
      <c r="C704" s="96">
        <f t="shared" si="71"/>
        <v>2021</v>
      </c>
      <c r="D704" s="96" t="str">
        <f t="shared" si="72"/>
        <v>2021/12</v>
      </c>
      <c r="E704" s="96" t="str">
        <f t="shared" ca="1" si="73"/>
        <v>M-4</v>
      </c>
      <c r="F704" s="96" t="str">
        <f t="shared" si="74"/>
        <v>Fri</v>
      </c>
      <c r="G704" s="96">
        <f t="shared" si="75"/>
        <v>1</v>
      </c>
    </row>
    <row r="705" spans="1:7" x14ac:dyDescent="0.3">
      <c r="A705" s="63">
        <f t="shared" si="76"/>
        <v>44534</v>
      </c>
      <c r="B705" s="96">
        <f t="shared" si="70"/>
        <v>12</v>
      </c>
      <c r="C705" s="96">
        <f t="shared" si="71"/>
        <v>2021</v>
      </c>
      <c r="D705" s="96" t="str">
        <f t="shared" si="72"/>
        <v>2021/12</v>
      </c>
      <c r="E705" s="96" t="str">
        <f t="shared" ca="1" si="73"/>
        <v>M-4</v>
      </c>
      <c r="F705" s="96" t="str">
        <f t="shared" si="74"/>
        <v>Sat</v>
      </c>
      <c r="G705" s="96">
        <f t="shared" si="75"/>
        <v>0</v>
      </c>
    </row>
    <row r="706" spans="1:7" x14ac:dyDescent="0.3">
      <c r="A706" s="63">
        <f t="shared" si="76"/>
        <v>44535</v>
      </c>
      <c r="B706" s="96">
        <f t="shared" si="70"/>
        <v>12</v>
      </c>
      <c r="C706" s="96">
        <f t="shared" si="71"/>
        <v>2021</v>
      </c>
      <c r="D706" s="96" t="str">
        <f t="shared" si="72"/>
        <v>2021/12</v>
      </c>
      <c r="E706" s="96" t="str">
        <f t="shared" ca="1" si="73"/>
        <v>M-4</v>
      </c>
      <c r="F706" s="96" t="str">
        <f t="shared" si="74"/>
        <v>Sun</v>
      </c>
      <c r="G706" s="96">
        <f t="shared" si="75"/>
        <v>0</v>
      </c>
    </row>
    <row r="707" spans="1:7" x14ac:dyDescent="0.3">
      <c r="A707" s="63">
        <f t="shared" si="76"/>
        <v>44536</v>
      </c>
      <c r="B707" s="96">
        <f t="shared" ref="B707:B770" si="77">MONTH(A707)</f>
        <v>12</v>
      </c>
      <c r="C707" s="96">
        <f t="shared" ref="C707:C770" si="78">YEAR(A707)</f>
        <v>2021</v>
      </c>
      <c r="D707" s="96" t="str">
        <f t="shared" ref="D707:D770" si="79">CONCATENATE(C707,"/",TEXT(B707,"00"))</f>
        <v>2021/12</v>
      </c>
      <c r="E707" s="96" t="str">
        <f t="shared" ref="E707:E770" ca="1" si="80">CONCATENATE("M",B707-MONTH(TODAY())+12*(YEAR(TODAY())-C707))</f>
        <v>M-4</v>
      </c>
      <c r="F707" s="96" t="str">
        <f t="shared" ref="F707:F770" si="81">TEXT(A707,"ddd")</f>
        <v>Mon</v>
      </c>
      <c r="G707" s="96">
        <f t="shared" ref="G707:G770" si="82">IF(LEFT(F707,1)="s",0,1)</f>
        <v>1</v>
      </c>
    </row>
    <row r="708" spans="1:7" x14ac:dyDescent="0.3">
      <c r="A708" s="63">
        <f t="shared" ref="A708:A771" si="83">A707+1</f>
        <v>44537</v>
      </c>
      <c r="B708" s="96">
        <f t="shared" si="77"/>
        <v>12</v>
      </c>
      <c r="C708" s="96">
        <f t="shared" si="78"/>
        <v>2021</v>
      </c>
      <c r="D708" s="96" t="str">
        <f t="shared" si="79"/>
        <v>2021/12</v>
      </c>
      <c r="E708" s="96" t="str">
        <f t="shared" ca="1" si="80"/>
        <v>M-4</v>
      </c>
      <c r="F708" s="96" t="str">
        <f t="shared" si="81"/>
        <v>Tue</v>
      </c>
      <c r="G708" s="96">
        <f t="shared" si="82"/>
        <v>1</v>
      </c>
    </row>
    <row r="709" spans="1:7" x14ac:dyDescent="0.3">
      <c r="A709" s="63">
        <f t="shared" si="83"/>
        <v>44538</v>
      </c>
      <c r="B709" s="96">
        <f t="shared" si="77"/>
        <v>12</v>
      </c>
      <c r="C709" s="96">
        <f t="shared" si="78"/>
        <v>2021</v>
      </c>
      <c r="D709" s="96" t="str">
        <f t="shared" si="79"/>
        <v>2021/12</v>
      </c>
      <c r="E709" s="96" t="str">
        <f t="shared" ca="1" si="80"/>
        <v>M-4</v>
      </c>
      <c r="F709" s="96" t="str">
        <f t="shared" si="81"/>
        <v>Wed</v>
      </c>
      <c r="G709" s="96">
        <f t="shared" si="82"/>
        <v>1</v>
      </c>
    </row>
    <row r="710" spans="1:7" x14ac:dyDescent="0.3">
      <c r="A710" s="63">
        <f t="shared" si="83"/>
        <v>44539</v>
      </c>
      <c r="B710" s="96">
        <f t="shared" si="77"/>
        <v>12</v>
      </c>
      <c r="C710" s="96">
        <f t="shared" si="78"/>
        <v>2021</v>
      </c>
      <c r="D710" s="96" t="str">
        <f t="shared" si="79"/>
        <v>2021/12</v>
      </c>
      <c r="E710" s="96" t="str">
        <f t="shared" ca="1" si="80"/>
        <v>M-4</v>
      </c>
      <c r="F710" s="96" t="str">
        <f t="shared" si="81"/>
        <v>Thu</v>
      </c>
      <c r="G710" s="96">
        <f t="shared" si="82"/>
        <v>1</v>
      </c>
    </row>
    <row r="711" spans="1:7" x14ac:dyDescent="0.3">
      <c r="A711" s="63">
        <f t="shared" si="83"/>
        <v>44540</v>
      </c>
      <c r="B711" s="96">
        <f t="shared" si="77"/>
        <v>12</v>
      </c>
      <c r="C711" s="96">
        <f t="shared" si="78"/>
        <v>2021</v>
      </c>
      <c r="D711" s="96" t="str">
        <f t="shared" si="79"/>
        <v>2021/12</v>
      </c>
      <c r="E711" s="96" t="str">
        <f t="shared" ca="1" si="80"/>
        <v>M-4</v>
      </c>
      <c r="F711" s="96" t="str">
        <f t="shared" si="81"/>
        <v>Fri</v>
      </c>
      <c r="G711" s="96">
        <f t="shared" si="82"/>
        <v>1</v>
      </c>
    </row>
    <row r="712" spans="1:7" x14ac:dyDescent="0.3">
      <c r="A712" s="63">
        <f t="shared" si="83"/>
        <v>44541</v>
      </c>
      <c r="B712" s="96">
        <f t="shared" si="77"/>
        <v>12</v>
      </c>
      <c r="C712" s="96">
        <f t="shared" si="78"/>
        <v>2021</v>
      </c>
      <c r="D712" s="96" t="str">
        <f t="shared" si="79"/>
        <v>2021/12</v>
      </c>
      <c r="E712" s="96" t="str">
        <f t="shared" ca="1" si="80"/>
        <v>M-4</v>
      </c>
      <c r="F712" s="96" t="str">
        <f t="shared" si="81"/>
        <v>Sat</v>
      </c>
      <c r="G712" s="96">
        <f t="shared" si="82"/>
        <v>0</v>
      </c>
    </row>
    <row r="713" spans="1:7" x14ac:dyDescent="0.3">
      <c r="A713" s="63">
        <f t="shared" si="83"/>
        <v>44542</v>
      </c>
      <c r="B713" s="96">
        <f t="shared" si="77"/>
        <v>12</v>
      </c>
      <c r="C713" s="96">
        <f t="shared" si="78"/>
        <v>2021</v>
      </c>
      <c r="D713" s="96" t="str">
        <f t="shared" si="79"/>
        <v>2021/12</v>
      </c>
      <c r="E713" s="96" t="str">
        <f t="shared" ca="1" si="80"/>
        <v>M-4</v>
      </c>
      <c r="F713" s="96" t="str">
        <f t="shared" si="81"/>
        <v>Sun</v>
      </c>
      <c r="G713" s="96">
        <f t="shared" si="82"/>
        <v>0</v>
      </c>
    </row>
    <row r="714" spans="1:7" x14ac:dyDescent="0.3">
      <c r="A714" s="63">
        <f t="shared" si="83"/>
        <v>44543</v>
      </c>
      <c r="B714" s="96">
        <f t="shared" si="77"/>
        <v>12</v>
      </c>
      <c r="C714" s="96">
        <f t="shared" si="78"/>
        <v>2021</v>
      </c>
      <c r="D714" s="96" t="str">
        <f t="shared" si="79"/>
        <v>2021/12</v>
      </c>
      <c r="E714" s="96" t="str">
        <f t="shared" ca="1" si="80"/>
        <v>M-4</v>
      </c>
      <c r="F714" s="96" t="str">
        <f t="shared" si="81"/>
        <v>Mon</v>
      </c>
      <c r="G714" s="96">
        <f t="shared" si="82"/>
        <v>1</v>
      </c>
    </row>
    <row r="715" spans="1:7" x14ac:dyDescent="0.3">
      <c r="A715" s="63">
        <f t="shared" si="83"/>
        <v>44544</v>
      </c>
      <c r="B715" s="96">
        <f t="shared" si="77"/>
        <v>12</v>
      </c>
      <c r="C715" s="96">
        <f t="shared" si="78"/>
        <v>2021</v>
      </c>
      <c r="D715" s="96" t="str">
        <f t="shared" si="79"/>
        <v>2021/12</v>
      </c>
      <c r="E715" s="96" t="str">
        <f t="shared" ca="1" si="80"/>
        <v>M-4</v>
      </c>
      <c r="F715" s="96" t="str">
        <f t="shared" si="81"/>
        <v>Tue</v>
      </c>
      <c r="G715" s="96">
        <f t="shared" si="82"/>
        <v>1</v>
      </c>
    </row>
    <row r="716" spans="1:7" x14ac:dyDescent="0.3">
      <c r="A716" s="63">
        <f t="shared" si="83"/>
        <v>44545</v>
      </c>
      <c r="B716" s="96">
        <f t="shared" si="77"/>
        <v>12</v>
      </c>
      <c r="C716" s="96">
        <f t="shared" si="78"/>
        <v>2021</v>
      </c>
      <c r="D716" s="96" t="str">
        <f t="shared" si="79"/>
        <v>2021/12</v>
      </c>
      <c r="E716" s="96" t="str">
        <f t="shared" ca="1" si="80"/>
        <v>M-4</v>
      </c>
      <c r="F716" s="96" t="str">
        <f t="shared" si="81"/>
        <v>Wed</v>
      </c>
      <c r="G716" s="96">
        <f t="shared" si="82"/>
        <v>1</v>
      </c>
    </row>
    <row r="717" spans="1:7" x14ac:dyDescent="0.3">
      <c r="A717" s="63">
        <f t="shared" si="83"/>
        <v>44546</v>
      </c>
      <c r="B717" s="96">
        <f t="shared" si="77"/>
        <v>12</v>
      </c>
      <c r="C717" s="96">
        <f t="shared" si="78"/>
        <v>2021</v>
      </c>
      <c r="D717" s="96" t="str">
        <f t="shared" si="79"/>
        <v>2021/12</v>
      </c>
      <c r="E717" s="96" t="str">
        <f t="shared" ca="1" si="80"/>
        <v>M-4</v>
      </c>
      <c r="F717" s="96" t="str">
        <f t="shared" si="81"/>
        <v>Thu</v>
      </c>
      <c r="G717" s="96">
        <f t="shared" si="82"/>
        <v>1</v>
      </c>
    </row>
    <row r="718" spans="1:7" x14ac:dyDescent="0.3">
      <c r="A718" s="63">
        <f t="shared" si="83"/>
        <v>44547</v>
      </c>
      <c r="B718" s="96">
        <f t="shared" si="77"/>
        <v>12</v>
      </c>
      <c r="C718" s="96">
        <f t="shared" si="78"/>
        <v>2021</v>
      </c>
      <c r="D718" s="96" t="str">
        <f t="shared" si="79"/>
        <v>2021/12</v>
      </c>
      <c r="E718" s="96" t="str">
        <f t="shared" ca="1" si="80"/>
        <v>M-4</v>
      </c>
      <c r="F718" s="96" t="str">
        <f t="shared" si="81"/>
        <v>Fri</v>
      </c>
      <c r="G718" s="96">
        <f t="shared" si="82"/>
        <v>1</v>
      </c>
    </row>
    <row r="719" spans="1:7" x14ac:dyDescent="0.3">
      <c r="A719" s="63">
        <f t="shared" si="83"/>
        <v>44548</v>
      </c>
      <c r="B719" s="96">
        <f t="shared" si="77"/>
        <v>12</v>
      </c>
      <c r="C719" s="96">
        <f t="shared" si="78"/>
        <v>2021</v>
      </c>
      <c r="D719" s="96" t="str">
        <f t="shared" si="79"/>
        <v>2021/12</v>
      </c>
      <c r="E719" s="96" t="str">
        <f t="shared" ca="1" si="80"/>
        <v>M-4</v>
      </c>
      <c r="F719" s="96" t="str">
        <f t="shared" si="81"/>
        <v>Sat</v>
      </c>
      <c r="G719" s="96">
        <f t="shared" si="82"/>
        <v>0</v>
      </c>
    </row>
    <row r="720" spans="1:7" x14ac:dyDescent="0.3">
      <c r="A720" s="63">
        <f t="shared" si="83"/>
        <v>44549</v>
      </c>
      <c r="B720" s="96">
        <f t="shared" si="77"/>
        <v>12</v>
      </c>
      <c r="C720" s="96">
        <f t="shared" si="78"/>
        <v>2021</v>
      </c>
      <c r="D720" s="96" t="str">
        <f t="shared" si="79"/>
        <v>2021/12</v>
      </c>
      <c r="E720" s="96" t="str">
        <f t="shared" ca="1" si="80"/>
        <v>M-4</v>
      </c>
      <c r="F720" s="96" t="str">
        <f t="shared" si="81"/>
        <v>Sun</v>
      </c>
      <c r="G720" s="96">
        <f t="shared" si="82"/>
        <v>0</v>
      </c>
    </row>
    <row r="721" spans="1:7" x14ac:dyDescent="0.3">
      <c r="A721" s="63">
        <f t="shared" si="83"/>
        <v>44550</v>
      </c>
      <c r="B721" s="96">
        <f t="shared" si="77"/>
        <v>12</v>
      </c>
      <c r="C721" s="96">
        <f t="shared" si="78"/>
        <v>2021</v>
      </c>
      <c r="D721" s="96" t="str">
        <f t="shared" si="79"/>
        <v>2021/12</v>
      </c>
      <c r="E721" s="96" t="str">
        <f t="shared" ca="1" si="80"/>
        <v>M-4</v>
      </c>
      <c r="F721" s="96" t="str">
        <f t="shared" si="81"/>
        <v>Mon</v>
      </c>
      <c r="G721" s="96">
        <f t="shared" si="82"/>
        <v>1</v>
      </c>
    </row>
    <row r="722" spans="1:7" x14ac:dyDescent="0.3">
      <c r="A722" s="63">
        <f t="shared" si="83"/>
        <v>44551</v>
      </c>
      <c r="B722" s="96">
        <f t="shared" si="77"/>
        <v>12</v>
      </c>
      <c r="C722" s="96">
        <f t="shared" si="78"/>
        <v>2021</v>
      </c>
      <c r="D722" s="96" t="str">
        <f t="shared" si="79"/>
        <v>2021/12</v>
      </c>
      <c r="E722" s="96" t="str">
        <f t="shared" ca="1" si="80"/>
        <v>M-4</v>
      </c>
      <c r="F722" s="96" t="str">
        <f t="shared" si="81"/>
        <v>Tue</v>
      </c>
      <c r="G722" s="96">
        <f t="shared" si="82"/>
        <v>1</v>
      </c>
    </row>
    <row r="723" spans="1:7" x14ac:dyDescent="0.3">
      <c r="A723" s="63">
        <f t="shared" si="83"/>
        <v>44552</v>
      </c>
      <c r="B723" s="96">
        <f t="shared" si="77"/>
        <v>12</v>
      </c>
      <c r="C723" s="96">
        <f t="shared" si="78"/>
        <v>2021</v>
      </c>
      <c r="D723" s="96" t="str">
        <f t="shared" si="79"/>
        <v>2021/12</v>
      </c>
      <c r="E723" s="96" t="str">
        <f t="shared" ca="1" si="80"/>
        <v>M-4</v>
      </c>
      <c r="F723" s="96" t="str">
        <f t="shared" si="81"/>
        <v>Wed</v>
      </c>
      <c r="G723" s="96">
        <f t="shared" si="82"/>
        <v>1</v>
      </c>
    </row>
    <row r="724" spans="1:7" x14ac:dyDescent="0.3">
      <c r="A724" s="63">
        <f t="shared" si="83"/>
        <v>44553</v>
      </c>
      <c r="B724" s="96">
        <f t="shared" si="77"/>
        <v>12</v>
      </c>
      <c r="C724" s="96">
        <f t="shared" si="78"/>
        <v>2021</v>
      </c>
      <c r="D724" s="96" t="str">
        <f t="shared" si="79"/>
        <v>2021/12</v>
      </c>
      <c r="E724" s="96" t="str">
        <f t="shared" ca="1" si="80"/>
        <v>M-4</v>
      </c>
      <c r="F724" s="96" t="str">
        <f t="shared" si="81"/>
        <v>Thu</v>
      </c>
      <c r="G724" s="96">
        <f t="shared" si="82"/>
        <v>1</v>
      </c>
    </row>
    <row r="725" spans="1:7" x14ac:dyDescent="0.3">
      <c r="A725" s="63">
        <f t="shared" si="83"/>
        <v>44554</v>
      </c>
      <c r="B725" s="96">
        <f t="shared" si="77"/>
        <v>12</v>
      </c>
      <c r="C725" s="96">
        <f t="shared" si="78"/>
        <v>2021</v>
      </c>
      <c r="D725" s="96" t="str">
        <f t="shared" si="79"/>
        <v>2021/12</v>
      </c>
      <c r="E725" s="96" t="str">
        <f t="shared" ca="1" si="80"/>
        <v>M-4</v>
      </c>
      <c r="F725" s="96" t="str">
        <f t="shared" si="81"/>
        <v>Fri</v>
      </c>
      <c r="G725" s="96">
        <f t="shared" si="82"/>
        <v>1</v>
      </c>
    </row>
    <row r="726" spans="1:7" x14ac:dyDescent="0.3">
      <c r="A726" s="63">
        <f t="shared" si="83"/>
        <v>44555</v>
      </c>
      <c r="B726" s="96">
        <f t="shared" si="77"/>
        <v>12</v>
      </c>
      <c r="C726" s="96">
        <f t="shared" si="78"/>
        <v>2021</v>
      </c>
      <c r="D726" s="96" t="str">
        <f t="shared" si="79"/>
        <v>2021/12</v>
      </c>
      <c r="E726" s="96" t="str">
        <f t="shared" ca="1" si="80"/>
        <v>M-4</v>
      </c>
      <c r="F726" s="96" t="str">
        <f t="shared" si="81"/>
        <v>Sat</v>
      </c>
      <c r="G726" s="96">
        <f t="shared" si="82"/>
        <v>0</v>
      </c>
    </row>
    <row r="727" spans="1:7" x14ac:dyDescent="0.3">
      <c r="A727" s="63">
        <f t="shared" si="83"/>
        <v>44556</v>
      </c>
      <c r="B727" s="96">
        <f t="shared" si="77"/>
        <v>12</v>
      </c>
      <c r="C727" s="96">
        <f t="shared" si="78"/>
        <v>2021</v>
      </c>
      <c r="D727" s="96" t="str">
        <f t="shared" si="79"/>
        <v>2021/12</v>
      </c>
      <c r="E727" s="96" t="str">
        <f t="shared" ca="1" si="80"/>
        <v>M-4</v>
      </c>
      <c r="F727" s="96" t="str">
        <f t="shared" si="81"/>
        <v>Sun</v>
      </c>
      <c r="G727" s="96">
        <f t="shared" si="82"/>
        <v>0</v>
      </c>
    </row>
    <row r="728" spans="1:7" x14ac:dyDescent="0.3">
      <c r="A728" s="63">
        <f t="shared" si="83"/>
        <v>44557</v>
      </c>
      <c r="B728" s="96">
        <f t="shared" si="77"/>
        <v>12</v>
      </c>
      <c r="C728" s="96">
        <f t="shared" si="78"/>
        <v>2021</v>
      </c>
      <c r="D728" s="96" t="str">
        <f t="shared" si="79"/>
        <v>2021/12</v>
      </c>
      <c r="E728" s="96" t="str">
        <f t="shared" ca="1" si="80"/>
        <v>M-4</v>
      </c>
      <c r="F728" s="96" t="str">
        <f t="shared" si="81"/>
        <v>Mon</v>
      </c>
      <c r="G728" s="96">
        <f t="shared" si="82"/>
        <v>1</v>
      </c>
    </row>
    <row r="729" spans="1:7" x14ac:dyDescent="0.3">
      <c r="A729" s="63">
        <f t="shared" si="83"/>
        <v>44558</v>
      </c>
      <c r="B729" s="96">
        <f t="shared" si="77"/>
        <v>12</v>
      </c>
      <c r="C729" s="96">
        <f t="shared" si="78"/>
        <v>2021</v>
      </c>
      <c r="D729" s="96" t="str">
        <f t="shared" si="79"/>
        <v>2021/12</v>
      </c>
      <c r="E729" s="96" t="str">
        <f t="shared" ca="1" si="80"/>
        <v>M-4</v>
      </c>
      <c r="F729" s="96" t="str">
        <f t="shared" si="81"/>
        <v>Tue</v>
      </c>
      <c r="G729" s="96">
        <f t="shared" si="82"/>
        <v>1</v>
      </c>
    </row>
    <row r="730" spans="1:7" x14ac:dyDescent="0.3">
      <c r="A730" s="63">
        <f t="shared" si="83"/>
        <v>44559</v>
      </c>
      <c r="B730" s="96">
        <f t="shared" si="77"/>
        <v>12</v>
      </c>
      <c r="C730" s="96">
        <f t="shared" si="78"/>
        <v>2021</v>
      </c>
      <c r="D730" s="96" t="str">
        <f t="shared" si="79"/>
        <v>2021/12</v>
      </c>
      <c r="E730" s="96" t="str">
        <f t="shared" ca="1" si="80"/>
        <v>M-4</v>
      </c>
      <c r="F730" s="96" t="str">
        <f t="shared" si="81"/>
        <v>Wed</v>
      </c>
      <c r="G730" s="96">
        <f t="shared" si="82"/>
        <v>1</v>
      </c>
    </row>
    <row r="731" spans="1:7" x14ac:dyDescent="0.3">
      <c r="A731" s="63">
        <f t="shared" si="83"/>
        <v>44560</v>
      </c>
      <c r="B731" s="96">
        <f t="shared" si="77"/>
        <v>12</v>
      </c>
      <c r="C731" s="96">
        <f t="shared" si="78"/>
        <v>2021</v>
      </c>
      <c r="D731" s="96" t="str">
        <f t="shared" si="79"/>
        <v>2021/12</v>
      </c>
      <c r="E731" s="96" t="str">
        <f t="shared" ca="1" si="80"/>
        <v>M-4</v>
      </c>
      <c r="F731" s="96" t="str">
        <f t="shared" si="81"/>
        <v>Thu</v>
      </c>
      <c r="G731" s="96">
        <f t="shared" si="82"/>
        <v>1</v>
      </c>
    </row>
    <row r="732" spans="1:7" x14ac:dyDescent="0.3">
      <c r="A732" s="63">
        <f t="shared" si="83"/>
        <v>44561</v>
      </c>
      <c r="B732" s="96">
        <f t="shared" si="77"/>
        <v>12</v>
      </c>
      <c r="C732" s="96">
        <f t="shared" si="78"/>
        <v>2021</v>
      </c>
      <c r="D732" s="96" t="str">
        <f t="shared" si="79"/>
        <v>2021/12</v>
      </c>
      <c r="E732" s="96" t="str">
        <f t="shared" ca="1" si="80"/>
        <v>M-4</v>
      </c>
      <c r="F732" s="96" t="str">
        <f t="shared" si="81"/>
        <v>Fri</v>
      </c>
      <c r="G732" s="96">
        <f t="shared" si="82"/>
        <v>1</v>
      </c>
    </row>
    <row r="733" spans="1:7" x14ac:dyDescent="0.3">
      <c r="A733" s="63">
        <f t="shared" si="83"/>
        <v>44562</v>
      </c>
      <c r="B733" s="96">
        <f t="shared" si="77"/>
        <v>1</v>
      </c>
      <c r="C733" s="96">
        <f t="shared" si="78"/>
        <v>2022</v>
      </c>
      <c r="D733" s="96" t="str">
        <f t="shared" si="79"/>
        <v>2022/01</v>
      </c>
      <c r="E733" s="96" t="str">
        <f t="shared" ca="1" si="80"/>
        <v>M-27</v>
      </c>
      <c r="F733" s="96" t="str">
        <f t="shared" si="81"/>
        <v>Sat</v>
      </c>
      <c r="G733" s="96">
        <f t="shared" si="82"/>
        <v>0</v>
      </c>
    </row>
    <row r="734" spans="1:7" x14ac:dyDescent="0.3">
      <c r="A734" s="63">
        <f t="shared" si="83"/>
        <v>44563</v>
      </c>
      <c r="B734" s="96">
        <f t="shared" si="77"/>
        <v>1</v>
      </c>
      <c r="C734" s="96">
        <f t="shared" si="78"/>
        <v>2022</v>
      </c>
      <c r="D734" s="96" t="str">
        <f t="shared" si="79"/>
        <v>2022/01</v>
      </c>
      <c r="E734" s="96" t="str">
        <f t="shared" ca="1" si="80"/>
        <v>M-27</v>
      </c>
      <c r="F734" s="96" t="str">
        <f t="shared" si="81"/>
        <v>Sun</v>
      </c>
      <c r="G734" s="96">
        <f t="shared" si="82"/>
        <v>0</v>
      </c>
    </row>
    <row r="735" spans="1:7" x14ac:dyDescent="0.3">
      <c r="A735" s="63">
        <f t="shared" si="83"/>
        <v>44564</v>
      </c>
      <c r="B735" s="96">
        <f t="shared" si="77"/>
        <v>1</v>
      </c>
      <c r="C735" s="96">
        <f t="shared" si="78"/>
        <v>2022</v>
      </c>
      <c r="D735" s="96" t="str">
        <f t="shared" si="79"/>
        <v>2022/01</v>
      </c>
      <c r="E735" s="96" t="str">
        <f t="shared" ca="1" si="80"/>
        <v>M-27</v>
      </c>
      <c r="F735" s="96" t="str">
        <f t="shared" si="81"/>
        <v>Mon</v>
      </c>
      <c r="G735" s="96">
        <f t="shared" si="82"/>
        <v>1</v>
      </c>
    </row>
    <row r="736" spans="1:7" x14ac:dyDescent="0.3">
      <c r="A736" s="63">
        <f t="shared" si="83"/>
        <v>44565</v>
      </c>
      <c r="B736" s="96">
        <f t="shared" si="77"/>
        <v>1</v>
      </c>
      <c r="C736" s="96">
        <f t="shared" si="78"/>
        <v>2022</v>
      </c>
      <c r="D736" s="96" t="str">
        <f t="shared" si="79"/>
        <v>2022/01</v>
      </c>
      <c r="E736" s="96" t="str">
        <f t="shared" ca="1" si="80"/>
        <v>M-27</v>
      </c>
      <c r="F736" s="96" t="str">
        <f t="shared" si="81"/>
        <v>Tue</v>
      </c>
      <c r="G736" s="96">
        <f t="shared" si="82"/>
        <v>1</v>
      </c>
    </row>
    <row r="737" spans="1:7" x14ac:dyDescent="0.3">
      <c r="A737" s="63">
        <f t="shared" si="83"/>
        <v>44566</v>
      </c>
      <c r="B737" s="96">
        <f t="shared" si="77"/>
        <v>1</v>
      </c>
      <c r="C737" s="96">
        <f t="shared" si="78"/>
        <v>2022</v>
      </c>
      <c r="D737" s="96" t="str">
        <f t="shared" si="79"/>
        <v>2022/01</v>
      </c>
      <c r="E737" s="96" t="str">
        <f t="shared" ca="1" si="80"/>
        <v>M-27</v>
      </c>
      <c r="F737" s="96" t="str">
        <f t="shared" si="81"/>
        <v>Wed</v>
      </c>
      <c r="G737" s="96">
        <f t="shared" si="82"/>
        <v>1</v>
      </c>
    </row>
    <row r="738" spans="1:7" x14ac:dyDescent="0.3">
      <c r="A738" s="63">
        <f t="shared" si="83"/>
        <v>44567</v>
      </c>
      <c r="B738" s="96">
        <f t="shared" si="77"/>
        <v>1</v>
      </c>
      <c r="C738" s="96">
        <f t="shared" si="78"/>
        <v>2022</v>
      </c>
      <c r="D738" s="96" t="str">
        <f t="shared" si="79"/>
        <v>2022/01</v>
      </c>
      <c r="E738" s="96" t="str">
        <f t="shared" ca="1" si="80"/>
        <v>M-27</v>
      </c>
      <c r="F738" s="96" t="str">
        <f t="shared" si="81"/>
        <v>Thu</v>
      </c>
      <c r="G738" s="96">
        <f t="shared" si="82"/>
        <v>1</v>
      </c>
    </row>
    <row r="739" spans="1:7" x14ac:dyDescent="0.3">
      <c r="A739" s="63">
        <f t="shared" si="83"/>
        <v>44568</v>
      </c>
      <c r="B739" s="96">
        <f t="shared" si="77"/>
        <v>1</v>
      </c>
      <c r="C739" s="96">
        <f t="shared" si="78"/>
        <v>2022</v>
      </c>
      <c r="D739" s="96" t="str">
        <f t="shared" si="79"/>
        <v>2022/01</v>
      </c>
      <c r="E739" s="96" t="str">
        <f t="shared" ca="1" si="80"/>
        <v>M-27</v>
      </c>
      <c r="F739" s="96" t="str">
        <f t="shared" si="81"/>
        <v>Fri</v>
      </c>
      <c r="G739" s="96">
        <f t="shared" si="82"/>
        <v>1</v>
      </c>
    </row>
    <row r="740" spans="1:7" x14ac:dyDescent="0.3">
      <c r="A740" s="63">
        <f t="shared" si="83"/>
        <v>44569</v>
      </c>
      <c r="B740" s="96">
        <f t="shared" si="77"/>
        <v>1</v>
      </c>
      <c r="C740" s="96">
        <f t="shared" si="78"/>
        <v>2022</v>
      </c>
      <c r="D740" s="96" t="str">
        <f t="shared" si="79"/>
        <v>2022/01</v>
      </c>
      <c r="E740" s="96" t="str">
        <f t="shared" ca="1" si="80"/>
        <v>M-27</v>
      </c>
      <c r="F740" s="96" t="str">
        <f t="shared" si="81"/>
        <v>Sat</v>
      </c>
      <c r="G740" s="96">
        <f t="shared" si="82"/>
        <v>0</v>
      </c>
    </row>
    <row r="741" spans="1:7" x14ac:dyDescent="0.3">
      <c r="A741" s="63">
        <f t="shared" si="83"/>
        <v>44570</v>
      </c>
      <c r="B741" s="96">
        <f t="shared" si="77"/>
        <v>1</v>
      </c>
      <c r="C741" s="96">
        <f t="shared" si="78"/>
        <v>2022</v>
      </c>
      <c r="D741" s="96" t="str">
        <f t="shared" si="79"/>
        <v>2022/01</v>
      </c>
      <c r="E741" s="96" t="str">
        <f t="shared" ca="1" si="80"/>
        <v>M-27</v>
      </c>
      <c r="F741" s="96" t="str">
        <f t="shared" si="81"/>
        <v>Sun</v>
      </c>
      <c r="G741" s="96">
        <f t="shared" si="82"/>
        <v>0</v>
      </c>
    </row>
    <row r="742" spans="1:7" x14ac:dyDescent="0.3">
      <c r="A742" s="63">
        <f t="shared" si="83"/>
        <v>44571</v>
      </c>
      <c r="B742" s="96">
        <f t="shared" si="77"/>
        <v>1</v>
      </c>
      <c r="C742" s="96">
        <f t="shared" si="78"/>
        <v>2022</v>
      </c>
      <c r="D742" s="96" t="str">
        <f t="shared" si="79"/>
        <v>2022/01</v>
      </c>
      <c r="E742" s="96" t="str">
        <f t="shared" ca="1" si="80"/>
        <v>M-27</v>
      </c>
      <c r="F742" s="96" t="str">
        <f t="shared" si="81"/>
        <v>Mon</v>
      </c>
      <c r="G742" s="96">
        <f t="shared" si="82"/>
        <v>1</v>
      </c>
    </row>
    <row r="743" spans="1:7" x14ac:dyDescent="0.3">
      <c r="A743" s="63">
        <f t="shared" si="83"/>
        <v>44572</v>
      </c>
      <c r="B743" s="96">
        <f t="shared" si="77"/>
        <v>1</v>
      </c>
      <c r="C743" s="96">
        <f t="shared" si="78"/>
        <v>2022</v>
      </c>
      <c r="D743" s="96" t="str">
        <f t="shared" si="79"/>
        <v>2022/01</v>
      </c>
      <c r="E743" s="96" t="str">
        <f t="shared" ca="1" si="80"/>
        <v>M-27</v>
      </c>
      <c r="F743" s="96" t="str">
        <f t="shared" si="81"/>
        <v>Tue</v>
      </c>
      <c r="G743" s="96">
        <f t="shared" si="82"/>
        <v>1</v>
      </c>
    </row>
    <row r="744" spans="1:7" x14ac:dyDescent="0.3">
      <c r="A744" s="63">
        <f t="shared" si="83"/>
        <v>44573</v>
      </c>
      <c r="B744" s="96">
        <f t="shared" si="77"/>
        <v>1</v>
      </c>
      <c r="C744" s="96">
        <f t="shared" si="78"/>
        <v>2022</v>
      </c>
      <c r="D744" s="96" t="str">
        <f t="shared" si="79"/>
        <v>2022/01</v>
      </c>
      <c r="E744" s="96" t="str">
        <f t="shared" ca="1" si="80"/>
        <v>M-27</v>
      </c>
      <c r="F744" s="96" t="str">
        <f t="shared" si="81"/>
        <v>Wed</v>
      </c>
      <c r="G744" s="96">
        <f t="shared" si="82"/>
        <v>1</v>
      </c>
    </row>
    <row r="745" spans="1:7" x14ac:dyDescent="0.3">
      <c r="A745" s="63">
        <f t="shared" si="83"/>
        <v>44574</v>
      </c>
      <c r="B745" s="96">
        <f t="shared" si="77"/>
        <v>1</v>
      </c>
      <c r="C745" s="96">
        <f t="shared" si="78"/>
        <v>2022</v>
      </c>
      <c r="D745" s="96" t="str">
        <f t="shared" si="79"/>
        <v>2022/01</v>
      </c>
      <c r="E745" s="96" t="str">
        <f t="shared" ca="1" si="80"/>
        <v>M-27</v>
      </c>
      <c r="F745" s="96" t="str">
        <f t="shared" si="81"/>
        <v>Thu</v>
      </c>
      <c r="G745" s="96">
        <f t="shared" si="82"/>
        <v>1</v>
      </c>
    </row>
    <row r="746" spans="1:7" x14ac:dyDescent="0.3">
      <c r="A746" s="63">
        <f t="shared" si="83"/>
        <v>44575</v>
      </c>
      <c r="B746" s="96">
        <f t="shared" si="77"/>
        <v>1</v>
      </c>
      <c r="C746" s="96">
        <f t="shared" si="78"/>
        <v>2022</v>
      </c>
      <c r="D746" s="96" t="str">
        <f t="shared" si="79"/>
        <v>2022/01</v>
      </c>
      <c r="E746" s="96" t="str">
        <f t="shared" ca="1" si="80"/>
        <v>M-27</v>
      </c>
      <c r="F746" s="96" t="str">
        <f t="shared" si="81"/>
        <v>Fri</v>
      </c>
      <c r="G746" s="96">
        <f t="shared" si="82"/>
        <v>1</v>
      </c>
    </row>
    <row r="747" spans="1:7" x14ac:dyDescent="0.3">
      <c r="A747" s="63">
        <f t="shared" si="83"/>
        <v>44576</v>
      </c>
      <c r="B747" s="96">
        <f t="shared" si="77"/>
        <v>1</v>
      </c>
      <c r="C747" s="96">
        <f t="shared" si="78"/>
        <v>2022</v>
      </c>
      <c r="D747" s="96" t="str">
        <f t="shared" si="79"/>
        <v>2022/01</v>
      </c>
      <c r="E747" s="96" t="str">
        <f t="shared" ca="1" si="80"/>
        <v>M-27</v>
      </c>
      <c r="F747" s="96" t="str">
        <f t="shared" si="81"/>
        <v>Sat</v>
      </c>
      <c r="G747" s="96">
        <f t="shared" si="82"/>
        <v>0</v>
      </c>
    </row>
    <row r="748" spans="1:7" x14ac:dyDescent="0.3">
      <c r="A748" s="63">
        <f t="shared" si="83"/>
        <v>44577</v>
      </c>
      <c r="B748" s="96">
        <f t="shared" si="77"/>
        <v>1</v>
      </c>
      <c r="C748" s="96">
        <f t="shared" si="78"/>
        <v>2022</v>
      </c>
      <c r="D748" s="96" t="str">
        <f t="shared" si="79"/>
        <v>2022/01</v>
      </c>
      <c r="E748" s="96" t="str">
        <f t="shared" ca="1" si="80"/>
        <v>M-27</v>
      </c>
      <c r="F748" s="96" t="str">
        <f t="shared" si="81"/>
        <v>Sun</v>
      </c>
      <c r="G748" s="96">
        <f t="shared" si="82"/>
        <v>0</v>
      </c>
    </row>
    <row r="749" spans="1:7" x14ac:dyDescent="0.3">
      <c r="A749" s="63">
        <f t="shared" si="83"/>
        <v>44578</v>
      </c>
      <c r="B749" s="96">
        <f t="shared" si="77"/>
        <v>1</v>
      </c>
      <c r="C749" s="96">
        <f t="shared" si="78"/>
        <v>2022</v>
      </c>
      <c r="D749" s="96" t="str">
        <f t="shared" si="79"/>
        <v>2022/01</v>
      </c>
      <c r="E749" s="96" t="str">
        <f t="shared" ca="1" si="80"/>
        <v>M-27</v>
      </c>
      <c r="F749" s="96" t="str">
        <f t="shared" si="81"/>
        <v>Mon</v>
      </c>
      <c r="G749" s="96">
        <f t="shared" si="82"/>
        <v>1</v>
      </c>
    </row>
    <row r="750" spans="1:7" x14ac:dyDescent="0.3">
      <c r="A750" s="63">
        <f t="shared" si="83"/>
        <v>44579</v>
      </c>
      <c r="B750" s="96">
        <f t="shared" si="77"/>
        <v>1</v>
      </c>
      <c r="C750" s="96">
        <f t="shared" si="78"/>
        <v>2022</v>
      </c>
      <c r="D750" s="96" t="str">
        <f t="shared" si="79"/>
        <v>2022/01</v>
      </c>
      <c r="E750" s="96" t="str">
        <f t="shared" ca="1" si="80"/>
        <v>M-27</v>
      </c>
      <c r="F750" s="96" t="str">
        <f t="shared" si="81"/>
        <v>Tue</v>
      </c>
      <c r="G750" s="96">
        <f t="shared" si="82"/>
        <v>1</v>
      </c>
    </row>
    <row r="751" spans="1:7" x14ac:dyDescent="0.3">
      <c r="A751" s="63">
        <f t="shared" si="83"/>
        <v>44580</v>
      </c>
      <c r="B751" s="96">
        <f t="shared" si="77"/>
        <v>1</v>
      </c>
      <c r="C751" s="96">
        <f t="shared" si="78"/>
        <v>2022</v>
      </c>
      <c r="D751" s="96" t="str">
        <f t="shared" si="79"/>
        <v>2022/01</v>
      </c>
      <c r="E751" s="96" t="str">
        <f t="shared" ca="1" si="80"/>
        <v>M-27</v>
      </c>
      <c r="F751" s="96" t="str">
        <f t="shared" si="81"/>
        <v>Wed</v>
      </c>
      <c r="G751" s="96">
        <f t="shared" si="82"/>
        <v>1</v>
      </c>
    </row>
    <row r="752" spans="1:7" x14ac:dyDescent="0.3">
      <c r="A752" s="63">
        <f t="shared" si="83"/>
        <v>44581</v>
      </c>
      <c r="B752" s="96">
        <f t="shared" si="77"/>
        <v>1</v>
      </c>
      <c r="C752" s="96">
        <f t="shared" si="78"/>
        <v>2022</v>
      </c>
      <c r="D752" s="96" t="str">
        <f t="shared" si="79"/>
        <v>2022/01</v>
      </c>
      <c r="E752" s="96" t="str">
        <f t="shared" ca="1" si="80"/>
        <v>M-27</v>
      </c>
      <c r="F752" s="96" t="str">
        <f t="shared" si="81"/>
        <v>Thu</v>
      </c>
      <c r="G752" s="96">
        <f t="shared" si="82"/>
        <v>1</v>
      </c>
    </row>
    <row r="753" spans="1:7" x14ac:dyDescent="0.3">
      <c r="A753" s="63">
        <f t="shared" si="83"/>
        <v>44582</v>
      </c>
      <c r="B753" s="96">
        <f t="shared" si="77"/>
        <v>1</v>
      </c>
      <c r="C753" s="96">
        <f t="shared" si="78"/>
        <v>2022</v>
      </c>
      <c r="D753" s="96" t="str">
        <f t="shared" si="79"/>
        <v>2022/01</v>
      </c>
      <c r="E753" s="96" t="str">
        <f t="shared" ca="1" si="80"/>
        <v>M-27</v>
      </c>
      <c r="F753" s="96" t="str">
        <f t="shared" si="81"/>
        <v>Fri</v>
      </c>
      <c r="G753" s="96">
        <f t="shared" si="82"/>
        <v>1</v>
      </c>
    </row>
    <row r="754" spans="1:7" x14ac:dyDescent="0.3">
      <c r="A754" s="63">
        <f t="shared" si="83"/>
        <v>44583</v>
      </c>
      <c r="B754" s="96">
        <f t="shared" si="77"/>
        <v>1</v>
      </c>
      <c r="C754" s="96">
        <f t="shared" si="78"/>
        <v>2022</v>
      </c>
      <c r="D754" s="96" t="str">
        <f t="shared" si="79"/>
        <v>2022/01</v>
      </c>
      <c r="E754" s="96" t="str">
        <f t="shared" ca="1" si="80"/>
        <v>M-27</v>
      </c>
      <c r="F754" s="96" t="str">
        <f t="shared" si="81"/>
        <v>Sat</v>
      </c>
      <c r="G754" s="96">
        <f t="shared" si="82"/>
        <v>0</v>
      </c>
    </row>
    <row r="755" spans="1:7" x14ac:dyDescent="0.3">
      <c r="A755" s="63">
        <f t="shared" si="83"/>
        <v>44584</v>
      </c>
      <c r="B755" s="96">
        <f t="shared" si="77"/>
        <v>1</v>
      </c>
      <c r="C755" s="96">
        <f t="shared" si="78"/>
        <v>2022</v>
      </c>
      <c r="D755" s="96" t="str">
        <f t="shared" si="79"/>
        <v>2022/01</v>
      </c>
      <c r="E755" s="96" t="str">
        <f t="shared" ca="1" si="80"/>
        <v>M-27</v>
      </c>
      <c r="F755" s="96" t="str">
        <f t="shared" si="81"/>
        <v>Sun</v>
      </c>
      <c r="G755" s="96">
        <f t="shared" si="82"/>
        <v>0</v>
      </c>
    </row>
    <row r="756" spans="1:7" x14ac:dyDescent="0.3">
      <c r="A756" s="63">
        <f t="shared" si="83"/>
        <v>44585</v>
      </c>
      <c r="B756" s="96">
        <f t="shared" si="77"/>
        <v>1</v>
      </c>
      <c r="C756" s="96">
        <f t="shared" si="78"/>
        <v>2022</v>
      </c>
      <c r="D756" s="96" t="str">
        <f t="shared" si="79"/>
        <v>2022/01</v>
      </c>
      <c r="E756" s="96" t="str">
        <f t="shared" ca="1" si="80"/>
        <v>M-27</v>
      </c>
      <c r="F756" s="96" t="str">
        <f t="shared" si="81"/>
        <v>Mon</v>
      </c>
      <c r="G756" s="96">
        <f t="shared" si="82"/>
        <v>1</v>
      </c>
    </row>
    <row r="757" spans="1:7" x14ac:dyDescent="0.3">
      <c r="A757" s="63">
        <f t="shared" si="83"/>
        <v>44586</v>
      </c>
      <c r="B757" s="96">
        <f t="shared" si="77"/>
        <v>1</v>
      </c>
      <c r="C757" s="96">
        <f t="shared" si="78"/>
        <v>2022</v>
      </c>
      <c r="D757" s="96" t="str">
        <f t="shared" si="79"/>
        <v>2022/01</v>
      </c>
      <c r="E757" s="96" t="str">
        <f t="shared" ca="1" si="80"/>
        <v>M-27</v>
      </c>
      <c r="F757" s="96" t="str">
        <f t="shared" si="81"/>
        <v>Tue</v>
      </c>
      <c r="G757" s="96">
        <f t="shared" si="82"/>
        <v>1</v>
      </c>
    </row>
    <row r="758" spans="1:7" x14ac:dyDescent="0.3">
      <c r="A758" s="63">
        <f t="shared" si="83"/>
        <v>44587</v>
      </c>
      <c r="B758" s="96">
        <f t="shared" si="77"/>
        <v>1</v>
      </c>
      <c r="C758" s="96">
        <f t="shared" si="78"/>
        <v>2022</v>
      </c>
      <c r="D758" s="96" t="str">
        <f t="shared" si="79"/>
        <v>2022/01</v>
      </c>
      <c r="E758" s="96" t="str">
        <f t="shared" ca="1" si="80"/>
        <v>M-27</v>
      </c>
      <c r="F758" s="96" t="str">
        <f t="shared" si="81"/>
        <v>Wed</v>
      </c>
      <c r="G758" s="96">
        <f t="shared" si="82"/>
        <v>1</v>
      </c>
    </row>
    <row r="759" spans="1:7" x14ac:dyDescent="0.3">
      <c r="A759" s="63">
        <f t="shared" si="83"/>
        <v>44588</v>
      </c>
      <c r="B759" s="96">
        <f t="shared" si="77"/>
        <v>1</v>
      </c>
      <c r="C759" s="96">
        <f t="shared" si="78"/>
        <v>2022</v>
      </c>
      <c r="D759" s="96" t="str">
        <f t="shared" si="79"/>
        <v>2022/01</v>
      </c>
      <c r="E759" s="96" t="str">
        <f t="shared" ca="1" si="80"/>
        <v>M-27</v>
      </c>
      <c r="F759" s="96" t="str">
        <f t="shared" si="81"/>
        <v>Thu</v>
      </c>
      <c r="G759" s="96">
        <f t="shared" si="82"/>
        <v>1</v>
      </c>
    </row>
    <row r="760" spans="1:7" x14ac:dyDescent="0.3">
      <c r="A760" s="63">
        <f t="shared" si="83"/>
        <v>44589</v>
      </c>
      <c r="B760" s="96">
        <f t="shared" si="77"/>
        <v>1</v>
      </c>
      <c r="C760" s="96">
        <f t="shared" si="78"/>
        <v>2022</v>
      </c>
      <c r="D760" s="96" t="str">
        <f t="shared" si="79"/>
        <v>2022/01</v>
      </c>
      <c r="E760" s="96" t="str">
        <f t="shared" ca="1" si="80"/>
        <v>M-27</v>
      </c>
      <c r="F760" s="96" t="str">
        <f t="shared" si="81"/>
        <v>Fri</v>
      </c>
      <c r="G760" s="96">
        <f t="shared" si="82"/>
        <v>1</v>
      </c>
    </row>
    <row r="761" spans="1:7" x14ac:dyDescent="0.3">
      <c r="A761" s="63">
        <f t="shared" si="83"/>
        <v>44590</v>
      </c>
      <c r="B761" s="96">
        <f t="shared" si="77"/>
        <v>1</v>
      </c>
      <c r="C761" s="96">
        <f t="shared" si="78"/>
        <v>2022</v>
      </c>
      <c r="D761" s="96" t="str">
        <f t="shared" si="79"/>
        <v>2022/01</v>
      </c>
      <c r="E761" s="96" t="str">
        <f t="shared" ca="1" si="80"/>
        <v>M-27</v>
      </c>
      <c r="F761" s="96" t="str">
        <f t="shared" si="81"/>
        <v>Sat</v>
      </c>
      <c r="G761" s="96">
        <f t="shared" si="82"/>
        <v>0</v>
      </c>
    </row>
    <row r="762" spans="1:7" x14ac:dyDescent="0.3">
      <c r="A762" s="63">
        <f t="shared" si="83"/>
        <v>44591</v>
      </c>
      <c r="B762" s="96">
        <f t="shared" si="77"/>
        <v>1</v>
      </c>
      <c r="C762" s="96">
        <f t="shared" si="78"/>
        <v>2022</v>
      </c>
      <c r="D762" s="96" t="str">
        <f t="shared" si="79"/>
        <v>2022/01</v>
      </c>
      <c r="E762" s="96" t="str">
        <f t="shared" ca="1" si="80"/>
        <v>M-27</v>
      </c>
      <c r="F762" s="96" t="str">
        <f t="shared" si="81"/>
        <v>Sun</v>
      </c>
      <c r="G762" s="96">
        <f t="shared" si="82"/>
        <v>0</v>
      </c>
    </row>
    <row r="763" spans="1:7" x14ac:dyDescent="0.3">
      <c r="A763" s="63">
        <f t="shared" si="83"/>
        <v>44592</v>
      </c>
      <c r="B763" s="96">
        <f t="shared" si="77"/>
        <v>1</v>
      </c>
      <c r="C763" s="96">
        <f t="shared" si="78"/>
        <v>2022</v>
      </c>
      <c r="D763" s="96" t="str">
        <f t="shared" si="79"/>
        <v>2022/01</v>
      </c>
      <c r="E763" s="96" t="str">
        <f t="shared" ca="1" si="80"/>
        <v>M-27</v>
      </c>
      <c r="F763" s="96" t="str">
        <f t="shared" si="81"/>
        <v>Mon</v>
      </c>
      <c r="G763" s="96">
        <f t="shared" si="82"/>
        <v>1</v>
      </c>
    </row>
    <row r="764" spans="1:7" x14ac:dyDescent="0.3">
      <c r="A764" s="63">
        <f t="shared" si="83"/>
        <v>44593</v>
      </c>
      <c r="B764" s="96">
        <f t="shared" si="77"/>
        <v>2</v>
      </c>
      <c r="C764" s="96">
        <f t="shared" si="78"/>
        <v>2022</v>
      </c>
      <c r="D764" s="96" t="str">
        <f t="shared" si="79"/>
        <v>2022/02</v>
      </c>
      <c r="E764" s="96" t="str">
        <f t="shared" ca="1" si="80"/>
        <v>M-26</v>
      </c>
      <c r="F764" s="96" t="str">
        <f t="shared" si="81"/>
        <v>Tue</v>
      </c>
      <c r="G764" s="96">
        <f t="shared" si="82"/>
        <v>1</v>
      </c>
    </row>
    <row r="765" spans="1:7" x14ac:dyDescent="0.3">
      <c r="A765" s="63">
        <f t="shared" si="83"/>
        <v>44594</v>
      </c>
      <c r="B765" s="96">
        <f t="shared" si="77"/>
        <v>2</v>
      </c>
      <c r="C765" s="96">
        <f t="shared" si="78"/>
        <v>2022</v>
      </c>
      <c r="D765" s="96" t="str">
        <f t="shared" si="79"/>
        <v>2022/02</v>
      </c>
      <c r="E765" s="96" t="str">
        <f t="shared" ca="1" si="80"/>
        <v>M-26</v>
      </c>
      <c r="F765" s="96" t="str">
        <f t="shared" si="81"/>
        <v>Wed</v>
      </c>
      <c r="G765" s="96">
        <f t="shared" si="82"/>
        <v>1</v>
      </c>
    </row>
    <row r="766" spans="1:7" x14ac:dyDescent="0.3">
      <c r="A766" s="63">
        <f t="shared" si="83"/>
        <v>44595</v>
      </c>
      <c r="B766" s="96">
        <f t="shared" si="77"/>
        <v>2</v>
      </c>
      <c r="C766" s="96">
        <f t="shared" si="78"/>
        <v>2022</v>
      </c>
      <c r="D766" s="96" t="str">
        <f t="shared" si="79"/>
        <v>2022/02</v>
      </c>
      <c r="E766" s="96" t="str">
        <f t="shared" ca="1" si="80"/>
        <v>M-26</v>
      </c>
      <c r="F766" s="96" t="str">
        <f t="shared" si="81"/>
        <v>Thu</v>
      </c>
      <c r="G766" s="96">
        <f t="shared" si="82"/>
        <v>1</v>
      </c>
    </row>
    <row r="767" spans="1:7" x14ac:dyDescent="0.3">
      <c r="A767" s="63">
        <f t="shared" si="83"/>
        <v>44596</v>
      </c>
      <c r="B767" s="96">
        <f t="shared" si="77"/>
        <v>2</v>
      </c>
      <c r="C767" s="96">
        <f t="shared" si="78"/>
        <v>2022</v>
      </c>
      <c r="D767" s="96" t="str">
        <f t="shared" si="79"/>
        <v>2022/02</v>
      </c>
      <c r="E767" s="96" t="str">
        <f t="shared" ca="1" si="80"/>
        <v>M-26</v>
      </c>
      <c r="F767" s="96" t="str">
        <f t="shared" si="81"/>
        <v>Fri</v>
      </c>
      <c r="G767" s="96">
        <f t="shared" si="82"/>
        <v>1</v>
      </c>
    </row>
    <row r="768" spans="1:7" x14ac:dyDescent="0.3">
      <c r="A768" s="63">
        <f t="shared" si="83"/>
        <v>44597</v>
      </c>
      <c r="B768" s="96">
        <f t="shared" si="77"/>
        <v>2</v>
      </c>
      <c r="C768" s="96">
        <f t="shared" si="78"/>
        <v>2022</v>
      </c>
      <c r="D768" s="96" t="str">
        <f t="shared" si="79"/>
        <v>2022/02</v>
      </c>
      <c r="E768" s="96" t="str">
        <f t="shared" ca="1" si="80"/>
        <v>M-26</v>
      </c>
      <c r="F768" s="96" t="str">
        <f t="shared" si="81"/>
        <v>Sat</v>
      </c>
      <c r="G768" s="96">
        <f t="shared" si="82"/>
        <v>0</v>
      </c>
    </row>
    <row r="769" spans="1:7" x14ac:dyDescent="0.3">
      <c r="A769" s="63">
        <f t="shared" si="83"/>
        <v>44598</v>
      </c>
      <c r="B769" s="96">
        <f t="shared" si="77"/>
        <v>2</v>
      </c>
      <c r="C769" s="96">
        <f t="shared" si="78"/>
        <v>2022</v>
      </c>
      <c r="D769" s="96" t="str">
        <f t="shared" si="79"/>
        <v>2022/02</v>
      </c>
      <c r="E769" s="96" t="str">
        <f t="shared" ca="1" si="80"/>
        <v>M-26</v>
      </c>
      <c r="F769" s="96" t="str">
        <f t="shared" si="81"/>
        <v>Sun</v>
      </c>
      <c r="G769" s="96">
        <f t="shared" si="82"/>
        <v>0</v>
      </c>
    </row>
    <row r="770" spans="1:7" x14ac:dyDescent="0.3">
      <c r="A770" s="63">
        <f t="shared" si="83"/>
        <v>44599</v>
      </c>
      <c r="B770" s="96">
        <f t="shared" si="77"/>
        <v>2</v>
      </c>
      <c r="C770" s="96">
        <f t="shared" si="78"/>
        <v>2022</v>
      </c>
      <c r="D770" s="96" t="str">
        <f t="shared" si="79"/>
        <v>2022/02</v>
      </c>
      <c r="E770" s="96" t="str">
        <f t="shared" ca="1" si="80"/>
        <v>M-26</v>
      </c>
      <c r="F770" s="96" t="str">
        <f t="shared" si="81"/>
        <v>Mon</v>
      </c>
      <c r="G770" s="96">
        <f t="shared" si="82"/>
        <v>1</v>
      </c>
    </row>
    <row r="771" spans="1:7" x14ac:dyDescent="0.3">
      <c r="A771" s="63">
        <f t="shared" si="83"/>
        <v>44600</v>
      </c>
      <c r="B771" s="96">
        <f t="shared" ref="B771:B772" si="84">MONTH(A771)</f>
        <v>2</v>
      </c>
      <c r="C771" s="96">
        <f t="shared" ref="C771:C772" si="85">YEAR(A771)</f>
        <v>2022</v>
      </c>
      <c r="D771" s="96" t="str">
        <f t="shared" ref="D771:D772" si="86">CONCATENATE(C771,"/",TEXT(B771,"00"))</f>
        <v>2022/02</v>
      </c>
      <c r="E771" s="96" t="str">
        <f t="shared" ref="E771:E772" ca="1" si="87">CONCATENATE("M",B771-MONTH(TODAY())+12*(YEAR(TODAY())-C771))</f>
        <v>M-26</v>
      </c>
      <c r="F771" s="96" t="str">
        <f t="shared" ref="F771:F772" si="88">TEXT(A771,"ddd")</f>
        <v>Tue</v>
      </c>
      <c r="G771" s="96">
        <f t="shared" ref="G771:G772" si="89">IF(LEFT(F771,1)="s",0,1)</f>
        <v>1</v>
      </c>
    </row>
    <row r="772" spans="1:7" x14ac:dyDescent="0.3">
      <c r="A772" s="63">
        <f t="shared" ref="A772" si="90">A771+1</f>
        <v>44601</v>
      </c>
      <c r="B772" s="96">
        <f t="shared" si="84"/>
        <v>2</v>
      </c>
      <c r="C772" s="96">
        <f t="shared" si="85"/>
        <v>2022</v>
      </c>
      <c r="D772" s="96" t="str">
        <f t="shared" si="86"/>
        <v>2022/02</v>
      </c>
      <c r="E772" s="96" t="str">
        <f t="shared" ca="1" si="87"/>
        <v>M-26</v>
      </c>
      <c r="F772" s="96" t="str">
        <f t="shared" si="88"/>
        <v>Wed</v>
      </c>
      <c r="G772" s="96">
        <f t="shared" si="89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7206-64C5-4045-BA9C-D065DC131E9E}">
  <dimension ref="A1:F55"/>
  <sheetViews>
    <sheetView workbookViewId="0">
      <selection activeCell="J29" sqref="J29"/>
    </sheetView>
  </sheetViews>
  <sheetFormatPr defaultRowHeight="14.4" x14ac:dyDescent="0.3"/>
  <cols>
    <col min="1" max="1" width="12.33203125" style="62" customWidth="1"/>
    <col min="2" max="2" width="30.109375" style="62" bestFit="1" customWidth="1"/>
    <col min="3" max="4" width="8.88671875" style="62"/>
  </cols>
  <sheetData>
    <row r="1" spans="1:6" x14ac:dyDescent="0.3">
      <c r="A1" s="81" t="s">
        <v>54</v>
      </c>
      <c r="B1" s="81" t="s">
        <v>55</v>
      </c>
      <c r="C1" s="81" t="s">
        <v>47</v>
      </c>
      <c r="D1" s="81" t="s">
        <v>53</v>
      </c>
      <c r="E1" s="82" t="s">
        <v>56</v>
      </c>
      <c r="F1" s="82" t="s">
        <v>57</v>
      </c>
    </row>
    <row r="2" spans="1:6" x14ac:dyDescent="0.3">
      <c r="A2" s="80">
        <v>106022341</v>
      </c>
      <c r="B2" s="80" t="s">
        <v>58</v>
      </c>
      <c r="C2" s="79" t="s">
        <v>59</v>
      </c>
      <c r="D2" s="79">
        <f>VLOOKUP(A2,FORECAST!$D:$O,7,FALSE)</f>
        <v>45</v>
      </c>
      <c r="E2" s="96">
        <f ca="1">SUMIF(Dates!E:E,'Forecast Upload'!C2,Dates!G:G)</f>
        <v>22</v>
      </c>
      <c r="F2" s="96">
        <f ca="1">D2*2000/E2</f>
        <v>4090.909090909091</v>
      </c>
    </row>
    <row r="3" spans="1:6" x14ac:dyDescent="0.3">
      <c r="A3" s="32">
        <v>106028776</v>
      </c>
      <c r="B3" s="32" t="s">
        <v>60</v>
      </c>
      <c r="C3" s="96" t="s">
        <v>59</v>
      </c>
      <c r="D3" s="8">
        <f>VLOOKUP(A3,FORECAST!$D:$O,7,FALSE)</f>
        <v>11</v>
      </c>
      <c r="E3" s="96">
        <f ca="1">SUMIF(Dates!E:E,'Forecast Upload'!C3,Dates!G:G)</f>
        <v>22</v>
      </c>
      <c r="F3" s="96">
        <f t="shared" ref="F3:F55" ca="1" si="0">D3*2000/E3</f>
        <v>1000</v>
      </c>
    </row>
    <row r="4" spans="1:6" x14ac:dyDescent="0.3">
      <c r="A4" s="32">
        <v>106029036</v>
      </c>
      <c r="B4" s="32" t="s">
        <v>61</v>
      </c>
      <c r="C4" s="96" t="s">
        <v>59</v>
      </c>
      <c r="D4" s="8">
        <f>VLOOKUP(A4,FORECAST!$D:$O,7,FALSE)</f>
        <v>92</v>
      </c>
      <c r="E4" s="96">
        <f ca="1">SUMIF(Dates!E:E,'Forecast Upload'!C4,Dates!G:G)</f>
        <v>22</v>
      </c>
      <c r="F4" s="96">
        <f t="shared" ca="1" si="0"/>
        <v>8363.636363636364</v>
      </c>
    </row>
    <row r="5" spans="1:6" x14ac:dyDescent="0.3">
      <c r="A5" s="32">
        <v>106029015</v>
      </c>
      <c r="B5" s="32" t="s">
        <v>62</v>
      </c>
      <c r="C5" s="96" t="s">
        <v>59</v>
      </c>
      <c r="D5" s="8">
        <f>VLOOKUP(A5,FORECAST!$D:$O,7,FALSE)</f>
        <v>70</v>
      </c>
      <c r="E5" s="96">
        <f ca="1">SUMIF(Dates!E:E,'Forecast Upload'!C5,Dates!G:G)</f>
        <v>22</v>
      </c>
      <c r="F5" s="96">
        <f t="shared" ca="1" si="0"/>
        <v>6363.636363636364</v>
      </c>
    </row>
    <row r="6" spans="1:6" x14ac:dyDescent="0.3">
      <c r="A6" s="32">
        <v>106029012</v>
      </c>
      <c r="B6" s="32" t="s">
        <v>63</v>
      </c>
      <c r="C6" s="96" t="s">
        <v>59</v>
      </c>
      <c r="D6" s="8">
        <f>VLOOKUP(A6,FORECAST!$D:$O,7,FALSE)</f>
        <v>39</v>
      </c>
      <c r="E6" s="96">
        <f ca="1">SUMIF(Dates!E:E,'Forecast Upload'!C6,Dates!G:G)</f>
        <v>22</v>
      </c>
      <c r="F6" s="96">
        <f t="shared" ca="1" si="0"/>
        <v>3545.4545454545455</v>
      </c>
    </row>
    <row r="7" spans="1:6" x14ac:dyDescent="0.3">
      <c r="A7" s="32">
        <v>106029017</v>
      </c>
      <c r="B7" s="32" t="s">
        <v>64</v>
      </c>
      <c r="C7" s="96" t="s">
        <v>59</v>
      </c>
      <c r="D7" s="8">
        <f>VLOOKUP(A7,FORECAST!$D:$O,7,FALSE)</f>
        <v>45</v>
      </c>
      <c r="E7" s="96">
        <f ca="1">SUMIF(Dates!E:E,'Forecast Upload'!C7,Dates!G:G)</f>
        <v>22</v>
      </c>
      <c r="F7" s="96">
        <f t="shared" ca="1" si="0"/>
        <v>4090.909090909091</v>
      </c>
    </row>
    <row r="8" spans="1:6" x14ac:dyDescent="0.3">
      <c r="A8" s="32">
        <v>106028578</v>
      </c>
      <c r="B8" s="32" t="s">
        <v>65</v>
      </c>
      <c r="C8" s="96" t="s">
        <v>59</v>
      </c>
      <c r="D8" s="8">
        <f>VLOOKUP(A8,FORECAST!$D:$O,7,FALSE)</f>
        <v>23</v>
      </c>
      <c r="E8" s="96">
        <f ca="1">SUMIF(Dates!E:E,'Forecast Upload'!C8,Dates!G:G)</f>
        <v>22</v>
      </c>
      <c r="F8" s="96">
        <f t="shared" ca="1" si="0"/>
        <v>2090.909090909091</v>
      </c>
    </row>
    <row r="9" spans="1:6" x14ac:dyDescent="0.3">
      <c r="A9" s="32">
        <v>106030251</v>
      </c>
      <c r="B9" s="32" t="s">
        <v>66</v>
      </c>
      <c r="C9" s="96" t="s">
        <v>59</v>
      </c>
      <c r="D9" s="8">
        <f>VLOOKUP(A9,FORECAST!$D:$O,7,FALSE)</f>
        <v>19</v>
      </c>
      <c r="E9" s="96">
        <f ca="1">SUMIF(Dates!E:E,'Forecast Upload'!C9,Dates!G:G)</f>
        <v>22</v>
      </c>
      <c r="F9" s="96">
        <f t="shared" ca="1" si="0"/>
        <v>1727.2727272727273</v>
      </c>
    </row>
    <row r="10" spans="1:6" x14ac:dyDescent="0.3">
      <c r="A10" s="32">
        <v>106029553</v>
      </c>
      <c r="B10" s="32" t="s">
        <v>67</v>
      </c>
      <c r="C10" s="96" t="s">
        <v>59</v>
      </c>
      <c r="D10" s="8">
        <f>VLOOKUP(A10,FORECAST!$D:$O,7,FALSE)</f>
        <v>21</v>
      </c>
      <c r="E10" s="96">
        <f ca="1">SUMIF(Dates!E:E,'Forecast Upload'!C10,Dates!G:G)</f>
        <v>22</v>
      </c>
      <c r="F10" s="96">
        <f t="shared" ca="1" si="0"/>
        <v>1909.090909090909</v>
      </c>
    </row>
    <row r="11" spans="1:6" x14ac:dyDescent="0.3">
      <c r="A11" s="32">
        <v>106022341</v>
      </c>
      <c r="B11" s="32" t="s">
        <v>58</v>
      </c>
      <c r="C11" s="79" t="s">
        <v>68</v>
      </c>
      <c r="D11" s="79">
        <f>VLOOKUP(A2,FORECAST!$D:$O,8,FALSE)</f>
        <v>89</v>
      </c>
      <c r="E11" s="96">
        <f ca="1">SUMIF(Dates!E:E,'Forecast Upload'!C11,Dates!G:G)</f>
        <v>21</v>
      </c>
      <c r="F11" s="96">
        <f t="shared" ca="1" si="0"/>
        <v>8476.1904761904771</v>
      </c>
    </row>
    <row r="12" spans="1:6" x14ac:dyDescent="0.3">
      <c r="A12" s="32">
        <v>106028776</v>
      </c>
      <c r="B12" s="32" t="s">
        <v>60</v>
      </c>
      <c r="C12" s="96" t="s">
        <v>68</v>
      </c>
      <c r="D12" s="8">
        <f>VLOOKUP(A3,FORECAST!$D:$O,8,FALSE)</f>
        <v>85</v>
      </c>
      <c r="E12" s="96">
        <f ca="1">SUMIF(Dates!E:E,'Forecast Upload'!C12,Dates!G:G)</f>
        <v>21</v>
      </c>
      <c r="F12" s="96">
        <f t="shared" ca="1" si="0"/>
        <v>8095.2380952380954</v>
      </c>
    </row>
    <row r="13" spans="1:6" x14ac:dyDescent="0.3">
      <c r="A13" s="32">
        <v>106029036</v>
      </c>
      <c r="B13" s="32" t="s">
        <v>61</v>
      </c>
      <c r="C13" s="96" t="s">
        <v>68</v>
      </c>
      <c r="D13" s="8">
        <f>VLOOKUP(A4,FORECAST!$D:$O,8,FALSE)</f>
        <v>408</v>
      </c>
      <c r="E13" s="96">
        <f ca="1">SUMIF(Dates!E:E,'Forecast Upload'!C13,Dates!G:G)</f>
        <v>21</v>
      </c>
      <c r="F13" s="96">
        <f t="shared" ca="1" si="0"/>
        <v>38857.142857142855</v>
      </c>
    </row>
    <row r="14" spans="1:6" x14ac:dyDescent="0.3">
      <c r="A14" s="32">
        <v>106029015</v>
      </c>
      <c r="B14" s="32" t="s">
        <v>62</v>
      </c>
      <c r="C14" s="96" t="s">
        <v>68</v>
      </c>
      <c r="D14" s="8">
        <f>VLOOKUP(A5,FORECAST!$D:$O,8,FALSE)</f>
        <v>132</v>
      </c>
      <c r="E14" s="96">
        <f ca="1">SUMIF(Dates!E:E,'Forecast Upload'!C14,Dates!G:G)</f>
        <v>21</v>
      </c>
      <c r="F14" s="96">
        <f t="shared" ca="1" si="0"/>
        <v>12571.428571428571</v>
      </c>
    </row>
    <row r="15" spans="1:6" x14ac:dyDescent="0.3">
      <c r="A15" s="32">
        <v>106029012</v>
      </c>
      <c r="B15" s="32" t="s">
        <v>63</v>
      </c>
      <c r="C15" s="96" t="s">
        <v>68</v>
      </c>
      <c r="D15" s="8">
        <f>VLOOKUP(A6,FORECAST!$D:$O,8,FALSE)</f>
        <v>105</v>
      </c>
      <c r="E15" s="96">
        <f ca="1">SUMIF(Dates!E:E,'Forecast Upload'!C15,Dates!G:G)</f>
        <v>21</v>
      </c>
      <c r="F15" s="96">
        <f t="shared" ca="1" si="0"/>
        <v>10000</v>
      </c>
    </row>
    <row r="16" spans="1:6" x14ac:dyDescent="0.3">
      <c r="A16" s="32">
        <v>106029017</v>
      </c>
      <c r="B16" s="32" t="s">
        <v>64</v>
      </c>
      <c r="C16" s="96" t="s">
        <v>68</v>
      </c>
      <c r="D16" s="8">
        <f>VLOOKUP(A7,FORECAST!$D:$O,8,FALSE)</f>
        <v>241</v>
      </c>
      <c r="E16" s="96">
        <f ca="1">SUMIF(Dates!E:E,'Forecast Upload'!C16,Dates!G:G)</f>
        <v>21</v>
      </c>
      <c r="F16" s="96">
        <f t="shared" ca="1" si="0"/>
        <v>22952.380952380954</v>
      </c>
    </row>
    <row r="17" spans="1:6" x14ac:dyDescent="0.3">
      <c r="A17" s="32">
        <v>106028578</v>
      </c>
      <c r="B17" s="32" t="s">
        <v>65</v>
      </c>
      <c r="C17" s="96" t="s">
        <v>68</v>
      </c>
      <c r="D17" s="8">
        <f>VLOOKUP(A8,FORECAST!$D:$O,8,FALSE)</f>
        <v>74</v>
      </c>
      <c r="E17" s="96">
        <f ca="1">SUMIF(Dates!E:E,'Forecast Upload'!C17,Dates!G:G)</f>
        <v>21</v>
      </c>
      <c r="F17" s="96">
        <f t="shared" ca="1" si="0"/>
        <v>7047.6190476190477</v>
      </c>
    </row>
    <row r="18" spans="1:6" x14ac:dyDescent="0.3">
      <c r="A18" s="32">
        <v>106030251</v>
      </c>
      <c r="B18" s="32" t="s">
        <v>66</v>
      </c>
      <c r="C18" s="96" t="s">
        <v>68</v>
      </c>
      <c r="D18" s="8">
        <f>VLOOKUP(A9,FORECAST!$D:$O,8,FALSE)</f>
        <v>59</v>
      </c>
      <c r="E18" s="96">
        <f ca="1">SUMIF(Dates!E:E,'Forecast Upload'!C18,Dates!G:G)</f>
        <v>21</v>
      </c>
      <c r="F18" s="96">
        <f t="shared" ca="1" si="0"/>
        <v>5619.0476190476193</v>
      </c>
    </row>
    <row r="19" spans="1:6" x14ac:dyDescent="0.3">
      <c r="A19" s="32">
        <v>106029553</v>
      </c>
      <c r="B19" s="32" t="s">
        <v>67</v>
      </c>
      <c r="C19" s="96" t="s">
        <v>68</v>
      </c>
      <c r="D19" s="8">
        <f>VLOOKUP(A10,FORECAST!$D:$O,8,FALSE)</f>
        <v>102</v>
      </c>
      <c r="E19" s="96">
        <f ca="1">SUMIF(Dates!E:E,'Forecast Upload'!C19,Dates!G:G)</f>
        <v>21</v>
      </c>
      <c r="F19" s="96">
        <f t="shared" ca="1" si="0"/>
        <v>9714.2857142857138</v>
      </c>
    </row>
    <row r="20" spans="1:6" x14ac:dyDescent="0.3">
      <c r="A20" s="32">
        <v>106022341</v>
      </c>
      <c r="B20" s="32" t="s">
        <v>58</v>
      </c>
      <c r="C20" s="79" t="s">
        <v>69</v>
      </c>
      <c r="D20" s="79">
        <f>VLOOKUP(A11,FORECAST!$D:$O,9,FALSE)</f>
        <v>117</v>
      </c>
      <c r="E20" s="96">
        <f ca="1">SUMIF(Dates!E:E,'Forecast Upload'!C20,Dates!G:G)</f>
        <v>22</v>
      </c>
      <c r="F20" s="96">
        <f t="shared" ca="1" si="0"/>
        <v>10636.363636363636</v>
      </c>
    </row>
    <row r="21" spans="1:6" x14ac:dyDescent="0.3">
      <c r="A21" s="32">
        <v>106028776</v>
      </c>
      <c r="B21" s="32" t="s">
        <v>60</v>
      </c>
      <c r="C21" s="96" t="s">
        <v>69</v>
      </c>
      <c r="D21" s="8">
        <f>VLOOKUP(A12,FORECAST!$D:$O,9,FALSE)</f>
        <v>51</v>
      </c>
      <c r="E21" s="96">
        <f ca="1">SUMIF(Dates!E:E,'Forecast Upload'!C21,Dates!G:G)</f>
        <v>22</v>
      </c>
      <c r="F21" s="96">
        <f t="shared" ca="1" si="0"/>
        <v>4636.363636363636</v>
      </c>
    </row>
    <row r="22" spans="1:6" x14ac:dyDescent="0.3">
      <c r="A22" s="32">
        <v>106029036</v>
      </c>
      <c r="B22" s="32" t="s">
        <v>61</v>
      </c>
      <c r="C22" s="96" t="s">
        <v>69</v>
      </c>
      <c r="D22" s="8">
        <f>VLOOKUP(A13,FORECAST!$D:$O,9,FALSE)</f>
        <v>285</v>
      </c>
      <c r="E22" s="96">
        <f ca="1">SUMIF(Dates!E:E,'Forecast Upload'!C22,Dates!G:G)</f>
        <v>22</v>
      </c>
      <c r="F22" s="96">
        <f t="shared" ca="1" si="0"/>
        <v>25909.090909090908</v>
      </c>
    </row>
    <row r="23" spans="1:6" x14ac:dyDescent="0.3">
      <c r="A23" s="32">
        <v>106029015</v>
      </c>
      <c r="B23" s="32" t="s">
        <v>62</v>
      </c>
      <c r="C23" s="96" t="s">
        <v>69</v>
      </c>
      <c r="D23" s="8">
        <f>VLOOKUP(A14,FORECAST!$D:$O,9,FALSE)</f>
        <v>210</v>
      </c>
      <c r="E23" s="96">
        <f ca="1">SUMIF(Dates!E:E,'Forecast Upload'!C23,Dates!G:G)</f>
        <v>22</v>
      </c>
      <c r="F23" s="96">
        <f t="shared" ca="1" si="0"/>
        <v>19090.909090909092</v>
      </c>
    </row>
    <row r="24" spans="1:6" x14ac:dyDescent="0.3">
      <c r="A24" s="32">
        <v>106029012</v>
      </c>
      <c r="B24" s="32" t="s">
        <v>63</v>
      </c>
      <c r="C24" s="96" t="s">
        <v>69</v>
      </c>
      <c r="D24" s="8">
        <f>VLOOKUP(A15,FORECAST!$D:$O,9,FALSE)</f>
        <v>80</v>
      </c>
      <c r="E24" s="96">
        <f ca="1">SUMIF(Dates!E:E,'Forecast Upload'!C24,Dates!G:G)</f>
        <v>22</v>
      </c>
      <c r="F24" s="96">
        <f t="shared" ca="1" si="0"/>
        <v>7272.727272727273</v>
      </c>
    </row>
    <row r="25" spans="1:6" x14ac:dyDescent="0.3">
      <c r="A25" s="32">
        <v>106029017</v>
      </c>
      <c r="B25" s="32" t="s">
        <v>64</v>
      </c>
      <c r="C25" s="96" t="s">
        <v>69</v>
      </c>
      <c r="D25" s="8">
        <f>VLOOKUP(A16,FORECAST!$D:$O,9,FALSE)</f>
        <v>219</v>
      </c>
      <c r="E25" s="96">
        <f ca="1">SUMIF(Dates!E:E,'Forecast Upload'!C25,Dates!G:G)</f>
        <v>22</v>
      </c>
      <c r="F25" s="96">
        <f t="shared" ca="1" si="0"/>
        <v>19909.090909090908</v>
      </c>
    </row>
    <row r="26" spans="1:6" x14ac:dyDescent="0.3">
      <c r="A26" s="32">
        <v>106028578</v>
      </c>
      <c r="B26" s="32" t="s">
        <v>65</v>
      </c>
      <c r="C26" s="96" t="s">
        <v>69</v>
      </c>
      <c r="D26" s="8">
        <f>VLOOKUP(A17,FORECAST!$D:$O,9,FALSE)</f>
        <v>99</v>
      </c>
      <c r="E26" s="96">
        <f ca="1">SUMIF(Dates!E:E,'Forecast Upload'!C26,Dates!G:G)</f>
        <v>22</v>
      </c>
      <c r="F26" s="96">
        <f t="shared" ca="1" si="0"/>
        <v>9000</v>
      </c>
    </row>
    <row r="27" spans="1:6" x14ac:dyDescent="0.3">
      <c r="A27" s="32">
        <v>106030251</v>
      </c>
      <c r="B27" s="32" t="s">
        <v>66</v>
      </c>
      <c r="C27" s="96" t="s">
        <v>69</v>
      </c>
      <c r="D27" s="8">
        <f>VLOOKUP(A18,FORECAST!$D:$O,9,FALSE)</f>
        <v>153</v>
      </c>
      <c r="E27" s="96">
        <f ca="1">SUMIF(Dates!E:E,'Forecast Upload'!C27,Dates!G:G)</f>
        <v>22</v>
      </c>
      <c r="F27" s="96">
        <f t="shared" ca="1" si="0"/>
        <v>13909.09090909091</v>
      </c>
    </row>
    <row r="28" spans="1:6" x14ac:dyDescent="0.3">
      <c r="A28" s="32">
        <v>106029553</v>
      </c>
      <c r="B28" s="32" t="s">
        <v>67</v>
      </c>
      <c r="C28" s="96" t="s">
        <v>69</v>
      </c>
      <c r="D28" s="8">
        <f>VLOOKUP(A19,FORECAST!$D:$O,9,FALSE)</f>
        <v>262</v>
      </c>
      <c r="E28" s="96">
        <f ca="1">SUMIF(Dates!E:E,'Forecast Upload'!C28,Dates!G:G)</f>
        <v>22</v>
      </c>
      <c r="F28" s="96">
        <f t="shared" ca="1" si="0"/>
        <v>23818.18181818182</v>
      </c>
    </row>
    <row r="29" spans="1:6" x14ac:dyDescent="0.3">
      <c r="A29" s="32">
        <v>106022341</v>
      </c>
      <c r="B29" s="32" t="s">
        <v>58</v>
      </c>
      <c r="C29" s="79" t="s">
        <v>70</v>
      </c>
      <c r="D29" s="79">
        <f>VLOOKUP(A20,FORECAST!$D:$O,10,FALSE)</f>
        <v>19</v>
      </c>
      <c r="E29" s="96">
        <f ca="1">SUMIF(Dates!E:E,'Forecast Upload'!C29,Dates!G:G)</f>
        <v>23</v>
      </c>
      <c r="F29" s="96">
        <f t="shared" ca="1" si="0"/>
        <v>1652.1739130434783</v>
      </c>
    </row>
    <row r="30" spans="1:6" x14ac:dyDescent="0.3">
      <c r="A30" s="32">
        <v>106028776</v>
      </c>
      <c r="B30" s="32" t="s">
        <v>60</v>
      </c>
      <c r="C30" s="96" t="s">
        <v>70</v>
      </c>
      <c r="D30" s="8">
        <f>VLOOKUP(A21,FORECAST!$D:$O,10,FALSE)</f>
        <v>15</v>
      </c>
      <c r="E30" s="96">
        <f ca="1">SUMIF(Dates!E:E,'Forecast Upload'!C30,Dates!G:G)</f>
        <v>23</v>
      </c>
      <c r="F30" s="96">
        <f t="shared" ca="1" si="0"/>
        <v>1304.3478260869565</v>
      </c>
    </row>
    <row r="31" spans="1:6" x14ac:dyDescent="0.3">
      <c r="A31" s="32">
        <v>106029036</v>
      </c>
      <c r="B31" s="32" t="s">
        <v>61</v>
      </c>
      <c r="C31" s="96" t="s">
        <v>70</v>
      </c>
      <c r="D31" s="8">
        <f>VLOOKUP(A22,FORECAST!$D:$O,10,FALSE)</f>
        <v>168</v>
      </c>
      <c r="E31" s="96">
        <f ca="1">SUMIF(Dates!E:E,'Forecast Upload'!C31,Dates!G:G)</f>
        <v>23</v>
      </c>
      <c r="F31" s="96">
        <f t="shared" ca="1" si="0"/>
        <v>14608.695652173914</v>
      </c>
    </row>
    <row r="32" spans="1:6" x14ac:dyDescent="0.3">
      <c r="A32" s="32">
        <v>106029015</v>
      </c>
      <c r="B32" s="32" t="s">
        <v>62</v>
      </c>
      <c r="C32" s="96" t="s">
        <v>70</v>
      </c>
      <c r="D32" s="8">
        <f>VLOOKUP(A23,FORECAST!$D:$O,10,FALSE)</f>
        <v>202</v>
      </c>
      <c r="E32" s="96">
        <f ca="1">SUMIF(Dates!E:E,'Forecast Upload'!C32,Dates!G:G)</f>
        <v>23</v>
      </c>
      <c r="F32" s="96">
        <f t="shared" ca="1" si="0"/>
        <v>17565.217391304348</v>
      </c>
    </row>
    <row r="33" spans="1:6" x14ac:dyDescent="0.3">
      <c r="A33" s="32">
        <v>106029012</v>
      </c>
      <c r="B33" s="32" t="s">
        <v>63</v>
      </c>
      <c r="C33" s="96" t="s">
        <v>70</v>
      </c>
      <c r="D33" s="8">
        <f>VLOOKUP(A24,FORECAST!$D:$O,10,FALSE)</f>
        <v>49</v>
      </c>
      <c r="E33" s="96">
        <f ca="1">SUMIF(Dates!E:E,'Forecast Upload'!C33,Dates!G:G)</f>
        <v>23</v>
      </c>
      <c r="F33" s="96">
        <f t="shared" ca="1" si="0"/>
        <v>4260.869565217391</v>
      </c>
    </row>
    <row r="34" spans="1:6" x14ac:dyDescent="0.3">
      <c r="A34" s="32">
        <v>106029017</v>
      </c>
      <c r="B34" s="32" t="s">
        <v>64</v>
      </c>
      <c r="C34" s="96" t="s">
        <v>70</v>
      </c>
      <c r="D34" s="8">
        <f>VLOOKUP(A25,FORECAST!$D:$O,10,FALSE)</f>
        <v>397</v>
      </c>
      <c r="E34" s="96">
        <f ca="1">SUMIF(Dates!E:E,'Forecast Upload'!C34,Dates!G:G)</f>
        <v>23</v>
      </c>
      <c r="F34" s="96">
        <f t="shared" ca="1" si="0"/>
        <v>34521.739130434784</v>
      </c>
    </row>
    <row r="35" spans="1:6" x14ac:dyDescent="0.3">
      <c r="A35" s="32">
        <v>106028578</v>
      </c>
      <c r="B35" s="32" t="s">
        <v>65</v>
      </c>
      <c r="C35" s="96" t="s">
        <v>70</v>
      </c>
      <c r="D35" s="8">
        <f>VLOOKUP(A26,FORECAST!$D:$O,10,FALSE)</f>
        <v>49</v>
      </c>
      <c r="E35" s="96">
        <f ca="1">SUMIF(Dates!E:E,'Forecast Upload'!C35,Dates!G:G)</f>
        <v>23</v>
      </c>
      <c r="F35" s="96">
        <f t="shared" ca="1" si="0"/>
        <v>4260.869565217391</v>
      </c>
    </row>
    <row r="36" spans="1:6" x14ac:dyDescent="0.3">
      <c r="A36" s="32">
        <v>106030251</v>
      </c>
      <c r="B36" s="32" t="s">
        <v>66</v>
      </c>
      <c r="C36" s="96" t="s">
        <v>70</v>
      </c>
      <c r="D36" s="8">
        <f>VLOOKUP(A27,FORECAST!$D:$O,10,FALSE)</f>
        <v>65</v>
      </c>
      <c r="E36" s="96">
        <f ca="1">SUMIF(Dates!E:E,'Forecast Upload'!C36,Dates!G:G)</f>
        <v>23</v>
      </c>
      <c r="F36" s="96">
        <f t="shared" ca="1" si="0"/>
        <v>5652.173913043478</v>
      </c>
    </row>
    <row r="37" spans="1:6" x14ac:dyDescent="0.3">
      <c r="A37" s="32">
        <v>106029553</v>
      </c>
      <c r="B37" s="32" t="s">
        <v>67</v>
      </c>
      <c r="C37" s="96" t="s">
        <v>70</v>
      </c>
      <c r="D37" s="8">
        <f>VLOOKUP(A28,FORECAST!$D:$O,10,FALSE)</f>
        <v>83</v>
      </c>
      <c r="E37" s="96">
        <f ca="1">SUMIF(Dates!E:E,'Forecast Upload'!C37,Dates!G:G)</f>
        <v>23</v>
      </c>
      <c r="F37" s="96">
        <f t="shared" ca="1" si="0"/>
        <v>7217.391304347826</v>
      </c>
    </row>
    <row r="38" spans="1:6" x14ac:dyDescent="0.3">
      <c r="A38" s="32">
        <v>106022341</v>
      </c>
      <c r="B38" s="32" t="s">
        <v>58</v>
      </c>
      <c r="C38" s="79" t="s">
        <v>71</v>
      </c>
      <c r="D38" s="79">
        <f>VLOOKUP(A29,FORECAST!$D:$O,11,FALSE)</f>
        <v>21</v>
      </c>
      <c r="E38" s="96">
        <f ca="1">SUMIF(Dates!E:E,'Forecast Upload'!C38,Dates!G:G)</f>
        <v>21</v>
      </c>
      <c r="F38" s="96">
        <f t="shared" ca="1" si="0"/>
        <v>2000</v>
      </c>
    </row>
    <row r="39" spans="1:6" x14ac:dyDescent="0.3">
      <c r="A39" s="32">
        <v>106028776</v>
      </c>
      <c r="B39" s="32" t="s">
        <v>60</v>
      </c>
      <c r="C39" s="96" t="s">
        <v>71</v>
      </c>
      <c r="D39" s="8">
        <f>VLOOKUP(A30,FORECAST!$D:$O,11,FALSE)</f>
        <v>40</v>
      </c>
      <c r="E39" s="96">
        <f ca="1">SUMIF(Dates!E:E,'Forecast Upload'!C39,Dates!G:G)</f>
        <v>21</v>
      </c>
      <c r="F39" s="96">
        <f t="shared" ca="1" si="0"/>
        <v>3809.5238095238096</v>
      </c>
    </row>
    <row r="40" spans="1:6" x14ac:dyDescent="0.3">
      <c r="A40" s="32">
        <v>106029036</v>
      </c>
      <c r="B40" s="32" t="s">
        <v>61</v>
      </c>
      <c r="C40" s="96" t="s">
        <v>71</v>
      </c>
      <c r="D40" s="8">
        <f>VLOOKUP(A31,FORECAST!$D:$O,11,FALSE)</f>
        <v>85</v>
      </c>
      <c r="E40" s="96">
        <f ca="1">SUMIF(Dates!E:E,'Forecast Upload'!C40,Dates!G:G)</f>
        <v>21</v>
      </c>
      <c r="F40" s="96">
        <f t="shared" ca="1" si="0"/>
        <v>8095.2380952380954</v>
      </c>
    </row>
    <row r="41" spans="1:6" x14ac:dyDescent="0.3">
      <c r="A41" s="32">
        <v>106029015</v>
      </c>
      <c r="B41" s="32" t="s">
        <v>62</v>
      </c>
      <c r="C41" s="96" t="s">
        <v>71</v>
      </c>
      <c r="D41" s="8">
        <f>VLOOKUP(A32,FORECAST!$D:$O,11,FALSE)</f>
        <v>18</v>
      </c>
      <c r="E41" s="96">
        <f ca="1">SUMIF(Dates!E:E,'Forecast Upload'!C41,Dates!G:G)</f>
        <v>21</v>
      </c>
      <c r="F41" s="96">
        <f t="shared" ca="1" si="0"/>
        <v>1714.2857142857142</v>
      </c>
    </row>
    <row r="42" spans="1:6" x14ac:dyDescent="0.3">
      <c r="A42" s="32">
        <v>106029012</v>
      </c>
      <c r="B42" s="32" t="s">
        <v>63</v>
      </c>
      <c r="C42" s="96" t="s">
        <v>71</v>
      </c>
      <c r="D42" s="8">
        <f>VLOOKUP(A33,FORECAST!$D:$O,11,FALSE)</f>
        <v>34</v>
      </c>
      <c r="E42" s="96">
        <f ca="1">SUMIF(Dates!E:E,'Forecast Upload'!C42,Dates!G:G)</f>
        <v>21</v>
      </c>
      <c r="F42" s="96">
        <f t="shared" ca="1" si="0"/>
        <v>3238.0952380952381</v>
      </c>
    </row>
    <row r="43" spans="1:6" x14ac:dyDescent="0.3">
      <c r="A43" s="32">
        <v>106029017</v>
      </c>
      <c r="B43" s="32" t="s">
        <v>64</v>
      </c>
      <c r="C43" s="96" t="s">
        <v>71</v>
      </c>
      <c r="D43" s="8">
        <f>VLOOKUP(A34,FORECAST!$D:$O,11,FALSE)</f>
        <v>26</v>
      </c>
      <c r="E43" s="96">
        <f ca="1">SUMIF(Dates!E:E,'Forecast Upload'!C43,Dates!G:G)</f>
        <v>21</v>
      </c>
      <c r="F43" s="96">
        <f t="shared" ca="1" si="0"/>
        <v>2476.1904761904761</v>
      </c>
    </row>
    <row r="44" spans="1:6" x14ac:dyDescent="0.3">
      <c r="A44" s="32">
        <v>106028578</v>
      </c>
      <c r="B44" s="32" t="s">
        <v>65</v>
      </c>
      <c r="C44" s="96" t="s">
        <v>71</v>
      </c>
      <c r="D44" s="8">
        <f>VLOOKUP(A35,FORECAST!$D:$O,11,FALSE)</f>
        <v>71</v>
      </c>
      <c r="E44" s="96">
        <f ca="1">SUMIF(Dates!E:E,'Forecast Upload'!C44,Dates!G:G)</f>
        <v>21</v>
      </c>
      <c r="F44" s="96">
        <f t="shared" ca="1" si="0"/>
        <v>6761.9047619047615</v>
      </c>
    </row>
    <row r="45" spans="1:6" x14ac:dyDescent="0.3">
      <c r="A45" s="32">
        <v>106030251</v>
      </c>
      <c r="B45" s="32" t="s">
        <v>66</v>
      </c>
      <c r="C45" s="96" t="s">
        <v>71</v>
      </c>
      <c r="D45" s="8">
        <f>VLOOKUP(A36,FORECAST!$D:$O,11,FALSE)</f>
        <v>18</v>
      </c>
      <c r="E45" s="96">
        <f ca="1">SUMIF(Dates!E:E,'Forecast Upload'!C45,Dates!G:G)</f>
        <v>21</v>
      </c>
      <c r="F45" s="96">
        <f t="shared" ca="1" si="0"/>
        <v>1714.2857142857142</v>
      </c>
    </row>
    <row r="46" spans="1:6" x14ac:dyDescent="0.3">
      <c r="A46" s="32">
        <v>106029553</v>
      </c>
      <c r="B46" s="32" t="s">
        <v>67</v>
      </c>
      <c r="C46" s="96" t="s">
        <v>71</v>
      </c>
      <c r="D46" s="8">
        <f>VLOOKUP(A37,FORECAST!$D:$O,11,FALSE)</f>
        <v>2</v>
      </c>
      <c r="E46" s="96">
        <f ca="1">SUMIF(Dates!E:E,'Forecast Upload'!C46,Dates!G:G)</f>
        <v>21</v>
      </c>
      <c r="F46" s="96">
        <f t="shared" ca="1" si="0"/>
        <v>190.47619047619048</v>
      </c>
    </row>
    <row r="47" spans="1:6" x14ac:dyDescent="0.3">
      <c r="A47" s="32">
        <v>106022341</v>
      </c>
      <c r="B47" s="32" t="s">
        <v>58</v>
      </c>
      <c r="C47" s="79" t="s">
        <v>72</v>
      </c>
      <c r="D47" s="79">
        <f>VLOOKUP(A38,FORECAST!$D:$O,12,FALSE)</f>
        <v>3</v>
      </c>
      <c r="E47" s="96">
        <f ca="1">SUMIF(Dates!E:E,'Forecast Upload'!C47,Dates!G:G)</f>
        <v>22</v>
      </c>
      <c r="F47" s="96">
        <f t="shared" ca="1" si="0"/>
        <v>272.72727272727275</v>
      </c>
    </row>
    <row r="48" spans="1:6" x14ac:dyDescent="0.3">
      <c r="A48" s="32">
        <v>106028776</v>
      </c>
      <c r="B48" s="32" t="s">
        <v>60</v>
      </c>
      <c r="C48" s="96" t="s">
        <v>72</v>
      </c>
      <c r="D48" s="8">
        <f>VLOOKUP(A39,FORECAST!$D:$O,12,FALSE)</f>
        <v>3</v>
      </c>
      <c r="E48" s="96">
        <f ca="1">SUMIF(Dates!E:E,'Forecast Upload'!C48,Dates!G:G)</f>
        <v>22</v>
      </c>
      <c r="F48" s="96">
        <f t="shared" ca="1" si="0"/>
        <v>272.72727272727275</v>
      </c>
    </row>
    <row r="49" spans="1:6" x14ac:dyDescent="0.3">
      <c r="A49" s="32">
        <v>106029036</v>
      </c>
      <c r="B49" s="32" t="s">
        <v>61</v>
      </c>
      <c r="C49" s="96" t="s">
        <v>72</v>
      </c>
      <c r="D49" s="8">
        <f>VLOOKUP(A40,FORECAST!$D:$O,12,FALSE)</f>
        <v>7</v>
      </c>
      <c r="E49" s="96">
        <f ca="1">SUMIF(Dates!E:E,'Forecast Upload'!C49,Dates!G:G)</f>
        <v>22</v>
      </c>
      <c r="F49" s="96">
        <f t="shared" ca="1" si="0"/>
        <v>636.36363636363637</v>
      </c>
    </row>
    <row r="50" spans="1:6" x14ac:dyDescent="0.3">
      <c r="A50" s="32">
        <v>106029015</v>
      </c>
      <c r="B50" s="32" t="s">
        <v>62</v>
      </c>
      <c r="C50" s="96" t="s">
        <v>72</v>
      </c>
      <c r="D50" s="8">
        <f>VLOOKUP(A41,FORECAST!$D:$O,12,FALSE)</f>
        <v>43</v>
      </c>
      <c r="E50" s="96">
        <f ca="1">SUMIF(Dates!E:E,'Forecast Upload'!C50,Dates!G:G)</f>
        <v>22</v>
      </c>
      <c r="F50" s="96">
        <f t="shared" ca="1" si="0"/>
        <v>3909.090909090909</v>
      </c>
    </row>
    <row r="51" spans="1:6" x14ac:dyDescent="0.3">
      <c r="A51" s="32">
        <v>106029012</v>
      </c>
      <c r="B51" s="32" t="s">
        <v>63</v>
      </c>
      <c r="C51" s="96" t="s">
        <v>72</v>
      </c>
      <c r="D51" s="8">
        <f>VLOOKUP(A42,FORECAST!$D:$O,12,FALSE)</f>
        <v>1</v>
      </c>
      <c r="E51" s="96">
        <f ca="1">SUMIF(Dates!E:E,'Forecast Upload'!C51,Dates!G:G)</f>
        <v>22</v>
      </c>
      <c r="F51" s="96">
        <f t="shared" ca="1" si="0"/>
        <v>90.909090909090907</v>
      </c>
    </row>
    <row r="52" spans="1:6" x14ac:dyDescent="0.3">
      <c r="A52" s="32">
        <v>106029017</v>
      </c>
      <c r="B52" s="32" t="s">
        <v>64</v>
      </c>
      <c r="C52" s="96" t="s">
        <v>72</v>
      </c>
      <c r="D52" s="8">
        <f>VLOOKUP(A43,FORECAST!$D:$O,12,FALSE)</f>
        <v>3</v>
      </c>
      <c r="E52" s="96">
        <f ca="1">SUMIF(Dates!E:E,'Forecast Upload'!C52,Dates!G:G)</f>
        <v>22</v>
      </c>
      <c r="F52" s="96">
        <f t="shared" ca="1" si="0"/>
        <v>272.72727272727275</v>
      </c>
    </row>
    <row r="53" spans="1:6" x14ac:dyDescent="0.3">
      <c r="A53" s="32">
        <v>106028578</v>
      </c>
      <c r="B53" s="32" t="s">
        <v>65</v>
      </c>
      <c r="C53" s="96" t="s">
        <v>72</v>
      </c>
      <c r="D53" s="8">
        <f>VLOOKUP(A44,FORECAST!$D:$O,12,FALSE)</f>
        <v>3</v>
      </c>
      <c r="E53" s="96">
        <f ca="1">SUMIF(Dates!E:E,'Forecast Upload'!C53,Dates!G:G)</f>
        <v>22</v>
      </c>
      <c r="F53" s="96">
        <f t="shared" ca="1" si="0"/>
        <v>272.72727272727275</v>
      </c>
    </row>
    <row r="54" spans="1:6" x14ac:dyDescent="0.3">
      <c r="A54" s="32">
        <v>106030251</v>
      </c>
      <c r="B54" s="32" t="s">
        <v>66</v>
      </c>
      <c r="C54" s="96" t="s">
        <v>72</v>
      </c>
      <c r="D54" s="8">
        <f>VLOOKUP(A45,FORECAST!$D:$O,12,FALSE)</f>
        <v>1</v>
      </c>
      <c r="E54" s="96">
        <f ca="1">SUMIF(Dates!E:E,'Forecast Upload'!C54,Dates!G:G)</f>
        <v>22</v>
      </c>
      <c r="F54" s="96">
        <f t="shared" ca="1" si="0"/>
        <v>90.909090909090907</v>
      </c>
    </row>
    <row r="55" spans="1:6" x14ac:dyDescent="0.3">
      <c r="A55" s="32">
        <v>106029553</v>
      </c>
      <c r="B55" s="32" t="s">
        <v>67</v>
      </c>
      <c r="C55" s="96" t="s">
        <v>72</v>
      </c>
      <c r="D55" s="8">
        <f>VLOOKUP(A46,FORECAST!$D:$O,12,FALSE)</f>
        <v>5</v>
      </c>
      <c r="E55" s="96">
        <f ca="1">SUMIF(Dates!E:E,'Forecast Upload'!C55,Dates!G:G)</f>
        <v>22</v>
      </c>
      <c r="F55" s="96">
        <f t="shared" ca="1" si="0"/>
        <v>454.54545454545456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F7FB-8362-4EFB-935B-BEF206232195}">
  <sheetPr codeName="Sheet1">
    <tabColor rgb="FF92D050"/>
  </sheetPr>
  <dimension ref="A1:AE88"/>
  <sheetViews>
    <sheetView showGridLines="0" topLeftCell="D1" zoomScaleNormal="100" workbookViewId="0">
      <selection activeCell="I6" sqref="I6"/>
    </sheetView>
  </sheetViews>
  <sheetFormatPr defaultRowHeight="14.4" x14ac:dyDescent="0.3"/>
  <cols>
    <col min="1" max="1" width="15.109375" customWidth="1"/>
    <col min="2" max="2" width="13" customWidth="1"/>
    <col min="3" max="3" width="25.5546875" customWidth="1"/>
    <col min="4" max="4" width="11.44140625" customWidth="1"/>
    <col min="5" max="5" width="31.33203125" customWidth="1"/>
    <col min="6" max="6" width="17.6640625" customWidth="1"/>
    <col min="7" max="7" width="13.33203125" customWidth="1"/>
    <col min="8" max="8" width="7.5546875" customWidth="1"/>
    <col min="9" max="15" width="8" customWidth="1"/>
    <col min="16" max="16" width="8.88671875" customWidth="1"/>
    <col min="17" max="17" width="8.88671875" style="39" customWidth="1"/>
    <col min="18" max="23" width="8.88671875" customWidth="1"/>
    <col min="24" max="24" width="10.5546875" style="62" customWidth="1"/>
  </cols>
  <sheetData>
    <row r="1" spans="1:31" ht="59.25" customHeight="1" x14ac:dyDescent="0.3">
      <c r="A1" s="96"/>
      <c r="B1" s="96"/>
      <c r="C1" s="96"/>
      <c r="D1" s="12" t="s">
        <v>75</v>
      </c>
      <c r="E1" s="13">
        <f ca="1">TODAY()</f>
        <v>43949</v>
      </c>
      <c r="F1" s="13"/>
      <c r="G1" s="12" t="s">
        <v>76</v>
      </c>
      <c r="H1" s="12"/>
      <c r="I1" s="14"/>
      <c r="J1" s="12" t="s">
        <v>77</v>
      </c>
      <c r="K1" s="96"/>
      <c r="L1" s="96"/>
      <c r="M1" s="96"/>
      <c r="N1" s="96"/>
      <c r="O1" s="96"/>
      <c r="P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</row>
    <row r="2" spans="1:31" ht="100.8" x14ac:dyDescent="0.3">
      <c r="A2" s="15" t="s">
        <v>78</v>
      </c>
      <c r="B2" s="15" t="s">
        <v>78</v>
      </c>
      <c r="C2" s="16" t="s">
        <v>79</v>
      </c>
      <c r="D2" s="16" t="s">
        <v>80</v>
      </c>
      <c r="E2" s="16" t="s">
        <v>81</v>
      </c>
      <c r="F2" s="16" t="s">
        <v>82</v>
      </c>
      <c r="G2" s="16" t="s">
        <v>83</v>
      </c>
      <c r="H2" s="16" t="s">
        <v>84</v>
      </c>
      <c r="I2" s="17" t="s">
        <v>85</v>
      </c>
      <c r="J2" s="16" t="s">
        <v>86</v>
      </c>
      <c r="K2" s="16" t="s">
        <v>87</v>
      </c>
      <c r="L2" s="16" t="s">
        <v>88</v>
      </c>
      <c r="M2" s="16" t="s">
        <v>89</v>
      </c>
      <c r="N2" s="16" t="s">
        <v>90</v>
      </c>
      <c r="O2" s="16" t="s">
        <v>91</v>
      </c>
      <c r="P2" s="41" t="s">
        <v>92</v>
      </c>
      <c r="Q2" s="41" t="s">
        <v>93</v>
      </c>
      <c r="R2" s="41" t="s">
        <v>94</v>
      </c>
      <c r="S2" s="41" t="s">
        <v>95</v>
      </c>
      <c r="T2" s="41" t="s">
        <v>96</v>
      </c>
      <c r="U2" s="41" t="s">
        <v>97</v>
      </c>
      <c r="V2" s="41" t="s">
        <v>98</v>
      </c>
      <c r="W2" s="41" t="s">
        <v>99</v>
      </c>
      <c r="X2" s="41" t="s">
        <v>100</v>
      </c>
      <c r="Y2" s="41" t="s">
        <v>101</v>
      </c>
      <c r="Z2" s="41" t="s">
        <v>102</v>
      </c>
      <c r="AA2" s="41" t="s">
        <v>103</v>
      </c>
      <c r="AB2" s="41" t="s">
        <v>104</v>
      </c>
      <c r="AC2" s="96"/>
      <c r="AD2" s="96"/>
      <c r="AE2" s="41" t="s">
        <v>96</v>
      </c>
    </row>
    <row r="3" spans="1:31" x14ac:dyDescent="0.3">
      <c r="A3" s="64" t="s">
        <v>105</v>
      </c>
      <c r="B3" s="61">
        <v>100866004</v>
      </c>
      <c r="C3" s="32" t="s">
        <v>106</v>
      </c>
      <c r="D3" s="75">
        <v>106022341</v>
      </c>
      <c r="E3" s="75" t="s">
        <v>58</v>
      </c>
      <c r="F3" s="15" t="s">
        <v>107</v>
      </c>
      <c r="G3" s="91">
        <v>100</v>
      </c>
      <c r="H3" s="101">
        <v>100</v>
      </c>
      <c r="I3" s="106">
        <v>62</v>
      </c>
      <c r="J3" s="108">
        <v>45</v>
      </c>
      <c r="K3" s="108">
        <v>89</v>
      </c>
      <c r="L3" s="108">
        <v>117</v>
      </c>
      <c r="M3" s="108">
        <v>19</v>
      </c>
      <c r="N3" s="108">
        <v>21</v>
      </c>
      <c r="O3" s="108">
        <v>3</v>
      </c>
      <c r="P3" s="84">
        <f>(+J3+K3+L3)-I3+G3</f>
        <v>289</v>
      </c>
      <c r="Q3" s="94">
        <v>0</v>
      </c>
      <c r="R3" s="42">
        <v>0</v>
      </c>
      <c r="S3" s="42"/>
      <c r="T3" s="100"/>
      <c r="U3" s="32">
        <v>1321</v>
      </c>
      <c r="V3" s="47" t="s">
        <v>108</v>
      </c>
      <c r="W3" s="48">
        <f t="shared" ref="W3:W11" si="0">K3/30</f>
        <v>2.9666666666666668</v>
      </c>
      <c r="X3" s="68">
        <f>AA3+AB3</f>
        <v>0</v>
      </c>
      <c r="Y3" s="83">
        <f t="shared" ref="Y3:Y11" si="1">I3+Q3+X3</f>
        <v>62</v>
      </c>
      <c r="Z3" s="96">
        <f>Y3*2000</f>
        <v>124000</v>
      </c>
      <c r="AA3" s="96"/>
      <c r="AB3" s="96"/>
      <c r="AC3" s="49">
        <f>Q3+X3</f>
        <v>0</v>
      </c>
      <c r="AD3" s="96"/>
      <c r="AE3" s="96"/>
    </row>
    <row r="4" spans="1:31" x14ac:dyDescent="0.3">
      <c r="A4" s="64" t="s">
        <v>105</v>
      </c>
      <c r="B4" s="61">
        <v>100866004</v>
      </c>
      <c r="C4" s="32" t="s">
        <v>109</v>
      </c>
      <c r="D4" s="32">
        <v>106028776</v>
      </c>
      <c r="E4" s="32" t="s">
        <v>60</v>
      </c>
      <c r="F4" s="33" t="s">
        <v>110</v>
      </c>
      <c r="G4" s="91">
        <v>150</v>
      </c>
      <c r="H4" s="101">
        <v>150</v>
      </c>
      <c r="I4" s="107">
        <v>360</v>
      </c>
      <c r="J4" s="110">
        <v>11</v>
      </c>
      <c r="K4" s="110">
        <v>85</v>
      </c>
      <c r="L4" s="110">
        <v>51</v>
      </c>
      <c r="M4" s="110">
        <v>15</v>
      </c>
      <c r="N4" s="110">
        <v>40</v>
      </c>
      <c r="O4" s="110">
        <v>3</v>
      </c>
      <c r="P4" s="84">
        <f>(+J4+K4+L4)-I4+G4</f>
        <v>-63</v>
      </c>
      <c r="Q4" s="94">
        <v>23</v>
      </c>
      <c r="R4" s="42">
        <v>0</v>
      </c>
      <c r="S4" s="42"/>
      <c r="T4" s="100"/>
      <c r="U4" s="32">
        <v>1333</v>
      </c>
      <c r="V4" s="47" t="s">
        <v>111</v>
      </c>
      <c r="W4" s="48">
        <f t="shared" si="0"/>
        <v>2.8333333333333335</v>
      </c>
      <c r="X4" s="68">
        <f t="shared" ref="X4:X11" si="2">AA4+AB4</f>
        <v>0</v>
      </c>
      <c r="Y4" s="83">
        <f t="shared" si="1"/>
        <v>383</v>
      </c>
      <c r="Z4" s="96">
        <f>Y4*2000</f>
        <v>766000</v>
      </c>
      <c r="AA4" s="96"/>
      <c r="AB4" s="96"/>
      <c r="AC4" s="49">
        <f t="shared" ref="AC4:AC12" si="3">Q4+X4</f>
        <v>23</v>
      </c>
      <c r="AD4" s="96"/>
      <c r="AE4" s="96"/>
    </row>
    <row r="5" spans="1:31" x14ac:dyDescent="0.3">
      <c r="A5" s="64" t="s">
        <v>105</v>
      </c>
      <c r="B5" s="61">
        <v>100866004</v>
      </c>
      <c r="C5" s="32" t="s">
        <v>112</v>
      </c>
      <c r="D5" s="97">
        <v>106029036</v>
      </c>
      <c r="E5" s="98" t="s">
        <v>61</v>
      </c>
      <c r="F5" s="99" t="s">
        <v>227</v>
      </c>
      <c r="G5" s="91">
        <v>100</v>
      </c>
      <c r="H5" s="101">
        <v>100</v>
      </c>
      <c r="I5" s="106">
        <v>395</v>
      </c>
      <c r="J5" s="108">
        <v>92</v>
      </c>
      <c r="K5" s="108">
        <v>408</v>
      </c>
      <c r="L5" s="109">
        <v>285</v>
      </c>
      <c r="M5" s="108">
        <v>168</v>
      </c>
      <c r="N5" s="108">
        <v>85</v>
      </c>
      <c r="O5" s="108">
        <v>7</v>
      </c>
      <c r="P5" s="84">
        <f>(+J5+K5+L5)-I5+G5</f>
        <v>490</v>
      </c>
      <c r="Q5" s="94">
        <v>45</v>
      </c>
      <c r="R5" s="42">
        <v>0</v>
      </c>
      <c r="S5" s="42"/>
      <c r="T5" s="100"/>
      <c r="U5" s="32">
        <v>1334</v>
      </c>
      <c r="V5" s="47" t="s">
        <v>113</v>
      </c>
      <c r="W5" s="48">
        <f t="shared" si="0"/>
        <v>13.6</v>
      </c>
      <c r="X5" s="68">
        <f t="shared" si="2"/>
        <v>0</v>
      </c>
      <c r="Y5" s="83">
        <f t="shared" si="1"/>
        <v>440</v>
      </c>
      <c r="Z5" s="96">
        <f t="shared" ref="Z5:Z11" si="4">Y5*2000</f>
        <v>880000</v>
      </c>
      <c r="AA5" s="96"/>
      <c r="AB5" s="96"/>
      <c r="AC5" s="49">
        <f t="shared" si="3"/>
        <v>45</v>
      </c>
      <c r="AD5" s="96"/>
      <c r="AE5" s="96"/>
    </row>
    <row r="6" spans="1:31" x14ac:dyDescent="0.3">
      <c r="A6" s="64" t="s">
        <v>105</v>
      </c>
      <c r="B6" s="61">
        <v>100866004</v>
      </c>
      <c r="C6" s="32" t="s">
        <v>114</v>
      </c>
      <c r="D6" s="97">
        <v>106029015</v>
      </c>
      <c r="E6" s="98" t="s">
        <v>62</v>
      </c>
      <c r="F6" s="99" t="s">
        <v>227</v>
      </c>
      <c r="G6" s="91">
        <v>150</v>
      </c>
      <c r="H6" s="101">
        <v>150</v>
      </c>
      <c r="I6" s="106">
        <v>0</v>
      </c>
      <c r="J6" s="108">
        <v>70</v>
      </c>
      <c r="K6" s="108">
        <v>132</v>
      </c>
      <c r="L6" s="109">
        <v>210</v>
      </c>
      <c r="M6" s="108">
        <v>202</v>
      </c>
      <c r="N6" s="108">
        <v>18</v>
      </c>
      <c r="O6" s="108">
        <v>43</v>
      </c>
      <c r="P6" s="84">
        <f>(+J6+K6+L6)-I6+G6</f>
        <v>562</v>
      </c>
      <c r="Q6" s="94">
        <v>311</v>
      </c>
      <c r="R6" s="42">
        <v>0</v>
      </c>
      <c r="S6" s="42"/>
      <c r="T6" s="100"/>
      <c r="U6" s="32">
        <v>1334</v>
      </c>
      <c r="V6" s="47" t="s">
        <v>113</v>
      </c>
      <c r="W6" s="48">
        <f t="shared" si="0"/>
        <v>4.4000000000000004</v>
      </c>
      <c r="X6" s="68">
        <v>181</v>
      </c>
      <c r="Y6" s="83">
        <f t="shared" si="1"/>
        <v>492</v>
      </c>
      <c r="Z6" s="96">
        <f t="shared" si="4"/>
        <v>984000</v>
      </c>
      <c r="AA6" s="96">
        <v>186</v>
      </c>
      <c r="AB6" s="96"/>
      <c r="AC6" s="49">
        <f t="shared" si="3"/>
        <v>492</v>
      </c>
      <c r="AD6" s="96"/>
      <c r="AE6" s="96"/>
    </row>
    <row r="7" spans="1:31" x14ac:dyDescent="0.3">
      <c r="A7" s="64" t="s">
        <v>105</v>
      </c>
      <c r="B7" s="61">
        <v>100866004</v>
      </c>
      <c r="C7" s="32" t="s">
        <v>115</v>
      </c>
      <c r="D7" s="97">
        <v>106029012</v>
      </c>
      <c r="E7" s="98" t="s">
        <v>63</v>
      </c>
      <c r="F7" s="99" t="s">
        <v>227</v>
      </c>
      <c r="G7" s="91">
        <v>100</v>
      </c>
      <c r="H7" s="101">
        <v>100</v>
      </c>
      <c r="I7" s="106">
        <v>0</v>
      </c>
      <c r="J7" s="108">
        <v>39</v>
      </c>
      <c r="K7" s="108">
        <v>105</v>
      </c>
      <c r="L7" s="108">
        <v>80</v>
      </c>
      <c r="M7" s="108">
        <v>49</v>
      </c>
      <c r="N7" s="108">
        <v>34</v>
      </c>
      <c r="O7" s="108">
        <v>1</v>
      </c>
      <c r="P7" s="84">
        <f t="shared" ref="P7:P11" si="5">(+J7+K7+L7)-I7+G7</f>
        <v>324</v>
      </c>
      <c r="Q7" s="94">
        <v>168</v>
      </c>
      <c r="R7" s="42">
        <v>0</v>
      </c>
      <c r="S7" s="42"/>
      <c r="T7" s="100"/>
      <c r="U7" s="32">
        <v>1334</v>
      </c>
      <c r="V7" s="47" t="s">
        <v>113</v>
      </c>
      <c r="W7" s="48">
        <f t="shared" si="0"/>
        <v>3.5</v>
      </c>
      <c r="X7" s="68">
        <f t="shared" si="2"/>
        <v>0</v>
      </c>
      <c r="Y7" s="83">
        <f t="shared" si="1"/>
        <v>168</v>
      </c>
      <c r="Z7" s="96">
        <f t="shared" si="4"/>
        <v>336000</v>
      </c>
      <c r="AA7" s="96"/>
      <c r="AB7" s="96"/>
      <c r="AC7" s="49">
        <f t="shared" si="3"/>
        <v>168</v>
      </c>
      <c r="AD7" s="96"/>
      <c r="AE7" s="96"/>
    </row>
    <row r="8" spans="1:31" x14ac:dyDescent="0.3">
      <c r="A8" s="64" t="s">
        <v>105</v>
      </c>
      <c r="B8" s="61">
        <v>100866004</v>
      </c>
      <c r="C8" s="32" t="s">
        <v>116</v>
      </c>
      <c r="D8" s="97">
        <v>106029017</v>
      </c>
      <c r="E8" s="98" t="s">
        <v>64</v>
      </c>
      <c r="F8" s="99" t="s">
        <v>227</v>
      </c>
      <c r="G8" s="91">
        <v>150</v>
      </c>
      <c r="H8" s="101">
        <v>150</v>
      </c>
      <c r="I8" s="106">
        <v>0</v>
      </c>
      <c r="J8" s="108">
        <v>45</v>
      </c>
      <c r="K8" s="108">
        <v>241</v>
      </c>
      <c r="L8" s="109">
        <v>219</v>
      </c>
      <c r="M8" s="108">
        <v>397</v>
      </c>
      <c r="N8" s="108">
        <v>26</v>
      </c>
      <c r="O8" s="108">
        <v>3</v>
      </c>
      <c r="P8" s="84">
        <f t="shared" si="5"/>
        <v>655</v>
      </c>
      <c r="Q8" s="94">
        <v>243</v>
      </c>
      <c r="R8" s="42">
        <v>0</v>
      </c>
      <c r="S8" s="42"/>
      <c r="T8" s="100"/>
      <c r="U8" s="32">
        <v>1334</v>
      </c>
      <c r="V8" s="47" t="s">
        <v>113</v>
      </c>
      <c r="W8" s="48">
        <f t="shared" si="0"/>
        <v>8.0333333333333332</v>
      </c>
      <c r="X8" s="68">
        <f t="shared" si="2"/>
        <v>86.5</v>
      </c>
      <c r="Y8" s="83">
        <f t="shared" si="1"/>
        <v>329.5</v>
      </c>
      <c r="Z8" s="96">
        <f t="shared" si="4"/>
        <v>659000</v>
      </c>
      <c r="AA8" s="96">
        <f>173/2</f>
        <v>86.5</v>
      </c>
      <c r="AB8" s="96"/>
      <c r="AC8" s="49">
        <f t="shared" si="3"/>
        <v>329.5</v>
      </c>
      <c r="AD8" s="96"/>
      <c r="AE8" s="96"/>
    </row>
    <row r="9" spans="1:31" x14ac:dyDescent="0.3">
      <c r="A9" s="64" t="s">
        <v>105</v>
      </c>
      <c r="B9" s="61">
        <v>100866004</v>
      </c>
      <c r="C9" s="32" t="s">
        <v>117</v>
      </c>
      <c r="D9" s="32">
        <v>106028578</v>
      </c>
      <c r="E9" s="32" t="s">
        <v>65</v>
      </c>
      <c r="F9" s="33" t="s">
        <v>110</v>
      </c>
      <c r="G9" s="91">
        <v>100</v>
      </c>
      <c r="H9" s="101">
        <v>100</v>
      </c>
      <c r="I9" s="106">
        <v>20</v>
      </c>
      <c r="J9" s="108">
        <v>23</v>
      </c>
      <c r="K9" s="108">
        <v>74</v>
      </c>
      <c r="L9" s="108">
        <v>99</v>
      </c>
      <c r="M9" s="108">
        <v>49</v>
      </c>
      <c r="N9" s="108">
        <v>71</v>
      </c>
      <c r="O9" s="108">
        <v>3</v>
      </c>
      <c r="P9" s="84">
        <f t="shared" si="5"/>
        <v>276</v>
      </c>
      <c r="Q9" s="94">
        <v>93</v>
      </c>
      <c r="R9" s="42">
        <v>0</v>
      </c>
      <c r="S9" s="42"/>
      <c r="T9" s="100"/>
      <c r="U9" s="32">
        <v>1333</v>
      </c>
      <c r="V9" s="47" t="s">
        <v>118</v>
      </c>
      <c r="W9" s="48">
        <f t="shared" si="0"/>
        <v>2.4666666666666668</v>
      </c>
      <c r="X9" s="68">
        <f t="shared" si="2"/>
        <v>0</v>
      </c>
      <c r="Y9" s="83">
        <f t="shared" si="1"/>
        <v>113</v>
      </c>
      <c r="Z9" s="96">
        <f t="shared" si="4"/>
        <v>226000</v>
      </c>
      <c r="AA9" s="96"/>
      <c r="AB9" s="96"/>
      <c r="AC9" s="49">
        <f t="shared" si="3"/>
        <v>93</v>
      </c>
      <c r="AD9" s="96"/>
      <c r="AE9" s="96"/>
    </row>
    <row r="10" spans="1:31" x14ac:dyDescent="0.3">
      <c r="A10" s="64" t="s">
        <v>105</v>
      </c>
      <c r="B10" s="61">
        <v>100866004</v>
      </c>
      <c r="C10" s="32" t="s">
        <v>119</v>
      </c>
      <c r="D10" s="75">
        <v>106030251</v>
      </c>
      <c r="E10" s="75" t="s">
        <v>66</v>
      </c>
      <c r="F10" s="33" t="s">
        <v>120</v>
      </c>
      <c r="G10" s="91">
        <v>100</v>
      </c>
      <c r="H10" s="101">
        <v>100</v>
      </c>
      <c r="I10" s="106">
        <v>167</v>
      </c>
      <c r="J10" s="108">
        <v>19</v>
      </c>
      <c r="K10" s="108">
        <v>59</v>
      </c>
      <c r="L10" s="108">
        <v>153</v>
      </c>
      <c r="M10" s="108">
        <v>65</v>
      </c>
      <c r="N10" s="108">
        <v>18</v>
      </c>
      <c r="O10" s="108">
        <v>1</v>
      </c>
      <c r="P10" s="84">
        <f t="shared" si="5"/>
        <v>164</v>
      </c>
      <c r="Q10" s="94">
        <v>46</v>
      </c>
      <c r="R10" s="42">
        <v>0</v>
      </c>
      <c r="S10" s="42"/>
      <c r="T10" s="100"/>
      <c r="U10" s="32">
        <v>1333</v>
      </c>
      <c r="V10" s="47" t="s">
        <v>121</v>
      </c>
      <c r="W10" s="48">
        <f t="shared" si="0"/>
        <v>1.9666666666666666</v>
      </c>
      <c r="X10" s="68">
        <f t="shared" si="2"/>
        <v>65</v>
      </c>
      <c r="Y10" s="83">
        <f t="shared" si="1"/>
        <v>278</v>
      </c>
      <c r="Z10" s="96">
        <f t="shared" si="4"/>
        <v>556000</v>
      </c>
      <c r="AA10" s="96">
        <v>65</v>
      </c>
      <c r="AB10" s="96"/>
      <c r="AC10" s="49">
        <f t="shared" si="3"/>
        <v>111</v>
      </c>
      <c r="AD10" s="96"/>
      <c r="AE10" s="96"/>
    </row>
    <row r="11" spans="1:31" x14ac:dyDescent="0.3">
      <c r="A11" s="64" t="s">
        <v>105</v>
      </c>
      <c r="B11" s="61">
        <v>100866004</v>
      </c>
      <c r="C11" s="32" t="s">
        <v>122</v>
      </c>
      <c r="D11" s="32">
        <v>106029553</v>
      </c>
      <c r="E11" s="32" t="s">
        <v>67</v>
      </c>
      <c r="F11" s="15" t="s">
        <v>123</v>
      </c>
      <c r="G11" s="91">
        <v>100</v>
      </c>
      <c r="H11" s="101">
        <v>100</v>
      </c>
      <c r="I11" s="106">
        <v>81</v>
      </c>
      <c r="J11" s="108">
        <v>21</v>
      </c>
      <c r="K11" s="108">
        <v>102</v>
      </c>
      <c r="L11" s="108">
        <v>262</v>
      </c>
      <c r="M11" s="108">
        <v>83</v>
      </c>
      <c r="N11" s="108">
        <v>2</v>
      </c>
      <c r="O11" s="108">
        <v>5</v>
      </c>
      <c r="P11" s="84">
        <f t="shared" si="5"/>
        <v>404</v>
      </c>
      <c r="Q11" s="94">
        <v>151</v>
      </c>
      <c r="R11" s="42">
        <v>0</v>
      </c>
      <c r="S11" s="42"/>
      <c r="T11" s="100"/>
      <c r="U11" s="32">
        <v>1323</v>
      </c>
      <c r="V11" s="47" t="s">
        <v>124</v>
      </c>
      <c r="W11" s="48">
        <f t="shared" si="0"/>
        <v>3.4</v>
      </c>
      <c r="X11" s="68">
        <f t="shared" si="2"/>
        <v>0</v>
      </c>
      <c r="Y11" s="83">
        <f t="shared" si="1"/>
        <v>232</v>
      </c>
      <c r="Z11" s="96">
        <f t="shared" si="4"/>
        <v>464000</v>
      </c>
      <c r="AA11" s="96"/>
      <c r="AB11" s="96"/>
      <c r="AC11" s="49">
        <f t="shared" si="3"/>
        <v>151</v>
      </c>
      <c r="AD11" s="96"/>
      <c r="AE11" s="96"/>
    </row>
    <row r="12" spans="1:31" x14ac:dyDescent="0.3">
      <c r="A12" s="92"/>
      <c r="B12" s="92"/>
      <c r="C12" s="92"/>
      <c r="D12" s="92"/>
      <c r="E12" s="92"/>
      <c r="F12" s="92"/>
      <c r="G12" s="92"/>
      <c r="H12" s="92">
        <f>SUM(H3:H11)</f>
        <v>1050</v>
      </c>
      <c r="I12" s="92">
        <f>SUM(I3:I11)</f>
        <v>1085</v>
      </c>
      <c r="J12" s="92">
        <f t="shared" ref="J12:O12" si="6">SUM(J3:J11)</f>
        <v>365</v>
      </c>
      <c r="K12" s="92">
        <f t="shared" si="6"/>
        <v>1295</v>
      </c>
      <c r="L12" s="92">
        <f t="shared" si="6"/>
        <v>1476</v>
      </c>
      <c r="M12" s="92">
        <f t="shared" si="6"/>
        <v>1047</v>
      </c>
      <c r="N12" s="92">
        <f t="shared" si="6"/>
        <v>315</v>
      </c>
      <c r="O12" s="92">
        <f t="shared" si="6"/>
        <v>69</v>
      </c>
      <c r="P12" s="92"/>
      <c r="Q12" s="95">
        <f>SUM(Q3:Q11)</f>
        <v>1080</v>
      </c>
      <c r="R12" s="42"/>
      <c r="S12" s="42"/>
      <c r="T12" s="42"/>
      <c r="U12" s="92"/>
      <c r="V12" s="40"/>
      <c r="W12" s="48"/>
      <c r="X12" s="90"/>
      <c r="Y12" s="96"/>
      <c r="Z12" s="96"/>
      <c r="AA12" s="96"/>
      <c r="AB12" s="96"/>
      <c r="AC12" s="49">
        <f t="shared" si="3"/>
        <v>1080</v>
      </c>
      <c r="AD12" s="96"/>
      <c r="AE12" s="96"/>
    </row>
    <row r="13" spans="1:31" x14ac:dyDescent="0.3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42"/>
      <c r="R13" s="42"/>
      <c r="S13" s="42"/>
      <c r="T13" s="42"/>
      <c r="U13" s="92"/>
      <c r="V13" s="40"/>
      <c r="W13" s="48"/>
      <c r="X13" s="90"/>
      <c r="Y13" s="96"/>
      <c r="Z13" s="96"/>
      <c r="AA13" s="96"/>
      <c r="AB13" s="96"/>
      <c r="AC13" s="96"/>
      <c r="AD13" s="96"/>
      <c r="AE13" s="96"/>
    </row>
    <row r="14" spans="1:31" x14ac:dyDescent="0.3">
      <c r="A14" s="92" t="s">
        <v>125</v>
      </c>
      <c r="B14" s="92" t="s">
        <v>126</v>
      </c>
      <c r="C14" s="92" t="s">
        <v>127</v>
      </c>
      <c r="D14" s="92"/>
      <c r="E14" s="92"/>
      <c r="F14" s="92">
        <v>150</v>
      </c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42"/>
      <c r="R14" s="92"/>
      <c r="S14" s="92"/>
      <c r="T14" s="92"/>
      <c r="U14" s="92"/>
      <c r="V14" s="40"/>
      <c r="W14" s="48"/>
      <c r="X14" s="90"/>
      <c r="Y14" s="96"/>
      <c r="Z14" s="96"/>
      <c r="AA14" s="96"/>
      <c r="AB14" s="96"/>
      <c r="AC14" s="96"/>
      <c r="AD14" s="96"/>
      <c r="AE14" s="96"/>
    </row>
    <row r="15" spans="1:31" x14ac:dyDescent="0.3">
      <c r="A15" s="92">
        <v>4786</v>
      </c>
      <c r="B15" s="92" t="s">
        <v>128</v>
      </c>
      <c r="C15" s="92" t="s">
        <v>129</v>
      </c>
      <c r="D15" s="86" t="s">
        <v>130</v>
      </c>
      <c r="E15" s="92" t="s">
        <v>131</v>
      </c>
      <c r="F15" s="87">
        <v>0</v>
      </c>
      <c r="G15" s="92">
        <f>$G$14*F15</f>
        <v>0</v>
      </c>
      <c r="H15" s="92"/>
      <c r="I15" s="92"/>
      <c r="J15" s="92"/>
      <c r="K15" s="92"/>
      <c r="L15" s="92"/>
      <c r="M15" s="92"/>
      <c r="N15" s="92"/>
      <c r="O15" s="40"/>
      <c r="P15" s="92"/>
      <c r="Q15" s="42"/>
      <c r="R15" s="92"/>
      <c r="S15" s="92"/>
      <c r="T15" s="92"/>
      <c r="U15" s="92"/>
      <c r="V15" s="40"/>
      <c r="W15" s="48"/>
      <c r="X15" s="90"/>
      <c r="Y15" s="96"/>
      <c r="Z15" s="96"/>
      <c r="AA15" s="96"/>
      <c r="AB15" s="96"/>
      <c r="AC15" s="96"/>
      <c r="AD15" s="96"/>
      <c r="AE15" s="96"/>
    </row>
    <row r="16" spans="1:31" x14ac:dyDescent="0.3">
      <c r="A16" s="92">
        <v>4787</v>
      </c>
      <c r="B16" s="92" t="s">
        <v>132</v>
      </c>
      <c r="C16" s="92" t="s">
        <v>133</v>
      </c>
      <c r="D16" s="92"/>
      <c r="E16" s="92" t="s">
        <v>134</v>
      </c>
      <c r="F16" s="87">
        <v>0</v>
      </c>
      <c r="G16" s="92">
        <f t="shared" ref="G16:G18" si="7">$G$14*F16</f>
        <v>0</v>
      </c>
      <c r="H16" s="92"/>
      <c r="I16" s="92"/>
      <c r="J16" s="92"/>
      <c r="K16" s="92"/>
      <c r="L16" s="92"/>
      <c r="M16" s="92"/>
      <c r="N16" s="92"/>
      <c r="O16" s="40"/>
      <c r="P16" s="92"/>
      <c r="Q16" s="42"/>
      <c r="R16" s="92"/>
      <c r="S16" s="92"/>
      <c r="T16" s="92"/>
      <c r="U16" s="92"/>
      <c r="V16" s="40"/>
      <c r="W16" s="48"/>
      <c r="X16" s="90"/>
      <c r="Y16" s="96"/>
      <c r="Z16" s="96"/>
      <c r="AA16" s="96"/>
      <c r="AB16" s="96"/>
      <c r="AC16" s="96"/>
      <c r="AD16" s="96"/>
      <c r="AE16" s="96"/>
    </row>
    <row r="17" spans="1:24" x14ac:dyDescent="0.3">
      <c r="A17" s="92">
        <v>4788</v>
      </c>
      <c r="B17" s="92" t="s">
        <v>135</v>
      </c>
      <c r="C17" s="92" t="s">
        <v>136</v>
      </c>
      <c r="D17" s="92"/>
      <c r="E17" s="34" t="s">
        <v>137</v>
      </c>
      <c r="F17" s="88">
        <v>1</v>
      </c>
      <c r="G17" s="34">
        <f t="shared" si="7"/>
        <v>0</v>
      </c>
      <c r="H17" s="92"/>
      <c r="I17" s="92"/>
      <c r="J17" s="92"/>
      <c r="K17" s="92"/>
      <c r="L17" s="92"/>
      <c r="M17" s="92"/>
      <c r="N17" s="92"/>
      <c r="O17" s="40"/>
      <c r="P17" s="92"/>
      <c r="Q17" s="42"/>
      <c r="R17" s="92"/>
      <c r="S17" s="92"/>
      <c r="T17" s="92"/>
      <c r="U17" s="92"/>
      <c r="V17" s="40"/>
      <c r="W17" s="48"/>
      <c r="X17" s="90"/>
    </row>
    <row r="18" spans="1:24" x14ac:dyDescent="0.3">
      <c r="A18" s="92">
        <v>4789</v>
      </c>
      <c r="B18" s="92" t="s">
        <v>138</v>
      </c>
      <c r="C18" s="92" t="s">
        <v>139</v>
      </c>
      <c r="D18" s="92"/>
      <c r="E18" s="85" t="s">
        <v>140</v>
      </c>
      <c r="F18" s="87">
        <v>0</v>
      </c>
      <c r="G18" s="92">
        <f t="shared" si="7"/>
        <v>0</v>
      </c>
      <c r="H18" s="92"/>
      <c r="I18" s="92"/>
      <c r="J18" s="92"/>
      <c r="K18" s="92"/>
      <c r="L18" s="92"/>
      <c r="M18" s="92"/>
      <c r="N18" s="92"/>
      <c r="O18" s="40"/>
      <c r="P18" s="92"/>
      <c r="Q18" s="42"/>
      <c r="R18" s="92"/>
      <c r="S18" s="92"/>
      <c r="T18" s="92"/>
      <c r="U18" s="92"/>
      <c r="V18" s="40"/>
      <c r="W18" s="48"/>
      <c r="X18" s="90"/>
    </row>
    <row r="19" spans="1:24" x14ac:dyDescent="0.3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40"/>
      <c r="P19" s="92"/>
      <c r="Q19" s="42"/>
      <c r="R19" s="92"/>
      <c r="S19" s="92"/>
      <c r="T19" s="92"/>
      <c r="U19" s="92"/>
      <c r="V19" s="40"/>
      <c r="W19" s="48"/>
      <c r="X19" s="90"/>
    </row>
    <row r="20" spans="1:24" x14ac:dyDescent="0.3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40"/>
      <c r="P20" s="92"/>
      <c r="Q20" s="42"/>
      <c r="R20" s="92"/>
      <c r="S20" s="92"/>
      <c r="T20" s="92"/>
      <c r="U20" s="92"/>
      <c r="V20" s="40"/>
      <c r="W20" s="48"/>
      <c r="X20" s="90"/>
    </row>
    <row r="21" spans="1:24" x14ac:dyDescent="0.3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40"/>
      <c r="P21" s="92"/>
      <c r="Q21" s="42"/>
      <c r="R21" s="92"/>
      <c r="S21" s="92"/>
      <c r="T21" s="92"/>
      <c r="U21" s="92"/>
      <c r="V21" s="40"/>
      <c r="W21" s="48"/>
      <c r="X21" s="90"/>
    </row>
    <row r="22" spans="1:24" x14ac:dyDescent="0.3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40"/>
      <c r="P22" s="92"/>
      <c r="Q22" s="42"/>
      <c r="R22" s="92"/>
      <c r="S22" s="92"/>
      <c r="T22" s="92"/>
      <c r="U22" s="92"/>
      <c r="V22" s="40"/>
      <c r="W22" s="48"/>
      <c r="X22" s="90"/>
    </row>
    <row r="23" spans="1:24" x14ac:dyDescent="0.3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40"/>
      <c r="P23" s="92"/>
      <c r="Q23" s="42"/>
      <c r="R23" s="92"/>
      <c r="S23" s="92"/>
      <c r="T23" s="92"/>
      <c r="U23" s="92"/>
      <c r="V23" s="40"/>
      <c r="W23" s="48"/>
      <c r="X23" s="90"/>
    </row>
    <row r="24" spans="1:24" x14ac:dyDescent="0.3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40"/>
      <c r="P24" s="92"/>
      <c r="Q24" s="42"/>
      <c r="R24" s="92"/>
      <c r="S24" s="92"/>
      <c r="T24" s="92"/>
      <c r="U24" s="92"/>
      <c r="V24" s="40"/>
      <c r="W24" s="48"/>
      <c r="X24" s="90"/>
    </row>
    <row r="25" spans="1:24" x14ac:dyDescent="0.3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40"/>
      <c r="P25" s="92"/>
      <c r="Q25" s="42"/>
      <c r="R25" s="92"/>
      <c r="S25" s="92"/>
      <c r="T25" s="92"/>
      <c r="U25" s="92"/>
      <c r="V25" s="40"/>
      <c r="W25" s="48"/>
      <c r="X25" s="90"/>
    </row>
    <row r="28" spans="1:24" s="62" customFormat="1" x14ac:dyDescent="0.3">
      <c r="A28" s="76" t="s">
        <v>141</v>
      </c>
      <c r="B28" s="76" t="s">
        <v>78</v>
      </c>
      <c r="C28" s="76" t="s">
        <v>142</v>
      </c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39"/>
      <c r="R28" s="96"/>
      <c r="S28" s="96"/>
      <c r="T28" s="96"/>
      <c r="U28" s="96"/>
      <c r="V28" s="96"/>
      <c r="W28" s="96"/>
      <c r="X28" s="96"/>
    </row>
    <row r="29" spans="1:24" s="62" customFormat="1" x14ac:dyDescent="0.3">
      <c r="A29" s="96" t="s">
        <v>143</v>
      </c>
      <c r="B29" s="96">
        <v>4786</v>
      </c>
      <c r="C29" s="96">
        <v>4786</v>
      </c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39"/>
      <c r="R29" s="96"/>
      <c r="S29" s="96"/>
      <c r="T29" s="96"/>
      <c r="U29" s="96"/>
      <c r="V29" s="96"/>
      <c r="W29" s="96"/>
      <c r="X29" s="96"/>
    </row>
    <row r="30" spans="1:24" s="62" customFormat="1" x14ac:dyDescent="0.3">
      <c r="A30" s="96" t="s">
        <v>144</v>
      </c>
      <c r="B30" s="96">
        <v>4786</v>
      </c>
      <c r="C30" s="96">
        <v>4786</v>
      </c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39"/>
      <c r="R30" s="96"/>
      <c r="S30" s="96"/>
      <c r="T30" s="96"/>
      <c r="U30" s="96"/>
      <c r="V30" s="96"/>
      <c r="W30" s="96"/>
      <c r="X30" s="96"/>
    </row>
    <row r="31" spans="1:24" s="62" customFormat="1" x14ac:dyDescent="0.3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39"/>
      <c r="R31" s="96"/>
      <c r="S31" s="96"/>
      <c r="T31" s="96"/>
      <c r="U31" s="96"/>
      <c r="V31" s="96"/>
      <c r="W31" s="96"/>
      <c r="X31" s="96"/>
    </row>
    <row r="32" spans="1:24" s="62" customFormat="1" x14ac:dyDescent="0.3">
      <c r="A32" s="76" t="s">
        <v>145</v>
      </c>
      <c r="B32" s="76" t="s">
        <v>78</v>
      </c>
      <c r="C32" s="76" t="s">
        <v>142</v>
      </c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39"/>
      <c r="R32" s="96"/>
      <c r="S32" s="96"/>
      <c r="T32" s="96"/>
      <c r="U32" s="96"/>
      <c r="V32" s="96"/>
      <c r="W32" s="96"/>
      <c r="X32" s="96"/>
    </row>
    <row r="33" spans="1:23" s="62" customFormat="1" x14ac:dyDescent="0.3">
      <c r="A33" s="96" t="s">
        <v>143</v>
      </c>
      <c r="B33" s="96">
        <v>100354365</v>
      </c>
      <c r="C33" s="96">
        <v>100091655</v>
      </c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39"/>
      <c r="R33" s="96"/>
      <c r="S33" s="96"/>
      <c r="T33" s="96"/>
      <c r="U33" s="96"/>
      <c r="V33" s="96"/>
      <c r="W33" s="96"/>
    </row>
    <row r="34" spans="1:23" s="62" customFormat="1" x14ac:dyDescent="0.3">
      <c r="A34" s="96" t="s">
        <v>144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39"/>
      <c r="R34" s="96"/>
      <c r="S34" s="96"/>
      <c r="T34" s="96"/>
      <c r="U34" s="96"/>
      <c r="V34" s="96"/>
      <c r="W34" s="96"/>
    </row>
    <row r="35" spans="1:23" s="62" customFormat="1" x14ac:dyDescent="0.3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39"/>
      <c r="R35" s="96"/>
      <c r="S35" s="96"/>
      <c r="T35" s="96"/>
      <c r="U35" s="96"/>
      <c r="V35" s="96"/>
      <c r="W35" s="96"/>
    </row>
    <row r="36" spans="1:23" s="62" customFormat="1" x14ac:dyDescent="0.3">
      <c r="A36" s="76" t="s">
        <v>146</v>
      </c>
      <c r="B36" s="76" t="s">
        <v>78</v>
      </c>
      <c r="C36" s="76" t="s">
        <v>142</v>
      </c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39"/>
      <c r="R36" s="96"/>
      <c r="S36" s="96"/>
      <c r="T36" s="96"/>
      <c r="U36" s="96"/>
      <c r="V36" s="96"/>
      <c r="W36" s="96"/>
    </row>
    <row r="37" spans="1:23" s="62" customFormat="1" x14ac:dyDescent="0.3">
      <c r="A37" s="96" t="s">
        <v>143</v>
      </c>
      <c r="B37" s="96">
        <v>100354365</v>
      </c>
      <c r="C37" s="96">
        <v>100091655</v>
      </c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39"/>
      <c r="R37" s="96"/>
      <c r="S37" s="96"/>
      <c r="T37" s="96"/>
      <c r="U37" s="96"/>
      <c r="V37" s="96"/>
      <c r="W37" s="96"/>
    </row>
    <row r="38" spans="1:23" s="62" customFormat="1" x14ac:dyDescent="0.3">
      <c r="A38" s="96" t="s">
        <v>144</v>
      </c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39"/>
      <c r="R38" s="96"/>
      <c r="S38" s="96"/>
      <c r="T38" s="96"/>
      <c r="U38" s="96"/>
      <c r="V38" s="96"/>
      <c r="W38" s="96"/>
    </row>
    <row r="39" spans="1:23" s="62" customFormat="1" x14ac:dyDescent="0.3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39"/>
      <c r="R39" s="96"/>
      <c r="S39" s="96"/>
      <c r="T39" s="96"/>
      <c r="U39" s="96"/>
      <c r="V39" s="96"/>
      <c r="W39" s="96"/>
    </row>
    <row r="40" spans="1:23" s="62" customFormat="1" x14ac:dyDescent="0.3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39"/>
      <c r="R40" s="96"/>
      <c r="S40" s="96"/>
      <c r="T40" s="96"/>
      <c r="U40" s="96"/>
      <c r="V40" s="96"/>
      <c r="W40" s="96"/>
    </row>
    <row r="41" spans="1:23" x14ac:dyDescent="0.3">
      <c r="A41" s="96"/>
      <c r="B41" s="76" t="s">
        <v>78</v>
      </c>
      <c r="C41" s="76" t="s">
        <v>142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R41" s="96"/>
      <c r="S41" s="96"/>
      <c r="T41" s="96"/>
      <c r="U41" s="96"/>
      <c r="V41" s="96"/>
      <c r="W41" s="96"/>
    </row>
    <row r="42" spans="1:23" x14ac:dyDescent="0.3">
      <c r="A42" s="64" t="s">
        <v>147</v>
      </c>
      <c r="B42" s="18">
        <v>100865982</v>
      </c>
      <c r="C42" s="18">
        <v>100865922</v>
      </c>
      <c r="D42" s="96" t="s">
        <v>148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R42" s="96"/>
      <c r="S42" s="96"/>
      <c r="T42" s="96"/>
      <c r="U42" s="96"/>
      <c r="V42" s="96"/>
      <c r="W42" s="96"/>
    </row>
    <row r="43" spans="1:23" x14ac:dyDescent="0.3">
      <c r="A43" s="64" t="s">
        <v>105</v>
      </c>
      <c r="B43" s="18">
        <v>100866004</v>
      </c>
      <c r="C43" s="18">
        <v>100865922</v>
      </c>
      <c r="D43" s="96" t="s">
        <v>148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R43" s="96"/>
      <c r="S43" s="96"/>
      <c r="T43" s="96"/>
      <c r="U43" s="96"/>
      <c r="V43" s="96"/>
      <c r="W43" s="96"/>
    </row>
    <row r="44" spans="1:23" s="62" customFormat="1" x14ac:dyDescent="0.3">
      <c r="A44" s="77"/>
      <c r="B44" s="78"/>
      <c r="C44" s="78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39"/>
      <c r="R44" s="96"/>
      <c r="S44" s="96"/>
      <c r="T44" s="96"/>
      <c r="U44" s="96"/>
      <c r="V44" s="96"/>
      <c r="W44" s="96"/>
    </row>
    <row r="45" spans="1:23" x14ac:dyDescent="0.3">
      <c r="A45" s="96"/>
      <c r="B45" s="96"/>
      <c r="C45" s="96"/>
      <c r="D45" s="96"/>
      <c r="E45" s="16" t="s">
        <v>86</v>
      </c>
      <c r="F45" s="96" t="s">
        <v>149</v>
      </c>
      <c r="G45" s="96" t="s">
        <v>150</v>
      </c>
      <c r="H45" s="96"/>
      <c r="I45" s="96" t="s">
        <v>151</v>
      </c>
      <c r="J45" s="96"/>
      <c r="K45" s="96"/>
      <c r="L45" s="96"/>
      <c r="M45" s="96"/>
      <c r="N45" s="96"/>
      <c r="O45" s="96"/>
      <c r="P45" s="96"/>
      <c r="R45" s="96"/>
      <c r="S45" s="96"/>
      <c r="T45" s="96"/>
      <c r="U45" s="96"/>
      <c r="V45" s="96"/>
      <c r="W45" s="96"/>
    </row>
    <row r="46" spans="1:23" x14ac:dyDescent="0.3">
      <c r="A46" s="96" t="s">
        <v>152</v>
      </c>
      <c r="B46" s="96"/>
      <c r="C46" s="96"/>
      <c r="D46" s="96"/>
      <c r="E46" s="67">
        <f>J3</f>
        <v>45</v>
      </c>
      <c r="F46" s="96">
        <v>2</v>
      </c>
      <c r="G46" s="96">
        <v>4.5</v>
      </c>
      <c r="H46" s="96"/>
      <c r="I46" s="96">
        <f>E46*G46/F46</f>
        <v>101.25</v>
      </c>
      <c r="J46" s="96">
        <v>4.5</v>
      </c>
      <c r="K46" s="96">
        <v>2</v>
      </c>
      <c r="L46" s="96">
        <f>E46*J46/K46</f>
        <v>101.25</v>
      </c>
      <c r="M46" s="96"/>
      <c r="N46" s="96"/>
      <c r="O46" s="96"/>
      <c r="P46" s="96"/>
      <c r="R46" s="96"/>
      <c r="S46" s="96"/>
      <c r="T46" s="96"/>
      <c r="U46" s="96"/>
      <c r="V46" s="96"/>
      <c r="W46" s="96"/>
    </row>
    <row r="47" spans="1:23" x14ac:dyDescent="0.3">
      <c r="A47" s="96" t="s">
        <v>153</v>
      </c>
      <c r="B47" s="96"/>
      <c r="C47" s="96"/>
      <c r="D47" s="96"/>
      <c r="E47" s="67">
        <f t="shared" ref="E47:E54" si="8">J4</f>
        <v>11</v>
      </c>
      <c r="F47" s="96">
        <f>F46</f>
        <v>2</v>
      </c>
      <c r="G47" s="96">
        <f>G46</f>
        <v>4.5</v>
      </c>
      <c r="H47" s="96"/>
      <c r="I47" s="96">
        <f t="shared" ref="I47:I54" si="9">E47*G47/F47</f>
        <v>24.75</v>
      </c>
      <c r="J47" s="96"/>
      <c r="K47" s="96"/>
      <c r="L47" s="96"/>
      <c r="M47" s="96"/>
      <c r="N47" s="96"/>
      <c r="O47" s="96"/>
      <c r="P47" s="96"/>
      <c r="R47" s="96"/>
      <c r="S47" s="96"/>
      <c r="T47" s="96"/>
      <c r="U47" s="96"/>
      <c r="V47" s="96"/>
      <c r="W47" s="96"/>
    </row>
    <row r="48" spans="1:23" x14ac:dyDescent="0.3">
      <c r="A48" s="96"/>
      <c r="B48" s="96"/>
      <c r="C48" s="96"/>
      <c r="D48" s="96"/>
      <c r="E48" s="67">
        <f t="shared" si="8"/>
        <v>92</v>
      </c>
      <c r="F48" s="96">
        <f t="shared" ref="F48:F54" si="10">F47</f>
        <v>2</v>
      </c>
      <c r="G48" s="96">
        <f t="shared" ref="G48:G54" si="11">G47</f>
        <v>4.5</v>
      </c>
      <c r="H48" s="96"/>
      <c r="I48" s="96">
        <f t="shared" si="9"/>
        <v>207</v>
      </c>
      <c r="J48" s="96"/>
      <c r="K48" s="96"/>
      <c r="L48" s="96"/>
      <c r="M48" s="96"/>
      <c r="N48" s="96"/>
      <c r="O48" s="96"/>
      <c r="P48" s="96"/>
      <c r="R48" s="96"/>
      <c r="S48" s="96"/>
      <c r="T48" s="96"/>
      <c r="U48" s="96"/>
      <c r="V48" s="96"/>
      <c r="W48" s="96"/>
    </row>
    <row r="49" spans="1:9" x14ac:dyDescent="0.3">
      <c r="A49" s="96"/>
      <c r="B49" s="96"/>
      <c r="C49" s="96"/>
      <c r="D49" s="96"/>
      <c r="E49" s="67">
        <f t="shared" si="8"/>
        <v>70</v>
      </c>
      <c r="F49" s="96">
        <f t="shared" si="10"/>
        <v>2</v>
      </c>
      <c r="G49" s="96">
        <f t="shared" si="11"/>
        <v>4.5</v>
      </c>
      <c r="H49" s="96"/>
      <c r="I49" s="96">
        <f t="shared" si="9"/>
        <v>157.5</v>
      </c>
    </row>
    <row r="50" spans="1:9" x14ac:dyDescent="0.3">
      <c r="A50" s="96"/>
      <c r="B50" s="96"/>
      <c r="C50" s="96"/>
      <c r="D50" s="96"/>
      <c r="E50" s="67">
        <f t="shared" si="8"/>
        <v>39</v>
      </c>
      <c r="F50" s="96">
        <f t="shared" si="10"/>
        <v>2</v>
      </c>
      <c r="G50" s="96">
        <f t="shared" si="11"/>
        <v>4.5</v>
      </c>
      <c r="H50" s="96"/>
      <c r="I50" s="96">
        <f t="shared" si="9"/>
        <v>87.75</v>
      </c>
    </row>
    <row r="51" spans="1:9" x14ac:dyDescent="0.3">
      <c r="A51" s="96"/>
      <c r="B51" s="96"/>
      <c r="C51" s="96"/>
      <c r="D51" s="96"/>
      <c r="E51" s="67">
        <f t="shared" si="8"/>
        <v>45</v>
      </c>
      <c r="F51" s="96">
        <f t="shared" si="10"/>
        <v>2</v>
      </c>
      <c r="G51" s="96">
        <f t="shared" si="11"/>
        <v>4.5</v>
      </c>
      <c r="H51" s="96"/>
      <c r="I51" s="96">
        <f t="shared" si="9"/>
        <v>101.25</v>
      </c>
    </row>
    <row r="52" spans="1:9" x14ac:dyDescent="0.3">
      <c r="A52" s="96"/>
      <c r="B52" s="96"/>
      <c r="C52" s="96"/>
      <c r="D52" s="96"/>
      <c r="E52" s="67">
        <f t="shared" si="8"/>
        <v>23</v>
      </c>
      <c r="F52" s="96">
        <f t="shared" si="10"/>
        <v>2</v>
      </c>
      <c r="G52" s="96">
        <f t="shared" si="11"/>
        <v>4.5</v>
      </c>
      <c r="H52" s="96"/>
      <c r="I52" s="96">
        <f t="shared" si="9"/>
        <v>51.75</v>
      </c>
    </row>
    <row r="53" spans="1:9" x14ac:dyDescent="0.3">
      <c r="A53" s="96"/>
      <c r="B53" s="96"/>
      <c r="C53" s="96"/>
      <c r="D53" s="96"/>
      <c r="E53" s="67">
        <f t="shared" si="8"/>
        <v>19</v>
      </c>
      <c r="F53" s="96">
        <f t="shared" si="10"/>
        <v>2</v>
      </c>
      <c r="G53" s="96">
        <f t="shared" si="11"/>
        <v>4.5</v>
      </c>
      <c r="H53" s="96"/>
      <c r="I53" s="96">
        <f t="shared" si="9"/>
        <v>42.75</v>
      </c>
    </row>
    <row r="54" spans="1:9" x14ac:dyDescent="0.3">
      <c r="A54" s="96"/>
      <c r="B54" s="96"/>
      <c r="C54" s="96"/>
      <c r="D54" s="96"/>
      <c r="E54" s="67">
        <f t="shared" si="8"/>
        <v>21</v>
      </c>
      <c r="F54" s="96">
        <f t="shared" si="10"/>
        <v>2</v>
      </c>
      <c r="G54" s="96">
        <f t="shared" si="11"/>
        <v>4.5</v>
      </c>
      <c r="H54" s="96"/>
      <c r="I54" s="96">
        <f t="shared" si="9"/>
        <v>47.25</v>
      </c>
    </row>
    <row r="64" spans="1:9" x14ac:dyDescent="0.3">
      <c r="A64" s="34" t="s">
        <v>154</v>
      </c>
      <c r="B64" s="34"/>
      <c r="C64" s="34"/>
      <c r="D64" s="34"/>
      <c r="E64" s="34"/>
      <c r="F64" s="34"/>
      <c r="G64" s="34"/>
      <c r="H64" s="96"/>
      <c r="I64" s="96"/>
    </row>
    <row r="65" spans="1:7" x14ac:dyDescent="0.3">
      <c r="A65" s="34" t="s">
        <v>155</v>
      </c>
      <c r="B65" s="34"/>
      <c r="C65" s="34"/>
      <c r="D65" s="34"/>
      <c r="E65" s="34"/>
      <c r="F65" s="34"/>
      <c r="G65" s="34"/>
    </row>
    <row r="66" spans="1:7" x14ac:dyDescent="0.3">
      <c r="A66" s="34" t="s">
        <v>156</v>
      </c>
      <c r="B66" s="34"/>
      <c r="C66" s="34"/>
      <c r="D66" s="34"/>
      <c r="E66" s="34"/>
      <c r="F66" s="34"/>
      <c r="G66" s="34"/>
    </row>
    <row r="67" spans="1:7" x14ac:dyDescent="0.3">
      <c r="A67" s="34" t="s">
        <v>157</v>
      </c>
      <c r="B67" s="34"/>
      <c r="C67" s="34"/>
      <c r="D67" s="34"/>
      <c r="E67" s="34"/>
      <c r="F67" s="34"/>
      <c r="G67" s="34"/>
    </row>
    <row r="85" spans="1:7" x14ac:dyDescent="0.3">
      <c r="A85" s="34" t="s">
        <v>154</v>
      </c>
      <c r="B85" s="34"/>
      <c r="C85" s="34"/>
      <c r="D85" s="34"/>
      <c r="E85" s="34"/>
      <c r="F85" s="34"/>
      <c r="G85" s="34"/>
    </row>
    <row r="86" spans="1:7" x14ac:dyDescent="0.3">
      <c r="A86" s="34" t="s">
        <v>155</v>
      </c>
      <c r="B86" s="34"/>
      <c r="C86" s="34"/>
      <c r="D86" s="34"/>
      <c r="E86" s="34"/>
      <c r="F86" s="34"/>
      <c r="G86" s="34"/>
    </row>
    <row r="87" spans="1:7" x14ac:dyDescent="0.3">
      <c r="A87" s="34" t="s">
        <v>156</v>
      </c>
      <c r="B87" s="34"/>
      <c r="C87" s="34"/>
      <c r="D87" s="34"/>
      <c r="E87" s="34"/>
      <c r="F87" s="34"/>
      <c r="G87" s="34"/>
    </row>
    <row r="88" spans="1:7" x14ac:dyDescent="0.3">
      <c r="A88" s="34" t="s">
        <v>157</v>
      </c>
      <c r="B88" s="34"/>
      <c r="C88" s="34"/>
      <c r="D88" s="34"/>
      <c r="E88" s="34"/>
      <c r="F88" s="34"/>
      <c r="G88" s="34"/>
    </row>
  </sheetData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483F-D735-4B58-B4B1-EBF2C7D01F03}">
  <dimension ref="A1"/>
  <sheetViews>
    <sheetView workbookViewId="0">
      <selection activeCell="O20" sqref="O20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D68E-8C74-41D1-8E37-E637CB080DF7}">
  <sheetPr codeName="Sheet2"/>
  <dimension ref="A1:GJ19"/>
  <sheetViews>
    <sheetView workbookViewId="0">
      <selection activeCell="C2" sqref="C2"/>
    </sheetView>
  </sheetViews>
  <sheetFormatPr defaultRowHeight="14.4" x14ac:dyDescent="0.3"/>
  <cols>
    <col min="1" max="192" width="12.109375" customWidth="1"/>
  </cols>
  <sheetData>
    <row r="1" spans="1:192" x14ac:dyDescent="0.3">
      <c r="A1" s="50" t="s">
        <v>54</v>
      </c>
      <c r="B1" s="50" t="s">
        <v>73</v>
      </c>
      <c r="C1" s="51">
        <f ca="1">TODAY()</f>
        <v>43949</v>
      </c>
      <c r="D1" s="51">
        <f ca="1">C1+1</f>
        <v>43950</v>
      </c>
      <c r="E1" s="51">
        <f t="shared" ref="E1:BP1" ca="1" si="0">D1+1</f>
        <v>43951</v>
      </c>
      <c r="F1" s="51">
        <f t="shared" ca="1" si="0"/>
        <v>43952</v>
      </c>
      <c r="G1" s="51">
        <f t="shared" ca="1" si="0"/>
        <v>43953</v>
      </c>
      <c r="H1" s="51">
        <f t="shared" ca="1" si="0"/>
        <v>43954</v>
      </c>
      <c r="I1" s="51">
        <f t="shared" ca="1" si="0"/>
        <v>43955</v>
      </c>
      <c r="J1" s="51">
        <f t="shared" ca="1" si="0"/>
        <v>43956</v>
      </c>
      <c r="K1" s="51">
        <f t="shared" ca="1" si="0"/>
        <v>43957</v>
      </c>
      <c r="L1" s="51">
        <f t="shared" ca="1" si="0"/>
        <v>43958</v>
      </c>
      <c r="M1" s="51">
        <f t="shared" ca="1" si="0"/>
        <v>43959</v>
      </c>
      <c r="N1" s="51">
        <f t="shared" ca="1" si="0"/>
        <v>43960</v>
      </c>
      <c r="O1" s="51">
        <f t="shared" ca="1" si="0"/>
        <v>43961</v>
      </c>
      <c r="P1" s="51">
        <f t="shared" ca="1" si="0"/>
        <v>43962</v>
      </c>
      <c r="Q1" s="51">
        <f t="shared" ca="1" si="0"/>
        <v>43963</v>
      </c>
      <c r="R1" s="51">
        <f t="shared" ca="1" si="0"/>
        <v>43964</v>
      </c>
      <c r="S1" s="51">
        <f t="shared" ca="1" si="0"/>
        <v>43965</v>
      </c>
      <c r="T1" s="51">
        <f t="shared" ca="1" si="0"/>
        <v>43966</v>
      </c>
      <c r="U1" s="51">
        <f t="shared" ca="1" si="0"/>
        <v>43967</v>
      </c>
      <c r="V1" s="51">
        <f t="shared" ca="1" si="0"/>
        <v>43968</v>
      </c>
      <c r="W1" s="51">
        <f t="shared" ca="1" si="0"/>
        <v>43969</v>
      </c>
      <c r="X1" s="51">
        <f t="shared" ca="1" si="0"/>
        <v>43970</v>
      </c>
      <c r="Y1" s="51">
        <f t="shared" ca="1" si="0"/>
        <v>43971</v>
      </c>
      <c r="Z1" s="51">
        <f t="shared" ca="1" si="0"/>
        <v>43972</v>
      </c>
      <c r="AA1" s="51">
        <f t="shared" ca="1" si="0"/>
        <v>43973</v>
      </c>
      <c r="AB1" s="51">
        <f t="shared" ca="1" si="0"/>
        <v>43974</v>
      </c>
      <c r="AC1" s="51">
        <f t="shared" ca="1" si="0"/>
        <v>43975</v>
      </c>
      <c r="AD1" s="51">
        <f t="shared" ca="1" si="0"/>
        <v>43976</v>
      </c>
      <c r="AE1" s="51">
        <f t="shared" ca="1" si="0"/>
        <v>43977</v>
      </c>
      <c r="AF1" s="51">
        <f t="shared" ca="1" si="0"/>
        <v>43978</v>
      </c>
      <c r="AG1" s="51">
        <f t="shared" ca="1" si="0"/>
        <v>43979</v>
      </c>
      <c r="AH1" s="51">
        <f t="shared" ca="1" si="0"/>
        <v>43980</v>
      </c>
      <c r="AI1" s="51">
        <f t="shared" ca="1" si="0"/>
        <v>43981</v>
      </c>
      <c r="AJ1" s="51">
        <f t="shared" ca="1" si="0"/>
        <v>43982</v>
      </c>
      <c r="AK1" s="51">
        <f t="shared" ca="1" si="0"/>
        <v>43983</v>
      </c>
      <c r="AL1" s="51">
        <f t="shared" ca="1" si="0"/>
        <v>43984</v>
      </c>
      <c r="AM1" s="51">
        <f t="shared" ca="1" si="0"/>
        <v>43985</v>
      </c>
      <c r="AN1" s="51">
        <f t="shared" ca="1" si="0"/>
        <v>43986</v>
      </c>
      <c r="AO1" s="51">
        <f t="shared" ca="1" si="0"/>
        <v>43987</v>
      </c>
      <c r="AP1" s="51">
        <f t="shared" ca="1" si="0"/>
        <v>43988</v>
      </c>
      <c r="AQ1" s="51">
        <f t="shared" ca="1" si="0"/>
        <v>43989</v>
      </c>
      <c r="AR1" s="51">
        <f t="shared" ca="1" si="0"/>
        <v>43990</v>
      </c>
      <c r="AS1" s="51">
        <f t="shared" ca="1" si="0"/>
        <v>43991</v>
      </c>
      <c r="AT1" s="51">
        <f t="shared" ca="1" si="0"/>
        <v>43992</v>
      </c>
      <c r="AU1" s="51">
        <f t="shared" ca="1" si="0"/>
        <v>43993</v>
      </c>
      <c r="AV1" s="51">
        <f t="shared" ca="1" si="0"/>
        <v>43994</v>
      </c>
      <c r="AW1" s="51">
        <f t="shared" ca="1" si="0"/>
        <v>43995</v>
      </c>
      <c r="AX1" s="51">
        <f t="shared" ca="1" si="0"/>
        <v>43996</v>
      </c>
      <c r="AY1" s="51">
        <f t="shared" ca="1" si="0"/>
        <v>43997</v>
      </c>
      <c r="AZ1" s="51">
        <f t="shared" ca="1" si="0"/>
        <v>43998</v>
      </c>
      <c r="BA1" s="51">
        <f t="shared" ca="1" si="0"/>
        <v>43999</v>
      </c>
      <c r="BB1" s="51">
        <f t="shared" ca="1" si="0"/>
        <v>44000</v>
      </c>
      <c r="BC1" s="51">
        <f t="shared" ca="1" si="0"/>
        <v>44001</v>
      </c>
      <c r="BD1" s="51">
        <f t="shared" ca="1" si="0"/>
        <v>44002</v>
      </c>
      <c r="BE1" s="51">
        <f t="shared" ca="1" si="0"/>
        <v>44003</v>
      </c>
      <c r="BF1" s="51">
        <f t="shared" ca="1" si="0"/>
        <v>44004</v>
      </c>
      <c r="BG1" s="51">
        <f t="shared" ca="1" si="0"/>
        <v>44005</v>
      </c>
      <c r="BH1" s="51">
        <f t="shared" ca="1" si="0"/>
        <v>44006</v>
      </c>
      <c r="BI1" s="51">
        <f t="shared" ca="1" si="0"/>
        <v>44007</v>
      </c>
      <c r="BJ1" s="51">
        <f t="shared" ca="1" si="0"/>
        <v>44008</v>
      </c>
      <c r="BK1" s="51">
        <f t="shared" ca="1" si="0"/>
        <v>44009</v>
      </c>
      <c r="BL1" s="51">
        <f t="shared" ca="1" si="0"/>
        <v>44010</v>
      </c>
      <c r="BM1" s="51">
        <f t="shared" ca="1" si="0"/>
        <v>44011</v>
      </c>
      <c r="BN1" s="51">
        <f t="shared" ca="1" si="0"/>
        <v>44012</v>
      </c>
      <c r="BO1" s="51">
        <f t="shared" ca="1" si="0"/>
        <v>44013</v>
      </c>
      <c r="BP1" s="51">
        <f t="shared" ca="1" si="0"/>
        <v>44014</v>
      </c>
      <c r="BQ1" s="51">
        <f t="shared" ref="BQ1:EB1" ca="1" si="1">BP1+1</f>
        <v>44015</v>
      </c>
      <c r="BR1" s="51">
        <f t="shared" ca="1" si="1"/>
        <v>44016</v>
      </c>
      <c r="BS1" s="51">
        <f t="shared" ca="1" si="1"/>
        <v>44017</v>
      </c>
      <c r="BT1" s="51">
        <f t="shared" ca="1" si="1"/>
        <v>44018</v>
      </c>
      <c r="BU1" s="51">
        <f t="shared" ca="1" si="1"/>
        <v>44019</v>
      </c>
      <c r="BV1" s="51">
        <f t="shared" ca="1" si="1"/>
        <v>44020</v>
      </c>
      <c r="BW1" s="51">
        <f t="shared" ca="1" si="1"/>
        <v>44021</v>
      </c>
      <c r="BX1" s="51">
        <f t="shared" ca="1" si="1"/>
        <v>44022</v>
      </c>
      <c r="BY1" s="51">
        <f t="shared" ca="1" si="1"/>
        <v>44023</v>
      </c>
      <c r="BZ1" s="51">
        <f t="shared" ca="1" si="1"/>
        <v>44024</v>
      </c>
      <c r="CA1" s="51">
        <f t="shared" ca="1" si="1"/>
        <v>44025</v>
      </c>
      <c r="CB1" s="51">
        <f t="shared" ca="1" si="1"/>
        <v>44026</v>
      </c>
      <c r="CC1" s="51">
        <f t="shared" ca="1" si="1"/>
        <v>44027</v>
      </c>
      <c r="CD1" s="51">
        <f t="shared" ca="1" si="1"/>
        <v>44028</v>
      </c>
      <c r="CE1" s="51">
        <f t="shared" ca="1" si="1"/>
        <v>44029</v>
      </c>
      <c r="CF1" s="51">
        <f t="shared" ca="1" si="1"/>
        <v>44030</v>
      </c>
      <c r="CG1" s="51">
        <f t="shared" ca="1" si="1"/>
        <v>44031</v>
      </c>
      <c r="CH1" s="51">
        <f t="shared" ca="1" si="1"/>
        <v>44032</v>
      </c>
      <c r="CI1" s="51">
        <f t="shared" ca="1" si="1"/>
        <v>44033</v>
      </c>
      <c r="CJ1" s="51">
        <f t="shared" ca="1" si="1"/>
        <v>44034</v>
      </c>
      <c r="CK1" s="51">
        <f t="shared" ca="1" si="1"/>
        <v>44035</v>
      </c>
      <c r="CL1" s="51">
        <f t="shared" ca="1" si="1"/>
        <v>44036</v>
      </c>
      <c r="CM1" s="51">
        <f t="shared" ca="1" si="1"/>
        <v>44037</v>
      </c>
      <c r="CN1" s="51">
        <f t="shared" ca="1" si="1"/>
        <v>44038</v>
      </c>
      <c r="CO1" s="51">
        <f t="shared" ca="1" si="1"/>
        <v>44039</v>
      </c>
      <c r="CP1" s="51">
        <f t="shared" ca="1" si="1"/>
        <v>44040</v>
      </c>
      <c r="CQ1" s="51">
        <f t="shared" ca="1" si="1"/>
        <v>44041</v>
      </c>
      <c r="CR1" s="51">
        <f t="shared" ca="1" si="1"/>
        <v>44042</v>
      </c>
      <c r="CS1" s="51">
        <f t="shared" ca="1" si="1"/>
        <v>44043</v>
      </c>
      <c r="CT1" s="51">
        <f t="shared" ca="1" si="1"/>
        <v>44044</v>
      </c>
      <c r="CU1" s="51">
        <f t="shared" ca="1" si="1"/>
        <v>44045</v>
      </c>
      <c r="CV1" s="51">
        <f t="shared" ca="1" si="1"/>
        <v>44046</v>
      </c>
      <c r="CW1" s="51">
        <f t="shared" ca="1" si="1"/>
        <v>44047</v>
      </c>
      <c r="CX1" s="51">
        <f t="shared" ca="1" si="1"/>
        <v>44048</v>
      </c>
      <c r="CY1" s="51">
        <f t="shared" ca="1" si="1"/>
        <v>44049</v>
      </c>
      <c r="CZ1" s="51">
        <f t="shared" ca="1" si="1"/>
        <v>44050</v>
      </c>
      <c r="DA1" s="51">
        <f t="shared" ca="1" si="1"/>
        <v>44051</v>
      </c>
      <c r="DB1" s="51">
        <f t="shared" ca="1" si="1"/>
        <v>44052</v>
      </c>
      <c r="DC1" s="51">
        <f t="shared" ca="1" si="1"/>
        <v>44053</v>
      </c>
      <c r="DD1" s="51">
        <f t="shared" ca="1" si="1"/>
        <v>44054</v>
      </c>
      <c r="DE1" s="51">
        <f t="shared" ca="1" si="1"/>
        <v>44055</v>
      </c>
      <c r="DF1" s="51">
        <f t="shared" ca="1" si="1"/>
        <v>44056</v>
      </c>
      <c r="DG1" s="51">
        <f t="shared" ca="1" si="1"/>
        <v>44057</v>
      </c>
      <c r="DH1" s="51">
        <f t="shared" ca="1" si="1"/>
        <v>44058</v>
      </c>
      <c r="DI1" s="51">
        <f t="shared" ca="1" si="1"/>
        <v>44059</v>
      </c>
      <c r="DJ1" s="51">
        <f t="shared" ca="1" si="1"/>
        <v>44060</v>
      </c>
      <c r="DK1" s="51">
        <f t="shared" ca="1" si="1"/>
        <v>44061</v>
      </c>
      <c r="DL1" s="51">
        <f t="shared" ca="1" si="1"/>
        <v>44062</v>
      </c>
      <c r="DM1" s="51">
        <f t="shared" ca="1" si="1"/>
        <v>44063</v>
      </c>
      <c r="DN1" s="51">
        <f t="shared" ca="1" si="1"/>
        <v>44064</v>
      </c>
      <c r="DO1" s="51">
        <f t="shared" ca="1" si="1"/>
        <v>44065</v>
      </c>
      <c r="DP1" s="51">
        <f t="shared" ca="1" si="1"/>
        <v>44066</v>
      </c>
      <c r="DQ1" s="51">
        <f t="shared" ca="1" si="1"/>
        <v>44067</v>
      </c>
      <c r="DR1" s="51">
        <f t="shared" ca="1" si="1"/>
        <v>44068</v>
      </c>
      <c r="DS1" s="51">
        <f t="shared" ca="1" si="1"/>
        <v>44069</v>
      </c>
      <c r="DT1" s="51">
        <f t="shared" ca="1" si="1"/>
        <v>44070</v>
      </c>
      <c r="DU1" s="51">
        <f t="shared" ca="1" si="1"/>
        <v>44071</v>
      </c>
      <c r="DV1" s="51">
        <f t="shared" ca="1" si="1"/>
        <v>44072</v>
      </c>
      <c r="DW1" s="51">
        <f t="shared" ca="1" si="1"/>
        <v>44073</v>
      </c>
      <c r="DX1" s="51">
        <f t="shared" ca="1" si="1"/>
        <v>44074</v>
      </c>
      <c r="DY1" s="51">
        <f t="shared" ca="1" si="1"/>
        <v>44075</v>
      </c>
      <c r="DZ1" s="51">
        <f t="shared" ca="1" si="1"/>
        <v>44076</v>
      </c>
      <c r="EA1" s="51">
        <f t="shared" ca="1" si="1"/>
        <v>44077</v>
      </c>
      <c r="EB1" s="51">
        <f t="shared" ca="1" si="1"/>
        <v>44078</v>
      </c>
      <c r="EC1" s="51">
        <f t="shared" ref="EC1:FL1" ca="1" si="2">EB1+1</f>
        <v>44079</v>
      </c>
      <c r="ED1" s="51">
        <f t="shared" ca="1" si="2"/>
        <v>44080</v>
      </c>
      <c r="EE1" s="51">
        <f t="shared" ca="1" si="2"/>
        <v>44081</v>
      </c>
      <c r="EF1" s="51">
        <f t="shared" ca="1" si="2"/>
        <v>44082</v>
      </c>
      <c r="EG1" s="51">
        <f t="shared" ca="1" si="2"/>
        <v>44083</v>
      </c>
      <c r="EH1" s="51">
        <f t="shared" ca="1" si="2"/>
        <v>44084</v>
      </c>
      <c r="EI1" s="51">
        <f t="shared" ca="1" si="2"/>
        <v>44085</v>
      </c>
      <c r="EJ1" s="51">
        <f t="shared" ca="1" si="2"/>
        <v>44086</v>
      </c>
      <c r="EK1" s="51">
        <f t="shared" ca="1" si="2"/>
        <v>44087</v>
      </c>
      <c r="EL1" s="51">
        <f t="shared" ca="1" si="2"/>
        <v>44088</v>
      </c>
      <c r="EM1" s="51">
        <f t="shared" ca="1" si="2"/>
        <v>44089</v>
      </c>
      <c r="EN1" s="51">
        <f t="shared" ca="1" si="2"/>
        <v>44090</v>
      </c>
      <c r="EO1" s="51">
        <f t="shared" ca="1" si="2"/>
        <v>44091</v>
      </c>
      <c r="EP1" s="51">
        <f t="shared" ca="1" si="2"/>
        <v>44092</v>
      </c>
      <c r="EQ1" s="51">
        <f t="shared" ca="1" si="2"/>
        <v>44093</v>
      </c>
      <c r="ER1" s="51">
        <f t="shared" ca="1" si="2"/>
        <v>44094</v>
      </c>
      <c r="ES1" s="51">
        <f t="shared" ca="1" si="2"/>
        <v>44095</v>
      </c>
      <c r="ET1" s="51">
        <f t="shared" ca="1" si="2"/>
        <v>44096</v>
      </c>
      <c r="EU1" s="51">
        <f t="shared" ca="1" si="2"/>
        <v>44097</v>
      </c>
      <c r="EV1" s="51">
        <f t="shared" ca="1" si="2"/>
        <v>44098</v>
      </c>
      <c r="EW1" s="51">
        <f t="shared" ca="1" si="2"/>
        <v>44099</v>
      </c>
      <c r="EX1" s="51">
        <f t="shared" ca="1" si="2"/>
        <v>44100</v>
      </c>
      <c r="EY1" s="51">
        <f t="shared" ca="1" si="2"/>
        <v>44101</v>
      </c>
      <c r="EZ1" s="51">
        <f t="shared" ca="1" si="2"/>
        <v>44102</v>
      </c>
      <c r="FA1" s="51">
        <f t="shared" ca="1" si="2"/>
        <v>44103</v>
      </c>
      <c r="FB1" s="51">
        <f t="shared" ca="1" si="2"/>
        <v>44104</v>
      </c>
      <c r="FC1" s="51">
        <f t="shared" ca="1" si="2"/>
        <v>44105</v>
      </c>
      <c r="FD1" s="51">
        <f t="shared" ca="1" si="2"/>
        <v>44106</v>
      </c>
      <c r="FE1" s="51">
        <f t="shared" ca="1" si="2"/>
        <v>44107</v>
      </c>
      <c r="FF1" s="51">
        <f t="shared" ca="1" si="2"/>
        <v>44108</v>
      </c>
      <c r="FG1" s="51">
        <f t="shared" ca="1" si="2"/>
        <v>44109</v>
      </c>
      <c r="FH1" s="51">
        <f t="shared" ca="1" si="2"/>
        <v>44110</v>
      </c>
      <c r="FI1" s="51">
        <f t="shared" ca="1" si="2"/>
        <v>44111</v>
      </c>
      <c r="FJ1" s="51">
        <f t="shared" ca="1" si="2"/>
        <v>44112</v>
      </c>
      <c r="FK1" s="51">
        <f t="shared" ca="1" si="2"/>
        <v>44113</v>
      </c>
      <c r="FL1" s="51">
        <f t="shared" ca="1" si="2"/>
        <v>44114</v>
      </c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</row>
    <row r="2" spans="1:192" x14ac:dyDescent="0.3">
      <c r="A2" s="92">
        <v>106022341</v>
      </c>
      <c r="B2" s="96" t="s">
        <v>53</v>
      </c>
      <c r="C2" s="1">
        <f>VLOOKUP(A2,FORECAST!D:W,20,FALSE)*2000</f>
        <v>5933.3333333333339</v>
      </c>
      <c r="D2" s="49">
        <f t="shared" ref="D2:AI2" si="3">C2</f>
        <v>5933.3333333333339</v>
      </c>
      <c r="E2" s="49">
        <f t="shared" si="3"/>
        <v>5933.3333333333339</v>
      </c>
      <c r="F2" s="49">
        <f t="shared" si="3"/>
        <v>5933.3333333333339</v>
      </c>
      <c r="G2" s="49">
        <f t="shared" si="3"/>
        <v>5933.3333333333339</v>
      </c>
      <c r="H2" s="49">
        <f t="shared" si="3"/>
        <v>5933.3333333333339</v>
      </c>
      <c r="I2" s="49">
        <f t="shared" si="3"/>
        <v>5933.3333333333339</v>
      </c>
      <c r="J2" s="49">
        <f t="shared" si="3"/>
        <v>5933.3333333333339</v>
      </c>
      <c r="K2" s="49">
        <f t="shared" si="3"/>
        <v>5933.3333333333339</v>
      </c>
      <c r="L2" s="49">
        <f t="shared" si="3"/>
        <v>5933.3333333333339</v>
      </c>
      <c r="M2" s="49">
        <f t="shared" si="3"/>
        <v>5933.3333333333339</v>
      </c>
      <c r="N2" s="49">
        <f t="shared" si="3"/>
        <v>5933.3333333333339</v>
      </c>
      <c r="O2" s="49">
        <f t="shared" si="3"/>
        <v>5933.3333333333339</v>
      </c>
      <c r="P2" s="49">
        <f t="shared" si="3"/>
        <v>5933.3333333333339</v>
      </c>
      <c r="Q2" s="49">
        <f t="shared" si="3"/>
        <v>5933.3333333333339</v>
      </c>
      <c r="R2" s="49">
        <f t="shared" si="3"/>
        <v>5933.3333333333339</v>
      </c>
      <c r="S2" s="49">
        <f t="shared" si="3"/>
        <v>5933.3333333333339</v>
      </c>
      <c r="T2" s="49">
        <f t="shared" si="3"/>
        <v>5933.3333333333339</v>
      </c>
      <c r="U2" s="49">
        <f t="shared" si="3"/>
        <v>5933.3333333333339</v>
      </c>
      <c r="V2" s="49">
        <f t="shared" si="3"/>
        <v>5933.3333333333339</v>
      </c>
      <c r="W2" s="49">
        <f t="shared" si="3"/>
        <v>5933.3333333333339</v>
      </c>
      <c r="X2" s="49">
        <f t="shared" si="3"/>
        <v>5933.3333333333339</v>
      </c>
      <c r="Y2" s="49">
        <f t="shared" si="3"/>
        <v>5933.3333333333339</v>
      </c>
      <c r="Z2" s="49">
        <f t="shared" si="3"/>
        <v>5933.3333333333339</v>
      </c>
      <c r="AA2" s="49">
        <f t="shared" si="3"/>
        <v>5933.3333333333339</v>
      </c>
      <c r="AB2" s="49">
        <f t="shared" si="3"/>
        <v>5933.3333333333339</v>
      </c>
      <c r="AC2" s="49">
        <f t="shared" si="3"/>
        <v>5933.3333333333339</v>
      </c>
      <c r="AD2" s="49">
        <f t="shared" si="3"/>
        <v>5933.3333333333339</v>
      </c>
      <c r="AE2" s="49">
        <f t="shared" si="3"/>
        <v>5933.3333333333339</v>
      </c>
      <c r="AF2" s="49">
        <f t="shared" si="3"/>
        <v>5933.3333333333339</v>
      </c>
      <c r="AG2" s="49">
        <f t="shared" si="3"/>
        <v>5933.3333333333339</v>
      </c>
      <c r="AH2" s="49">
        <f t="shared" si="3"/>
        <v>5933.3333333333339</v>
      </c>
      <c r="AI2" s="49">
        <f t="shared" si="3"/>
        <v>5933.3333333333339</v>
      </c>
      <c r="AJ2" s="49">
        <f t="shared" ref="AJ2:BO2" si="4">AI2</f>
        <v>5933.3333333333339</v>
      </c>
      <c r="AK2" s="49">
        <f t="shared" si="4"/>
        <v>5933.3333333333339</v>
      </c>
      <c r="AL2" s="49">
        <f t="shared" si="4"/>
        <v>5933.3333333333339</v>
      </c>
      <c r="AM2" s="49">
        <f t="shared" si="4"/>
        <v>5933.3333333333339</v>
      </c>
      <c r="AN2" s="49">
        <f t="shared" si="4"/>
        <v>5933.3333333333339</v>
      </c>
      <c r="AO2" s="49">
        <f t="shared" si="4"/>
        <v>5933.3333333333339</v>
      </c>
      <c r="AP2" s="49">
        <f t="shared" si="4"/>
        <v>5933.3333333333339</v>
      </c>
      <c r="AQ2" s="49">
        <f t="shared" si="4"/>
        <v>5933.3333333333339</v>
      </c>
      <c r="AR2" s="49">
        <f t="shared" si="4"/>
        <v>5933.3333333333339</v>
      </c>
      <c r="AS2" s="49">
        <f t="shared" si="4"/>
        <v>5933.3333333333339</v>
      </c>
      <c r="AT2" s="49">
        <f t="shared" si="4"/>
        <v>5933.3333333333339</v>
      </c>
      <c r="AU2" s="49">
        <f t="shared" si="4"/>
        <v>5933.3333333333339</v>
      </c>
      <c r="AV2" s="49">
        <f t="shared" si="4"/>
        <v>5933.3333333333339</v>
      </c>
      <c r="AW2" s="49">
        <f t="shared" si="4"/>
        <v>5933.3333333333339</v>
      </c>
      <c r="AX2" s="49">
        <f t="shared" si="4"/>
        <v>5933.3333333333339</v>
      </c>
      <c r="AY2" s="49">
        <f t="shared" si="4"/>
        <v>5933.3333333333339</v>
      </c>
      <c r="AZ2" s="49">
        <f t="shared" si="4"/>
        <v>5933.3333333333339</v>
      </c>
      <c r="BA2" s="49">
        <f t="shared" si="4"/>
        <v>5933.3333333333339</v>
      </c>
      <c r="BB2" s="49">
        <f t="shared" si="4"/>
        <v>5933.3333333333339</v>
      </c>
      <c r="BC2" s="49">
        <f t="shared" si="4"/>
        <v>5933.3333333333339</v>
      </c>
      <c r="BD2" s="49">
        <f t="shared" si="4"/>
        <v>5933.3333333333339</v>
      </c>
      <c r="BE2" s="49">
        <f t="shared" si="4"/>
        <v>5933.3333333333339</v>
      </c>
      <c r="BF2" s="49">
        <f t="shared" si="4"/>
        <v>5933.3333333333339</v>
      </c>
      <c r="BG2" s="49">
        <f t="shared" si="4"/>
        <v>5933.3333333333339</v>
      </c>
      <c r="BH2" s="49">
        <f t="shared" si="4"/>
        <v>5933.3333333333339</v>
      </c>
      <c r="BI2" s="49">
        <f t="shared" si="4"/>
        <v>5933.3333333333339</v>
      </c>
      <c r="BJ2" s="49">
        <f t="shared" si="4"/>
        <v>5933.3333333333339</v>
      </c>
      <c r="BK2" s="49">
        <f t="shared" si="4"/>
        <v>5933.3333333333339</v>
      </c>
      <c r="BL2" s="49">
        <f t="shared" si="4"/>
        <v>5933.3333333333339</v>
      </c>
      <c r="BM2" s="49">
        <f t="shared" si="4"/>
        <v>5933.3333333333339</v>
      </c>
      <c r="BN2" s="49">
        <f t="shared" si="4"/>
        <v>5933.3333333333339</v>
      </c>
      <c r="BO2" s="49">
        <f t="shared" si="4"/>
        <v>5933.3333333333339</v>
      </c>
      <c r="BP2" s="49">
        <f t="shared" ref="BP2:CU2" si="5">BO2</f>
        <v>5933.3333333333339</v>
      </c>
      <c r="BQ2" s="49">
        <f t="shared" si="5"/>
        <v>5933.3333333333339</v>
      </c>
      <c r="BR2" s="49">
        <f t="shared" si="5"/>
        <v>5933.3333333333339</v>
      </c>
      <c r="BS2" s="49">
        <f t="shared" si="5"/>
        <v>5933.3333333333339</v>
      </c>
      <c r="BT2" s="49">
        <f t="shared" si="5"/>
        <v>5933.3333333333339</v>
      </c>
      <c r="BU2" s="49">
        <f t="shared" si="5"/>
        <v>5933.3333333333339</v>
      </c>
      <c r="BV2" s="49">
        <f t="shared" si="5"/>
        <v>5933.3333333333339</v>
      </c>
      <c r="BW2" s="49">
        <f t="shared" si="5"/>
        <v>5933.3333333333339</v>
      </c>
      <c r="BX2" s="49">
        <f t="shared" si="5"/>
        <v>5933.3333333333339</v>
      </c>
      <c r="BY2" s="49">
        <f t="shared" si="5"/>
        <v>5933.3333333333339</v>
      </c>
      <c r="BZ2" s="49">
        <f t="shared" si="5"/>
        <v>5933.3333333333339</v>
      </c>
      <c r="CA2" s="49">
        <f t="shared" si="5"/>
        <v>5933.3333333333339</v>
      </c>
      <c r="CB2" s="49">
        <f t="shared" si="5"/>
        <v>5933.3333333333339</v>
      </c>
      <c r="CC2" s="49">
        <f t="shared" si="5"/>
        <v>5933.3333333333339</v>
      </c>
      <c r="CD2" s="49">
        <f t="shared" si="5"/>
        <v>5933.3333333333339</v>
      </c>
      <c r="CE2" s="49">
        <f t="shared" si="5"/>
        <v>5933.3333333333339</v>
      </c>
      <c r="CF2" s="49">
        <f t="shared" si="5"/>
        <v>5933.3333333333339</v>
      </c>
      <c r="CG2" s="49">
        <f t="shared" si="5"/>
        <v>5933.3333333333339</v>
      </c>
      <c r="CH2" s="49">
        <f t="shared" si="5"/>
        <v>5933.3333333333339</v>
      </c>
      <c r="CI2" s="49">
        <f t="shared" si="5"/>
        <v>5933.3333333333339</v>
      </c>
      <c r="CJ2" s="49">
        <f t="shared" si="5"/>
        <v>5933.3333333333339</v>
      </c>
      <c r="CK2" s="49">
        <f t="shared" si="5"/>
        <v>5933.3333333333339</v>
      </c>
      <c r="CL2" s="49">
        <f t="shared" si="5"/>
        <v>5933.3333333333339</v>
      </c>
      <c r="CM2" s="49">
        <f t="shared" si="5"/>
        <v>5933.3333333333339</v>
      </c>
      <c r="CN2" s="49">
        <f t="shared" si="5"/>
        <v>5933.3333333333339</v>
      </c>
      <c r="CO2" s="49">
        <f t="shared" si="5"/>
        <v>5933.3333333333339</v>
      </c>
      <c r="CP2" s="49">
        <f t="shared" si="5"/>
        <v>5933.3333333333339</v>
      </c>
      <c r="CQ2" s="49">
        <f t="shared" si="5"/>
        <v>5933.3333333333339</v>
      </c>
      <c r="CR2" s="49">
        <f t="shared" si="5"/>
        <v>5933.3333333333339</v>
      </c>
      <c r="CS2" s="49">
        <f t="shared" si="5"/>
        <v>5933.3333333333339</v>
      </c>
      <c r="CT2" s="49">
        <f t="shared" si="5"/>
        <v>5933.3333333333339</v>
      </c>
      <c r="CU2" s="49">
        <f t="shared" si="5"/>
        <v>5933.3333333333339</v>
      </c>
      <c r="CV2" s="49">
        <f t="shared" ref="CV2:EA2" si="6">CU2</f>
        <v>5933.3333333333339</v>
      </c>
      <c r="CW2" s="49">
        <f t="shared" si="6"/>
        <v>5933.3333333333339</v>
      </c>
      <c r="CX2" s="49">
        <f t="shared" si="6"/>
        <v>5933.3333333333339</v>
      </c>
      <c r="CY2" s="49">
        <f t="shared" si="6"/>
        <v>5933.3333333333339</v>
      </c>
      <c r="CZ2" s="49">
        <f t="shared" si="6"/>
        <v>5933.3333333333339</v>
      </c>
      <c r="DA2" s="49">
        <f t="shared" si="6"/>
        <v>5933.3333333333339</v>
      </c>
      <c r="DB2" s="49">
        <f t="shared" si="6"/>
        <v>5933.3333333333339</v>
      </c>
      <c r="DC2" s="49">
        <f t="shared" si="6"/>
        <v>5933.3333333333339</v>
      </c>
      <c r="DD2" s="49">
        <f t="shared" si="6"/>
        <v>5933.3333333333339</v>
      </c>
      <c r="DE2" s="49">
        <f t="shared" si="6"/>
        <v>5933.3333333333339</v>
      </c>
      <c r="DF2" s="49">
        <f t="shared" si="6"/>
        <v>5933.3333333333339</v>
      </c>
      <c r="DG2" s="49">
        <f t="shared" si="6"/>
        <v>5933.3333333333339</v>
      </c>
      <c r="DH2" s="49">
        <f t="shared" si="6"/>
        <v>5933.3333333333339</v>
      </c>
      <c r="DI2" s="49">
        <f t="shared" si="6"/>
        <v>5933.3333333333339</v>
      </c>
      <c r="DJ2" s="49">
        <f t="shared" si="6"/>
        <v>5933.3333333333339</v>
      </c>
      <c r="DK2" s="49">
        <f t="shared" si="6"/>
        <v>5933.3333333333339</v>
      </c>
      <c r="DL2" s="49">
        <f t="shared" si="6"/>
        <v>5933.3333333333339</v>
      </c>
      <c r="DM2" s="49">
        <f t="shared" si="6"/>
        <v>5933.3333333333339</v>
      </c>
      <c r="DN2" s="49">
        <f t="shared" si="6"/>
        <v>5933.3333333333339</v>
      </c>
      <c r="DO2" s="49">
        <f t="shared" si="6"/>
        <v>5933.3333333333339</v>
      </c>
      <c r="DP2" s="49">
        <f t="shared" si="6"/>
        <v>5933.3333333333339</v>
      </c>
      <c r="DQ2" s="49">
        <f t="shared" si="6"/>
        <v>5933.3333333333339</v>
      </c>
      <c r="DR2" s="49">
        <f t="shared" si="6"/>
        <v>5933.3333333333339</v>
      </c>
      <c r="DS2" s="49">
        <f t="shared" si="6"/>
        <v>5933.3333333333339</v>
      </c>
      <c r="DT2" s="49">
        <f t="shared" si="6"/>
        <v>5933.3333333333339</v>
      </c>
      <c r="DU2" s="49">
        <f t="shared" si="6"/>
        <v>5933.3333333333339</v>
      </c>
      <c r="DV2" s="49">
        <f t="shared" si="6"/>
        <v>5933.3333333333339</v>
      </c>
      <c r="DW2" s="49">
        <f t="shared" si="6"/>
        <v>5933.3333333333339</v>
      </c>
      <c r="DX2" s="49">
        <f t="shared" si="6"/>
        <v>5933.3333333333339</v>
      </c>
      <c r="DY2" s="49">
        <f t="shared" si="6"/>
        <v>5933.3333333333339</v>
      </c>
      <c r="DZ2" s="49">
        <f t="shared" si="6"/>
        <v>5933.3333333333339</v>
      </c>
      <c r="EA2" s="49">
        <f t="shared" si="6"/>
        <v>5933.3333333333339</v>
      </c>
      <c r="EB2" s="49">
        <f t="shared" ref="EB2:FL2" si="7">EA2</f>
        <v>5933.3333333333339</v>
      </c>
      <c r="EC2" s="49">
        <f t="shared" si="7"/>
        <v>5933.3333333333339</v>
      </c>
      <c r="ED2" s="49">
        <f t="shared" si="7"/>
        <v>5933.3333333333339</v>
      </c>
      <c r="EE2" s="49">
        <f t="shared" si="7"/>
        <v>5933.3333333333339</v>
      </c>
      <c r="EF2" s="49">
        <f t="shared" si="7"/>
        <v>5933.3333333333339</v>
      </c>
      <c r="EG2" s="49">
        <f t="shared" si="7"/>
        <v>5933.3333333333339</v>
      </c>
      <c r="EH2" s="49">
        <f t="shared" si="7"/>
        <v>5933.3333333333339</v>
      </c>
      <c r="EI2" s="49">
        <f t="shared" si="7"/>
        <v>5933.3333333333339</v>
      </c>
      <c r="EJ2" s="49">
        <f t="shared" si="7"/>
        <v>5933.3333333333339</v>
      </c>
      <c r="EK2" s="49">
        <f t="shared" si="7"/>
        <v>5933.3333333333339</v>
      </c>
      <c r="EL2" s="49">
        <f t="shared" si="7"/>
        <v>5933.3333333333339</v>
      </c>
      <c r="EM2" s="49">
        <f t="shared" si="7"/>
        <v>5933.3333333333339</v>
      </c>
      <c r="EN2" s="49">
        <f t="shared" si="7"/>
        <v>5933.3333333333339</v>
      </c>
      <c r="EO2" s="49">
        <f t="shared" si="7"/>
        <v>5933.3333333333339</v>
      </c>
      <c r="EP2" s="49">
        <f t="shared" si="7"/>
        <v>5933.3333333333339</v>
      </c>
      <c r="EQ2" s="49">
        <f t="shared" si="7"/>
        <v>5933.3333333333339</v>
      </c>
      <c r="ER2" s="49">
        <f t="shared" si="7"/>
        <v>5933.3333333333339</v>
      </c>
      <c r="ES2" s="49">
        <f t="shared" si="7"/>
        <v>5933.3333333333339</v>
      </c>
      <c r="ET2" s="49">
        <f t="shared" si="7"/>
        <v>5933.3333333333339</v>
      </c>
      <c r="EU2" s="49">
        <f t="shared" si="7"/>
        <v>5933.3333333333339</v>
      </c>
      <c r="EV2" s="49">
        <f t="shared" si="7"/>
        <v>5933.3333333333339</v>
      </c>
      <c r="EW2" s="49">
        <f t="shared" si="7"/>
        <v>5933.3333333333339</v>
      </c>
      <c r="EX2" s="49">
        <f t="shared" si="7"/>
        <v>5933.3333333333339</v>
      </c>
      <c r="EY2" s="49">
        <f t="shared" si="7"/>
        <v>5933.3333333333339</v>
      </c>
      <c r="EZ2" s="49">
        <f t="shared" si="7"/>
        <v>5933.3333333333339</v>
      </c>
      <c r="FA2" s="49">
        <f t="shared" si="7"/>
        <v>5933.3333333333339</v>
      </c>
      <c r="FB2" s="49">
        <f t="shared" si="7"/>
        <v>5933.3333333333339</v>
      </c>
      <c r="FC2" s="49">
        <f t="shared" si="7"/>
        <v>5933.3333333333339</v>
      </c>
      <c r="FD2" s="49">
        <f t="shared" si="7"/>
        <v>5933.3333333333339</v>
      </c>
      <c r="FE2" s="49">
        <f t="shared" si="7"/>
        <v>5933.3333333333339</v>
      </c>
      <c r="FF2" s="49">
        <f t="shared" si="7"/>
        <v>5933.3333333333339</v>
      </c>
      <c r="FG2" s="49">
        <f t="shared" si="7"/>
        <v>5933.3333333333339</v>
      </c>
      <c r="FH2" s="49">
        <f t="shared" si="7"/>
        <v>5933.3333333333339</v>
      </c>
      <c r="FI2" s="49">
        <f t="shared" si="7"/>
        <v>5933.3333333333339</v>
      </c>
      <c r="FJ2" s="49">
        <f t="shared" si="7"/>
        <v>5933.3333333333339</v>
      </c>
      <c r="FK2" s="49">
        <f t="shared" si="7"/>
        <v>5933.3333333333339</v>
      </c>
      <c r="FL2" s="49">
        <f t="shared" si="7"/>
        <v>5933.3333333333339</v>
      </c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96"/>
      <c r="GB2" s="96"/>
      <c r="GC2" s="96"/>
      <c r="GD2" s="96"/>
      <c r="GE2" s="96"/>
      <c r="GF2" s="96"/>
      <c r="GG2" s="96"/>
      <c r="GH2" s="96"/>
      <c r="GI2" s="96"/>
      <c r="GJ2" s="96"/>
    </row>
    <row r="3" spans="1:192" x14ac:dyDescent="0.3">
      <c r="A3" s="92">
        <v>106028578</v>
      </c>
      <c r="B3" s="96" t="s">
        <v>53</v>
      </c>
      <c r="C3" s="1">
        <f>VLOOKUP(A3,FORECAST!D:W,20,FALSE)*2000</f>
        <v>4933.3333333333339</v>
      </c>
      <c r="D3" s="49">
        <f t="shared" ref="D3:AI3" si="8">C3</f>
        <v>4933.3333333333339</v>
      </c>
      <c r="E3" s="49">
        <f t="shared" si="8"/>
        <v>4933.3333333333339</v>
      </c>
      <c r="F3" s="49">
        <f t="shared" si="8"/>
        <v>4933.3333333333339</v>
      </c>
      <c r="G3" s="49">
        <f t="shared" si="8"/>
        <v>4933.3333333333339</v>
      </c>
      <c r="H3" s="49">
        <f t="shared" si="8"/>
        <v>4933.3333333333339</v>
      </c>
      <c r="I3" s="49">
        <f t="shared" si="8"/>
        <v>4933.3333333333339</v>
      </c>
      <c r="J3" s="49">
        <f t="shared" si="8"/>
        <v>4933.3333333333339</v>
      </c>
      <c r="K3" s="49">
        <f t="shared" si="8"/>
        <v>4933.3333333333339</v>
      </c>
      <c r="L3" s="49">
        <f t="shared" si="8"/>
        <v>4933.3333333333339</v>
      </c>
      <c r="M3" s="49">
        <f t="shared" si="8"/>
        <v>4933.3333333333339</v>
      </c>
      <c r="N3" s="49">
        <f t="shared" si="8"/>
        <v>4933.3333333333339</v>
      </c>
      <c r="O3" s="49">
        <f t="shared" si="8"/>
        <v>4933.3333333333339</v>
      </c>
      <c r="P3" s="49">
        <f t="shared" si="8"/>
        <v>4933.3333333333339</v>
      </c>
      <c r="Q3" s="49">
        <f t="shared" si="8"/>
        <v>4933.3333333333339</v>
      </c>
      <c r="R3" s="49">
        <f t="shared" si="8"/>
        <v>4933.3333333333339</v>
      </c>
      <c r="S3" s="49">
        <f t="shared" si="8"/>
        <v>4933.3333333333339</v>
      </c>
      <c r="T3" s="49">
        <f t="shared" si="8"/>
        <v>4933.3333333333339</v>
      </c>
      <c r="U3" s="49">
        <f t="shared" si="8"/>
        <v>4933.3333333333339</v>
      </c>
      <c r="V3" s="49">
        <f t="shared" si="8"/>
        <v>4933.3333333333339</v>
      </c>
      <c r="W3" s="49">
        <f t="shared" si="8"/>
        <v>4933.3333333333339</v>
      </c>
      <c r="X3" s="49">
        <f t="shared" si="8"/>
        <v>4933.3333333333339</v>
      </c>
      <c r="Y3" s="49">
        <f t="shared" si="8"/>
        <v>4933.3333333333339</v>
      </c>
      <c r="Z3" s="49">
        <f t="shared" si="8"/>
        <v>4933.3333333333339</v>
      </c>
      <c r="AA3" s="49">
        <f t="shared" si="8"/>
        <v>4933.3333333333339</v>
      </c>
      <c r="AB3" s="49">
        <f t="shared" si="8"/>
        <v>4933.3333333333339</v>
      </c>
      <c r="AC3" s="49">
        <f t="shared" si="8"/>
        <v>4933.3333333333339</v>
      </c>
      <c r="AD3" s="49">
        <f t="shared" si="8"/>
        <v>4933.3333333333339</v>
      </c>
      <c r="AE3" s="49">
        <f t="shared" si="8"/>
        <v>4933.3333333333339</v>
      </c>
      <c r="AF3" s="49">
        <f t="shared" si="8"/>
        <v>4933.3333333333339</v>
      </c>
      <c r="AG3" s="49">
        <f t="shared" si="8"/>
        <v>4933.3333333333339</v>
      </c>
      <c r="AH3" s="49">
        <f t="shared" si="8"/>
        <v>4933.3333333333339</v>
      </c>
      <c r="AI3" s="49">
        <f t="shared" si="8"/>
        <v>4933.3333333333339</v>
      </c>
      <c r="AJ3" s="49">
        <f t="shared" ref="AJ3:BO3" si="9">AI3</f>
        <v>4933.3333333333339</v>
      </c>
      <c r="AK3" s="49">
        <f t="shared" si="9"/>
        <v>4933.3333333333339</v>
      </c>
      <c r="AL3" s="49">
        <f t="shared" si="9"/>
        <v>4933.3333333333339</v>
      </c>
      <c r="AM3" s="49">
        <f t="shared" si="9"/>
        <v>4933.3333333333339</v>
      </c>
      <c r="AN3" s="49">
        <f t="shared" si="9"/>
        <v>4933.3333333333339</v>
      </c>
      <c r="AO3" s="49">
        <f t="shared" si="9"/>
        <v>4933.3333333333339</v>
      </c>
      <c r="AP3" s="49">
        <f t="shared" si="9"/>
        <v>4933.3333333333339</v>
      </c>
      <c r="AQ3" s="49">
        <f t="shared" si="9"/>
        <v>4933.3333333333339</v>
      </c>
      <c r="AR3" s="49">
        <f t="shared" si="9"/>
        <v>4933.3333333333339</v>
      </c>
      <c r="AS3" s="49">
        <f t="shared" si="9"/>
        <v>4933.3333333333339</v>
      </c>
      <c r="AT3" s="49">
        <f t="shared" si="9"/>
        <v>4933.3333333333339</v>
      </c>
      <c r="AU3" s="49">
        <f t="shared" si="9"/>
        <v>4933.3333333333339</v>
      </c>
      <c r="AV3" s="49">
        <f t="shared" si="9"/>
        <v>4933.3333333333339</v>
      </c>
      <c r="AW3" s="49">
        <f t="shared" si="9"/>
        <v>4933.3333333333339</v>
      </c>
      <c r="AX3" s="49">
        <f t="shared" si="9"/>
        <v>4933.3333333333339</v>
      </c>
      <c r="AY3" s="49">
        <f t="shared" si="9"/>
        <v>4933.3333333333339</v>
      </c>
      <c r="AZ3" s="49">
        <f t="shared" si="9"/>
        <v>4933.3333333333339</v>
      </c>
      <c r="BA3" s="49">
        <f t="shared" si="9"/>
        <v>4933.3333333333339</v>
      </c>
      <c r="BB3" s="49">
        <f t="shared" si="9"/>
        <v>4933.3333333333339</v>
      </c>
      <c r="BC3" s="49">
        <f t="shared" si="9"/>
        <v>4933.3333333333339</v>
      </c>
      <c r="BD3" s="49">
        <f t="shared" si="9"/>
        <v>4933.3333333333339</v>
      </c>
      <c r="BE3" s="49">
        <f t="shared" si="9"/>
        <v>4933.3333333333339</v>
      </c>
      <c r="BF3" s="49">
        <f t="shared" si="9"/>
        <v>4933.3333333333339</v>
      </c>
      <c r="BG3" s="49">
        <f t="shared" si="9"/>
        <v>4933.3333333333339</v>
      </c>
      <c r="BH3" s="49">
        <f t="shared" si="9"/>
        <v>4933.3333333333339</v>
      </c>
      <c r="BI3" s="49">
        <f t="shared" si="9"/>
        <v>4933.3333333333339</v>
      </c>
      <c r="BJ3" s="49">
        <f t="shared" si="9"/>
        <v>4933.3333333333339</v>
      </c>
      <c r="BK3" s="49">
        <f t="shared" si="9"/>
        <v>4933.3333333333339</v>
      </c>
      <c r="BL3" s="49">
        <f t="shared" si="9"/>
        <v>4933.3333333333339</v>
      </c>
      <c r="BM3" s="49">
        <f t="shared" si="9"/>
        <v>4933.3333333333339</v>
      </c>
      <c r="BN3" s="49">
        <f t="shared" si="9"/>
        <v>4933.3333333333339</v>
      </c>
      <c r="BO3" s="49">
        <f t="shared" si="9"/>
        <v>4933.3333333333339</v>
      </c>
      <c r="BP3" s="49">
        <f t="shared" ref="BP3:CU3" si="10">BO3</f>
        <v>4933.3333333333339</v>
      </c>
      <c r="BQ3" s="49">
        <f t="shared" si="10"/>
        <v>4933.3333333333339</v>
      </c>
      <c r="BR3" s="49">
        <f t="shared" si="10"/>
        <v>4933.3333333333339</v>
      </c>
      <c r="BS3" s="49">
        <f t="shared" si="10"/>
        <v>4933.3333333333339</v>
      </c>
      <c r="BT3" s="49">
        <f t="shared" si="10"/>
        <v>4933.3333333333339</v>
      </c>
      <c r="BU3" s="49">
        <f t="shared" si="10"/>
        <v>4933.3333333333339</v>
      </c>
      <c r="BV3" s="49">
        <f t="shared" si="10"/>
        <v>4933.3333333333339</v>
      </c>
      <c r="BW3" s="49">
        <f t="shared" si="10"/>
        <v>4933.3333333333339</v>
      </c>
      <c r="BX3" s="49">
        <f t="shared" si="10"/>
        <v>4933.3333333333339</v>
      </c>
      <c r="BY3" s="49">
        <f t="shared" si="10"/>
        <v>4933.3333333333339</v>
      </c>
      <c r="BZ3" s="49">
        <f t="shared" si="10"/>
        <v>4933.3333333333339</v>
      </c>
      <c r="CA3" s="49">
        <f t="shared" si="10"/>
        <v>4933.3333333333339</v>
      </c>
      <c r="CB3" s="49">
        <f t="shared" si="10"/>
        <v>4933.3333333333339</v>
      </c>
      <c r="CC3" s="49">
        <f t="shared" si="10"/>
        <v>4933.3333333333339</v>
      </c>
      <c r="CD3" s="49">
        <f t="shared" si="10"/>
        <v>4933.3333333333339</v>
      </c>
      <c r="CE3" s="49">
        <f t="shared" si="10"/>
        <v>4933.3333333333339</v>
      </c>
      <c r="CF3" s="49">
        <f t="shared" si="10"/>
        <v>4933.3333333333339</v>
      </c>
      <c r="CG3" s="49">
        <f t="shared" si="10"/>
        <v>4933.3333333333339</v>
      </c>
      <c r="CH3" s="49">
        <f t="shared" si="10"/>
        <v>4933.3333333333339</v>
      </c>
      <c r="CI3" s="49">
        <f t="shared" si="10"/>
        <v>4933.3333333333339</v>
      </c>
      <c r="CJ3" s="49">
        <f t="shared" si="10"/>
        <v>4933.3333333333339</v>
      </c>
      <c r="CK3" s="49">
        <f t="shared" si="10"/>
        <v>4933.3333333333339</v>
      </c>
      <c r="CL3" s="49">
        <f t="shared" si="10"/>
        <v>4933.3333333333339</v>
      </c>
      <c r="CM3" s="49">
        <f t="shared" si="10"/>
        <v>4933.3333333333339</v>
      </c>
      <c r="CN3" s="49">
        <f t="shared" si="10"/>
        <v>4933.3333333333339</v>
      </c>
      <c r="CO3" s="49">
        <f t="shared" si="10"/>
        <v>4933.3333333333339</v>
      </c>
      <c r="CP3" s="49">
        <f t="shared" si="10"/>
        <v>4933.3333333333339</v>
      </c>
      <c r="CQ3" s="49">
        <f t="shared" si="10"/>
        <v>4933.3333333333339</v>
      </c>
      <c r="CR3" s="49">
        <f t="shared" si="10"/>
        <v>4933.3333333333339</v>
      </c>
      <c r="CS3" s="49">
        <f t="shared" si="10"/>
        <v>4933.3333333333339</v>
      </c>
      <c r="CT3" s="49">
        <f t="shared" si="10"/>
        <v>4933.3333333333339</v>
      </c>
      <c r="CU3" s="49">
        <f t="shared" si="10"/>
        <v>4933.3333333333339</v>
      </c>
      <c r="CV3" s="49">
        <f t="shared" ref="CV3:EA3" si="11">CU3</f>
        <v>4933.3333333333339</v>
      </c>
      <c r="CW3" s="49">
        <f t="shared" si="11"/>
        <v>4933.3333333333339</v>
      </c>
      <c r="CX3" s="49">
        <f t="shared" si="11"/>
        <v>4933.3333333333339</v>
      </c>
      <c r="CY3" s="49">
        <f t="shared" si="11"/>
        <v>4933.3333333333339</v>
      </c>
      <c r="CZ3" s="49">
        <f t="shared" si="11"/>
        <v>4933.3333333333339</v>
      </c>
      <c r="DA3" s="49">
        <f t="shared" si="11"/>
        <v>4933.3333333333339</v>
      </c>
      <c r="DB3" s="49">
        <f t="shared" si="11"/>
        <v>4933.3333333333339</v>
      </c>
      <c r="DC3" s="49">
        <f t="shared" si="11"/>
        <v>4933.3333333333339</v>
      </c>
      <c r="DD3" s="49">
        <f t="shared" si="11"/>
        <v>4933.3333333333339</v>
      </c>
      <c r="DE3" s="49">
        <f t="shared" si="11"/>
        <v>4933.3333333333339</v>
      </c>
      <c r="DF3" s="49">
        <f t="shared" si="11"/>
        <v>4933.3333333333339</v>
      </c>
      <c r="DG3" s="49">
        <f t="shared" si="11"/>
        <v>4933.3333333333339</v>
      </c>
      <c r="DH3" s="49">
        <f t="shared" si="11"/>
        <v>4933.3333333333339</v>
      </c>
      <c r="DI3" s="49">
        <f t="shared" si="11"/>
        <v>4933.3333333333339</v>
      </c>
      <c r="DJ3" s="49">
        <f t="shared" si="11"/>
        <v>4933.3333333333339</v>
      </c>
      <c r="DK3" s="49">
        <f t="shared" si="11"/>
        <v>4933.3333333333339</v>
      </c>
      <c r="DL3" s="49">
        <f t="shared" si="11"/>
        <v>4933.3333333333339</v>
      </c>
      <c r="DM3" s="49">
        <f t="shared" si="11"/>
        <v>4933.3333333333339</v>
      </c>
      <c r="DN3" s="49">
        <f t="shared" si="11"/>
        <v>4933.3333333333339</v>
      </c>
      <c r="DO3" s="49">
        <f t="shared" si="11"/>
        <v>4933.3333333333339</v>
      </c>
      <c r="DP3" s="49">
        <f t="shared" si="11"/>
        <v>4933.3333333333339</v>
      </c>
      <c r="DQ3" s="49">
        <f t="shared" si="11"/>
        <v>4933.3333333333339</v>
      </c>
      <c r="DR3" s="49">
        <f t="shared" si="11"/>
        <v>4933.3333333333339</v>
      </c>
      <c r="DS3" s="49">
        <f t="shared" si="11"/>
        <v>4933.3333333333339</v>
      </c>
      <c r="DT3" s="49">
        <f t="shared" si="11"/>
        <v>4933.3333333333339</v>
      </c>
      <c r="DU3" s="49">
        <f t="shared" si="11"/>
        <v>4933.3333333333339</v>
      </c>
      <c r="DV3" s="49">
        <f t="shared" si="11"/>
        <v>4933.3333333333339</v>
      </c>
      <c r="DW3" s="49">
        <f t="shared" si="11"/>
        <v>4933.3333333333339</v>
      </c>
      <c r="DX3" s="49">
        <f t="shared" si="11"/>
        <v>4933.3333333333339</v>
      </c>
      <c r="DY3" s="49">
        <f t="shared" si="11"/>
        <v>4933.3333333333339</v>
      </c>
      <c r="DZ3" s="49">
        <f t="shared" si="11"/>
        <v>4933.3333333333339</v>
      </c>
      <c r="EA3" s="49">
        <f t="shared" si="11"/>
        <v>4933.3333333333339</v>
      </c>
      <c r="EB3" s="49">
        <f t="shared" ref="EB3:FL3" si="12">EA3</f>
        <v>4933.3333333333339</v>
      </c>
      <c r="EC3" s="49">
        <f t="shared" si="12"/>
        <v>4933.3333333333339</v>
      </c>
      <c r="ED3" s="49">
        <f t="shared" si="12"/>
        <v>4933.3333333333339</v>
      </c>
      <c r="EE3" s="49">
        <f t="shared" si="12"/>
        <v>4933.3333333333339</v>
      </c>
      <c r="EF3" s="49">
        <f t="shared" si="12"/>
        <v>4933.3333333333339</v>
      </c>
      <c r="EG3" s="49">
        <f t="shared" si="12"/>
        <v>4933.3333333333339</v>
      </c>
      <c r="EH3" s="49">
        <f t="shared" si="12"/>
        <v>4933.3333333333339</v>
      </c>
      <c r="EI3" s="49">
        <f t="shared" si="12"/>
        <v>4933.3333333333339</v>
      </c>
      <c r="EJ3" s="49">
        <f t="shared" si="12"/>
        <v>4933.3333333333339</v>
      </c>
      <c r="EK3" s="49">
        <f t="shared" si="12"/>
        <v>4933.3333333333339</v>
      </c>
      <c r="EL3" s="49">
        <f t="shared" si="12"/>
        <v>4933.3333333333339</v>
      </c>
      <c r="EM3" s="49">
        <f t="shared" si="12"/>
        <v>4933.3333333333339</v>
      </c>
      <c r="EN3" s="49">
        <f t="shared" si="12"/>
        <v>4933.3333333333339</v>
      </c>
      <c r="EO3" s="49">
        <f t="shared" si="12"/>
        <v>4933.3333333333339</v>
      </c>
      <c r="EP3" s="49">
        <f t="shared" si="12"/>
        <v>4933.3333333333339</v>
      </c>
      <c r="EQ3" s="49">
        <f t="shared" si="12"/>
        <v>4933.3333333333339</v>
      </c>
      <c r="ER3" s="49">
        <f t="shared" si="12"/>
        <v>4933.3333333333339</v>
      </c>
      <c r="ES3" s="49">
        <f t="shared" si="12"/>
        <v>4933.3333333333339</v>
      </c>
      <c r="ET3" s="49">
        <f t="shared" si="12"/>
        <v>4933.3333333333339</v>
      </c>
      <c r="EU3" s="49">
        <f t="shared" si="12"/>
        <v>4933.3333333333339</v>
      </c>
      <c r="EV3" s="49">
        <f t="shared" si="12"/>
        <v>4933.3333333333339</v>
      </c>
      <c r="EW3" s="49">
        <f t="shared" si="12"/>
        <v>4933.3333333333339</v>
      </c>
      <c r="EX3" s="49">
        <f t="shared" si="12"/>
        <v>4933.3333333333339</v>
      </c>
      <c r="EY3" s="49">
        <f t="shared" si="12"/>
        <v>4933.3333333333339</v>
      </c>
      <c r="EZ3" s="49">
        <f t="shared" si="12"/>
        <v>4933.3333333333339</v>
      </c>
      <c r="FA3" s="49">
        <f t="shared" si="12"/>
        <v>4933.3333333333339</v>
      </c>
      <c r="FB3" s="49">
        <f t="shared" si="12"/>
        <v>4933.3333333333339</v>
      </c>
      <c r="FC3" s="49">
        <f t="shared" si="12"/>
        <v>4933.3333333333339</v>
      </c>
      <c r="FD3" s="49">
        <f t="shared" si="12"/>
        <v>4933.3333333333339</v>
      </c>
      <c r="FE3" s="49">
        <f t="shared" si="12"/>
        <v>4933.3333333333339</v>
      </c>
      <c r="FF3" s="49">
        <f t="shared" si="12"/>
        <v>4933.3333333333339</v>
      </c>
      <c r="FG3" s="49">
        <f t="shared" si="12"/>
        <v>4933.3333333333339</v>
      </c>
      <c r="FH3" s="49">
        <f t="shared" si="12"/>
        <v>4933.3333333333339</v>
      </c>
      <c r="FI3" s="49">
        <f t="shared" si="12"/>
        <v>4933.3333333333339</v>
      </c>
      <c r="FJ3" s="49">
        <f t="shared" si="12"/>
        <v>4933.3333333333339</v>
      </c>
      <c r="FK3" s="49">
        <f t="shared" si="12"/>
        <v>4933.3333333333339</v>
      </c>
      <c r="FL3" s="49">
        <f t="shared" si="12"/>
        <v>4933.3333333333339</v>
      </c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96"/>
      <c r="GB3" s="96"/>
      <c r="GC3" s="96"/>
      <c r="GD3" s="96"/>
      <c r="GE3" s="96"/>
      <c r="GF3" s="96"/>
      <c r="GG3" s="96"/>
      <c r="GH3" s="96"/>
      <c r="GI3" s="96"/>
      <c r="GJ3" s="96"/>
    </row>
    <row r="4" spans="1:192" x14ac:dyDescent="0.3">
      <c r="A4" s="92">
        <v>106028776</v>
      </c>
      <c r="B4" s="96" t="s">
        <v>53</v>
      </c>
      <c r="C4" s="1">
        <f>VLOOKUP(A4,FORECAST!D:W,20,FALSE)*2000</f>
        <v>5666.666666666667</v>
      </c>
      <c r="D4" s="49">
        <f t="shared" ref="D4:AI4" si="13">C4</f>
        <v>5666.666666666667</v>
      </c>
      <c r="E4" s="49">
        <f t="shared" si="13"/>
        <v>5666.666666666667</v>
      </c>
      <c r="F4" s="49">
        <f t="shared" si="13"/>
        <v>5666.666666666667</v>
      </c>
      <c r="G4" s="49">
        <f t="shared" si="13"/>
        <v>5666.666666666667</v>
      </c>
      <c r="H4" s="49">
        <f t="shared" si="13"/>
        <v>5666.666666666667</v>
      </c>
      <c r="I4" s="49">
        <f t="shared" si="13"/>
        <v>5666.666666666667</v>
      </c>
      <c r="J4" s="49">
        <f t="shared" si="13"/>
        <v>5666.666666666667</v>
      </c>
      <c r="K4" s="49">
        <f t="shared" si="13"/>
        <v>5666.666666666667</v>
      </c>
      <c r="L4" s="49">
        <f t="shared" si="13"/>
        <v>5666.666666666667</v>
      </c>
      <c r="M4" s="49">
        <f t="shared" si="13"/>
        <v>5666.666666666667</v>
      </c>
      <c r="N4" s="49">
        <f t="shared" si="13"/>
        <v>5666.666666666667</v>
      </c>
      <c r="O4" s="49">
        <f t="shared" si="13"/>
        <v>5666.666666666667</v>
      </c>
      <c r="P4" s="49">
        <f t="shared" si="13"/>
        <v>5666.666666666667</v>
      </c>
      <c r="Q4" s="49">
        <f t="shared" si="13"/>
        <v>5666.666666666667</v>
      </c>
      <c r="R4" s="49">
        <f t="shared" si="13"/>
        <v>5666.666666666667</v>
      </c>
      <c r="S4" s="49">
        <f t="shared" si="13"/>
        <v>5666.666666666667</v>
      </c>
      <c r="T4" s="49">
        <f t="shared" si="13"/>
        <v>5666.666666666667</v>
      </c>
      <c r="U4" s="49">
        <f t="shared" si="13"/>
        <v>5666.666666666667</v>
      </c>
      <c r="V4" s="49">
        <f t="shared" si="13"/>
        <v>5666.666666666667</v>
      </c>
      <c r="W4" s="49">
        <f t="shared" si="13"/>
        <v>5666.666666666667</v>
      </c>
      <c r="X4" s="49">
        <f t="shared" si="13"/>
        <v>5666.666666666667</v>
      </c>
      <c r="Y4" s="49">
        <f t="shared" si="13"/>
        <v>5666.666666666667</v>
      </c>
      <c r="Z4" s="49">
        <f t="shared" si="13"/>
        <v>5666.666666666667</v>
      </c>
      <c r="AA4" s="49">
        <f t="shared" si="13"/>
        <v>5666.666666666667</v>
      </c>
      <c r="AB4" s="49">
        <f t="shared" si="13"/>
        <v>5666.666666666667</v>
      </c>
      <c r="AC4" s="49">
        <f t="shared" si="13"/>
        <v>5666.666666666667</v>
      </c>
      <c r="AD4" s="49">
        <f t="shared" si="13"/>
        <v>5666.666666666667</v>
      </c>
      <c r="AE4" s="49">
        <f t="shared" si="13"/>
        <v>5666.666666666667</v>
      </c>
      <c r="AF4" s="49">
        <f t="shared" si="13"/>
        <v>5666.666666666667</v>
      </c>
      <c r="AG4" s="49">
        <f t="shared" si="13"/>
        <v>5666.666666666667</v>
      </c>
      <c r="AH4" s="49">
        <f t="shared" si="13"/>
        <v>5666.666666666667</v>
      </c>
      <c r="AI4" s="49">
        <f t="shared" si="13"/>
        <v>5666.666666666667</v>
      </c>
      <c r="AJ4" s="49">
        <f t="shared" ref="AJ4:BO4" si="14">AI4</f>
        <v>5666.666666666667</v>
      </c>
      <c r="AK4" s="49">
        <f t="shared" si="14"/>
        <v>5666.666666666667</v>
      </c>
      <c r="AL4" s="49">
        <f t="shared" si="14"/>
        <v>5666.666666666667</v>
      </c>
      <c r="AM4" s="49">
        <f t="shared" si="14"/>
        <v>5666.666666666667</v>
      </c>
      <c r="AN4" s="49">
        <f t="shared" si="14"/>
        <v>5666.666666666667</v>
      </c>
      <c r="AO4" s="49">
        <f t="shared" si="14"/>
        <v>5666.666666666667</v>
      </c>
      <c r="AP4" s="49">
        <f t="shared" si="14"/>
        <v>5666.666666666667</v>
      </c>
      <c r="AQ4" s="49">
        <f t="shared" si="14"/>
        <v>5666.666666666667</v>
      </c>
      <c r="AR4" s="49">
        <f t="shared" si="14"/>
        <v>5666.666666666667</v>
      </c>
      <c r="AS4" s="49">
        <f t="shared" si="14"/>
        <v>5666.666666666667</v>
      </c>
      <c r="AT4" s="49">
        <f t="shared" si="14"/>
        <v>5666.666666666667</v>
      </c>
      <c r="AU4" s="49">
        <f t="shared" si="14"/>
        <v>5666.666666666667</v>
      </c>
      <c r="AV4" s="49">
        <f t="shared" si="14"/>
        <v>5666.666666666667</v>
      </c>
      <c r="AW4" s="49">
        <f t="shared" si="14"/>
        <v>5666.666666666667</v>
      </c>
      <c r="AX4" s="49">
        <f t="shared" si="14"/>
        <v>5666.666666666667</v>
      </c>
      <c r="AY4" s="49">
        <f t="shared" si="14"/>
        <v>5666.666666666667</v>
      </c>
      <c r="AZ4" s="49">
        <f t="shared" si="14"/>
        <v>5666.666666666667</v>
      </c>
      <c r="BA4" s="49">
        <f t="shared" si="14"/>
        <v>5666.666666666667</v>
      </c>
      <c r="BB4" s="49">
        <f t="shared" si="14"/>
        <v>5666.666666666667</v>
      </c>
      <c r="BC4" s="49">
        <f t="shared" si="14"/>
        <v>5666.666666666667</v>
      </c>
      <c r="BD4" s="49">
        <f t="shared" si="14"/>
        <v>5666.666666666667</v>
      </c>
      <c r="BE4" s="49">
        <f t="shared" si="14"/>
        <v>5666.666666666667</v>
      </c>
      <c r="BF4" s="49">
        <f t="shared" si="14"/>
        <v>5666.666666666667</v>
      </c>
      <c r="BG4" s="49">
        <f t="shared" si="14"/>
        <v>5666.666666666667</v>
      </c>
      <c r="BH4" s="49">
        <f t="shared" si="14"/>
        <v>5666.666666666667</v>
      </c>
      <c r="BI4" s="49">
        <f t="shared" si="14"/>
        <v>5666.666666666667</v>
      </c>
      <c r="BJ4" s="49">
        <f t="shared" si="14"/>
        <v>5666.666666666667</v>
      </c>
      <c r="BK4" s="49">
        <f t="shared" si="14"/>
        <v>5666.666666666667</v>
      </c>
      <c r="BL4" s="49">
        <f t="shared" si="14"/>
        <v>5666.666666666667</v>
      </c>
      <c r="BM4" s="49">
        <f t="shared" si="14"/>
        <v>5666.666666666667</v>
      </c>
      <c r="BN4" s="49">
        <f t="shared" si="14"/>
        <v>5666.666666666667</v>
      </c>
      <c r="BO4" s="49">
        <f t="shared" si="14"/>
        <v>5666.666666666667</v>
      </c>
      <c r="BP4" s="49">
        <f t="shared" ref="BP4:CU4" si="15">BO4</f>
        <v>5666.666666666667</v>
      </c>
      <c r="BQ4" s="49">
        <f t="shared" si="15"/>
        <v>5666.666666666667</v>
      </c>
      <c r="BR4" s="49">
        <f t="shared" si="15"/>
        <v>5666.666666666667</v>
      </c>
      <c r="BS4" s="49">
        <f t="shared" si="15"/>
        <v>5666.666666666667</v>
      </c>
      <c r="BT4" s="49">
        <f t="shared" si="15"/>
        <v>5666.666666666667</v>
      </c>
      <c r="BU4" s="49">
        <f t="shared" si="15"/>
        <v>5666.666666666667</v>
      </c>
      <c r="BV4" s="49">
        <f t="shared" si="15"/>
        <v>5666.666666666667</v>
      </c>
      <c r="BW4" s="49">
        <f t="shared" si="15"/>
        <v>5666.666666666667</v>
      </c>
      <c r="BX4" s="49">
        <f t="shared" si="15"/>
        <v>5666.666666666667</v>
      </c>
      <c r="BY4" s="49">
        <f t="shared" si="15"/>
        <v>5666.666666666667</v>
      </c>
      <c r="BZ4" s="49">
        <f t="shared" si="15"/>
        <v>5666.666666666667</v>
      </c>
      <c r="CA4" s="49">
        <f t="shared" si="15"/>
        <v>5666.666666666667</v>
      </c>
      <c r="CB4" s="49">
        <f t="shared" si="15"/>
        <v>5666.666666666667</v>
      </c>
      <c r="CC4" s="49">
        <f t="shared" si="15"/>
        <v>5666.666666666667</v>
      </c>
      <c r="CD4" s="49">
        <f t="shared" si="15"/>
        <v>5666.666666666667</v>
      </c>
      <c r="CE4" s="49">
        <f t="shared" si="15"/>
        <v>5666.666666666667</v>
      </c>
      <c r="CF4" s="49">
        <f t="shared" si="15"/>
        <v>5666.666666666667</v>
      </c>
      <c r="CG4" s="49">
        <f t="shared" si="15"/>
        <v>5666.666666666667</v>
      </c>
      <c r="CH4" s="49">
        <f t="shared" si="15"/>
        <v>5666.666666666667</v>
      </c>
      <c r="CI4" s="49">
        <f t="shared" si="15"/>
        <v>5666.666666666667</v>
      </c>
      <c r="CJ4" s="49">
        <f t="shared" si="15"/>
        <v>5666.666666666667</v>
      </c>
      <c r="CK4" s="49">
        <f t="shared" si="15"/>
        <v>5666.666666666667</v>
      </c>
      <c r="CL4" s="49">
        <f t="shared" si="15"/>
        <v>5666.666666666667</v>
      </c>
      <c r="CM4" s="49">
        <f t="shared" si="15"/>
        <v>5666.666666666667</v>
      </c>
      <c r="CN4" s="49">
        <f t="shared" si="15"/>
        <v>5666.666666666667</v>
      </c>
      <c r="CO4" s="49">
        <f t="shared" si="15"/>
        <v>5666.666666666667</v>
      </c>
      <c r="CP4" s="49">
        <f t="shared" si="15"/>
        <v>5666.666666666667</v>
      </c>
      <c r="CQ4" s="49">
        <f t="shared" si="15"/>
        <v>5666.666666666667</v>
      </c>
      <c r="CR4" s="49">
        <f t="shared" si="15"/>
        <v>5666.666666666667</v>
      </c>
      <c r="CS4" s="49">
        <f t="shared" si="15"/>
        <v>5666.666666666667</v>
      </c>
      <c r="CT4" s="49">
        <f t="shared" si="15"/>
        <v>5666.666666666667</v>
      </c>
      <c r="CU4" s="49">
        <f t="shared" si="15"/>
        <v>5666.666666666667</v>
      </c>
      <c r="CV4" s="49">
        <f t="shared" ref="CV4:EA4" si="16">CU4</f>
        <v>5666.666666666667</v>
      </c>
      <c r="CW4" s="49">
        <f t="shared" si="16"/>
        <v>5666.666666666667</v>
      </c>
      <c r="CX4" s="49">
        <f t="shared" si="16"/>
        <v>5666.666666666667</v>
      </c>
      <c r="CY4" s="49">
        <f t="shared" si="16"/>
        <v>5666.666666666667</v>
      </c>
      <c r="CZ4" s="49">
        <f t="shared" si="16"/>
        <v>5666.666666666667</v>
      </c>
      <c r="DA4" s="49">
        <f t="shared" si="16"/>
        <v>5666.666666666667</v>
      </c>
      <c r="DB4" s="49">
        <f t="shared" si="16"/>
        <v>5666.666666666667</v>
      </c>
      <c r="DC4" s="49">
        <f t="shared" si="16"/>
        <v>5666.666666666667</v>
      </c>
      <c r="DD4" s="49">
        <f t="shared" si="16"/>
        <v>5666.666666666667</v>
      </c>
      <c r="DE4" s="49">
        <f t="shared" si="16"/>
        <v>5666.666666666667</v>
      </c>
      <c r="DF4" s="49">
        <f t="shared" si="16"/>
        <v>5666.666666666667</v>
      </c>
      <c r="DG4" s="49">
        <f t="shared" si="16"/>
        <v>5666.666666666667</v>
      </c>
      <c r="DH4" s="49">
        <f t="shared" si="16"/>
        <v>5666.666666666667</v>
      </c>
      <c r="DI4" s="49">
        <f t="shared" si="16"/>
        <v>5666.666666666667</v>
      </c>
      <c r="DJ4" s="49">
        <f t="shared" si="16"/>
        <v>5666.666666666667</v>
      </c>
      <c r="DK4" s="49">
        <f t="shared" si="16"/>
        <v>5666.666666666667</v>
      </c>
      <c r="DL4" s="49">
        <f t="shared" si="16"/>
        <v>5666.666666666667</v>
      </c>
      <c r="DM4" s="49">
        <f t="shared" si="16"/>
        <v>5666.666666666667</v>
      </c>
      <c r="DN4" s="49">
        <f t="shared" si="16"/>
        <v>5666.666666666667</v>
      </c>
      <c r="DO4" s="49">
        <f t="shared" si="16"/>
        <v>5666.666666666667</v>
      </c>
      <c r="DP4" s="49">
        <f t="shared" si="16"/>
        <v>5666.666666666667</v>
      </c>
      <c r="DQ4" s="49">
        <f t="shared" si="16"/>
        <v>5666.666666666667</v>
      </c>
      <c r="DR4" s="49">
        <f t="shared" si="16"/>
        <v>5666.666666666667</v>
      </c>
      <c r="DS4" s="49">
        <f t="shared" si="16"/>
        <v>5666.666666666667</v>
      </c>
      <c r="DT4" s="49">
        <f t="shared" si="16"/>
        <v>5666.666666666667</v>
      </c>
      <c r="DU4" s="49">
        <f t="shared" si="16"/>
        <v>5666.666666666667</v>
      </c>
      <c r="DV4" s="49">
        <f t="shared" si="16"/>
        <v>5666.666666666667</v>
      </c>
      <c r="DW4" s="49">
        <f t="shared" si="16"/>
        <v>5666.666666666667</v>
      </c>
      <c r="DX4" s="49">
        <f t="shared" si="16"/>
        <v>5666.666666666667</v>
      </c>
      <c r="DY4" s="49">
        <f t="shared" si="16"/>
        <v>5666.666666666667</v>
      </c>
      <c r="DZ4" s="49">
        <f t="shared" si="16"/>
        <v>5666.666666666667</v>
      </c>
      <c r="EA4" s="49">
        <f t="shared" si="16"/>
        <v>5666.666666666667</v>
      </c>
      <c r="EB4" s="49">
        <f t="shared" ref="EB4:FL4" si="17">EA4</f>
        <v>5666.666666666667</v>
      </c>
      <c r="EC4" s="49">
        <f t="shared" si="17"/>
        <v>5666.666666666667</v>
      </c>
      <c r="ED4" s="49">
        <f t="shared" si="17"/>
        <v>5666.666666666667</v>
      </c>
      <c r="EE4" s="49">
        <f t="shared" si="17"/>
        <v>5666.666666666667</v>
      </c>
      <c r="EF4" s="49">
        <f t="shared" si="17"/>
        <v>5666.666666666667</v>
      </c>
      <c r="EG4" s="49">
        <f t="shared" si="17"/>
        <v>5666.666666666667</v>
      </c>
      <c r="EH4" s="49">
        <f t="shared" si="17"/>
        <v>5666.666666666667</v>
      </c>
      <c r="EI4" s="49">
        <f t="shared" si="17"/>
        <v>5666.666666666667</v>
      </c>
      <c r="EJ4" s="49">
        <f t="shared" si="17"/>
        <v>5666.666666666667</v>
      </c>
      <c r="EK4" s="49">
        <f t="shared" si="17"/>
        <v>5666.666666666667</v>
      </c>
      <c r="EL4" s="49">
        <f t="shared" si="17"/>
        <v>5666.666666666667</v>
      </c>
      <c r="EM4" s="49">
        <f t="shared" si="17"/>
        <v>5666.666666666667</v>
      </c>
      <c r="EN4" s="49">
        <f t="shared" si="17"/>
        <v>5666.666666666667</v>
      </c>
      <c r="EO4" s="49">
        <f t="shared" si="17"/>
        <v>5666.666666666667</v>
      </c>
      <c r="EP4" s="49">
        <f t="shared" si="17"/>
        <v>5666.666666666667</v>
      </c>
      <c r="EQ4" s="49">
        <f t="shared" si="17"/>
        <v>5666.666666666667</v>
      </c>
      <c r="ER4" s="49">
        <f t="shared" si="17"/>
        <v>5666.666666666667</v>
      </c>
      <c r="ES4" s="49">
        <f t="shared" si="17"/>
        <v>5666.666666666667</v>
      </c>
      <c r="ET4" s="49">
        <f t="shared" si="17"/>
        <v>5666.666666666667</v>
      </c>
      <c r="EU4" s="49">
        <f t="shared" si="17"/>
        <v>5666.666666666667</v>
      </c>
      <c r="EV4" s="49">
        <f t="shared" si="17"/>
        <v>5666.666666666667</v>
      </c>
      <c r="EW4" s="49">
        <f t="shared" si="17"/>
        <v>5666.666666666667</v>
      </c>
      <c r="EX4" s="49">
        <f t="shared" si="17"/>
        <v>5666.666666666667</v>
      </c>
      <c r="EY4" s="49">
        <f t="shared" si="17"/>
        <v>5666.666666666667</v>
      </c>
      <c r="EZ4" s="49">
        <f t="shared" si="17"/>
        <v>5666.666666666667</v>
      </c>
      <c r="FA4" s="49">
        <f t="shared" si="17"/>
        <v>5666.666666666667</v>
      </c>
      <c r="FB4" s="49">
        <f t="shared" si="17"/>
        <v>5666.666666666667</v>
      </c>
      <c r="FC4" s="49">
        <f t="shared" si="17"/>
        <v>5666.666666666667</v>
      </c>
      <c r="FD4" s="49">
        <f t="shared" si="17"/>
        <v>5666.666666666667</v>
      </c>
      <c r="FE4" s="49">
        <f t="shared" si="17"/>
        <v>5666.666666666667</v>
      </c>
      <c r="FF4" s="49">
        <f t="shared" si="17"/>
        <v>5666.666666666667</v>
      </c>
      <c r="FG4" s="49">
        <f t="shared" si="17"/>
        <v>5666.666666666667</v>
      </c>
      <c r="FH4" s="49">
        <f t="shared" si="17"/>
        <v>5666.666666666667</v>
      </c>
      <c r="FI4" s="49">
        <f t="shared" si="17"/>
        <v>5666.666666666667</v>
      </c>
      <c r="FJ4" s="49">
        <f t="shared" si="17"/>
        <v>5666.666666666667</v>
      </c>
      <c r="FK4" s="49">
        <f t="shared" si="17"/>
        <v>5666.666666666667</v>
      </c>
      <c r="FL4" s="49">
        <f t="shared" si="17"/>
        <v>5666.666666666667</v>
      </c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96"/>
      <c r="GB4" s="96"/>
      <c r="GC4" s="96"/>
      <c r="GD4" s="96"/>
      <c r="GE4" s="96"/>
      <c r="GF4" s="96"/>
      <c r="GG4" s="96"/>
      <c r="GH4" s="96"/>
      <c r="GI4" s="96"/>
      <c r="GJ4" s="96"/>
    </row>
    <row r="5" spans="1:192" x14ac:dyDescent="0.3">
      <c r="A5" s="92">
        <v>106029012</v>
      </c>
      <c r="B5" s="96" t="s">
        <v>53</v>
      </c>
      <c r="C5" s="1">
        <f>VLOOKUP(A5,FORECAST!D:W,20,FALSE)*2000</f>
        <v>7000</v>
      </c>
      <c r="D5" s="49">
        <f t="shared" ref="D5:AI5" si="18">C5</f>
        <v>7000</v>
      </c>
      <c r="E5" s="49">
        <f t="shared" si="18"/>
        <v>7000</v>
      </c>
      <c r="F5" s="49">
        <f t="shared" si="18"/>
        <v>7000</v>
      </c>
      <c r="G5" s="49">
        <f t="shared" si="18"/>
        <v>7000</v>
      </c>
      <c r="H5" s="49">
        <f t="shared" si="18"/>
        <v>7000</v>
      </c>
      <c r="I5" s="49">
        <f t="shared" si="18"/>
        <v>7000</v>
      </c>
      <c r="J5" s="49">
        <f t="shared" si="18"/>
        <v>7000</v>
      </c>
      <c r="K5" s="49">
        <f t="shared" si="18"/>
        <v>7000</v>
      </c>
      <c r="L5" s="49">
        <f t="shared" si="18"/>
        <v>7000</v>
      </c>
      <c r="M5" s="49">
        <f t="shared" si="18"/>
        <v>7000</v>
      </c>
      <c r="N5" s="49">
        <f t="shared" si="18"/>
        <v>7000</v>
      </c>
      <c r="O5" s="49">
        <f t="shared" si="18"/>
        <v>7000</v>
      </c>
      <c r="P5" s="49">
        <f t="shared" si="18"/>
        <v>7000</v>
      </c>
      <c r="Q5" s="49">
        <f t="shared" si="18"/>
        <v>7000</v>
      </c>
      <c r="R5" s="49">
        <f t="shared" si="18"/>
        <v>7000</v>
      </c>
      <c r="S5" s="49">
        <f t="shared" si="18"/>
        <v>7000</v>
      </c>
      <c r="T5" s="49">
        <f t="shared" si="18"/>
        <v>7000</v>
      </c>
      <c r="U5" s="49">
        <f t="shared" si="18"/>
        <v>7000</v>
      </c>
      <c r="V5" s="49">
        <f t="shared" si="18"/>
        <v>7000</v>
      </c>
      <c r="W5" s="49">
        <f t="shared" si="18"/>
        <v>7000</v>
      </c>
      <c r="X5" s="49">
        <f t="shared" si="18"/>
        <v>7000</v>
      </c>
      <c r="Y5" s="49">
        <f t="shared" si="18"/>
        <v>7000</v>
      </c>
      <c r="Z5" s="49">
        <f t="shared" si="18"/>
        <v>7000</v>
      </c>
      <c r="AA5" s="49">
        <f t="shared" si="18"/>
        <v>7000</v>
      </c>
      <c r="AB5" s="49">
        <f t="shared" si="18"/>
        <v>7000</v>
      </c>
      <c r="AC5" s="49">
        <f t="shared" si="18"/>
        <v>7000</v>
      </c>
      <c r="AD5" s="49">
        <f t="shared" si="18"/>
        <v>7000</v>
      </c>
      <c r="AE5" s="49">
        <f t="shared" si="18"/>
        <v>7000</v>
      </c>
      <c r="AF5" s="49">
        <f t="shared" si="18"/>
        <v>7000</v>
      </c>
      <c r="AG5" s="49">
        <f t="shared" si="18"/>
        <v>7000</v>
      </c>
      <c r="AH5" s="49">
        <f t="shared" si="18"/>
        <v>7000</v>
      </c>
      <c r="AI5" s="49">
        <f t="shared" si="18"/>
        <v>7000</v>
      </c>
      <c r="AJ5" s="49">
        <f t="shared" ref="AJ5:BO5" si="19">AI5</f>
        <v>7000</v>
      </c>
      <c r="AK5" s="49">
        <f t="shared" si="19"/>
        <v>7000</v>
      </c>
      <c r="AL5" s="49">
        <f t="shared" si="19"/>
        <v>7000</v>
      </c>
      <c r="AM5" s="49">
        <f t="shared" si="19"/>
        <v>7000</v>
      </c>
      <c r="AN5" s="49">
        <f t="shared" si="19"/>
        <v>7000</v>
      </c>
      <c r="AO5" s="49">
        <f t="shared" si="19"/>
        <v>7000</v>
      </c>
      <c r="AP5" s="49">
        <f t="shared" si="19"/>
        <v>7000</v>
      </c>
      <c r="AQ5" s="49">
        <f t="shared" si="19"/>
        <v>7000</v>
      </c>
      <c r="AR5" s="49">
        <f t="shared" si="19"/>
        <v>7000</v>
      </c>
      <c r="AS5" s="49">
        <f t="shared" si="19"/>
        <v>7000</v>
      </c>
      <c r="AT5" s="49">
        <f t="shared" si="19"/>
        <v>7000</v>
      </c>
      <c r="AU5" s="49">
        <f t="shared" si="19"/>
        <v>7000</v>
      </c>
      <c r="AV5" s="49">
        <f t="shared" si="19"/>
        <v>7000</v>
      </c>
      <c r="AW5" s="49">
        <f t="shared" si="19"/>
        <v>7000</v>
      </c>
      <c r="AX5" s="49">
        <f t="shared" si="19"/>
        <v>7000</v>
      </c>
      <c r="AY5" s="49">
        <f t="shared" si="19"/>
        <v>7000</v>
      </c>
      <c r="AZ5" s="49">
        <f t="shared" si="19"/>
        <v>7000</v>
      </c>
      <c r="BA5" s="49">
        <f t="shared" si="19"/>
        <v>7000</v>
      </c>
      <c r="BB5" s="49">
        <f t="shared" si="19"/>
        <v>7000</v>
      </c>
      <c r="BC5" s="49">
        <f t="shared" si="19"/>
        <v>7000</v>
      </c>
      <c r="BD5" s="49">
        <f t="shared" si="19"/>
        <v>7000</v>
      </c>
      <c r="BE5" s="49">
        <f t="shared" si="19"/>
        <v>7000</v>
      </c>
      <c r="BF5" s="49">
        <f t="shared" si="19"/>
        <v>7000</v>
      </c>
      <c r="BG5" s="49">
        <f t="shared" si="19"/>
        <v>7000</v>
      </c>
      <c r="BH5" s="49">
        <f t="shared" si="19"/>
        <v>7000</v>
      </c>
      <c r="BI5" s="49">
        <f t="shared" si="19"/>
        <v>7000</v>
      </c>
      <c r="BJ5" s="49">
        <f t="shared" si="19"/>
        <v>7000</v>
      </c>
      <c r="BK5" s="49">
        <f t="shared" si="19"/>
        <v>7000</v>
      </c>
      <c r="BL5" s="49">
        <f t="shared" si="19"/>
        <v>7000</v>
      </c>
      <c r="BM5" s="49">
        <f t="shared" si="19"/>
        <v>7000</v>
      </c>
      <c r="BN5" s="49">
        <f t="shared" si="19"/>
        <v>7000</v>
      </c>
      <c r="BO5" s="49">
        <f t="shared" si="19"/>
        <v>7000</v>
      </c>
      <c r="BP5" s="49">
        <f t="shared" ref="BP5:CU5" si="20">BO5</f>
        <v>7000</v>
      </c>
      <c r="BQ5" s="49">
        <f t="shared" si="20"/>
        <v>7000</v>
      </c>
      <c r="BR5" s="49">
        <f t="shared" si="20"/>
        <v>7000</v>
      </c>
      <c r="BS5" s="49">
        <f t="shared" si="20"/>
        <v>7000</v>
      </c>
      <c r="BT5" s="49">
        <f t="shared" si="20"/>
        <v>7000</v>
      </c>
      <c r="BU5" s="49">
        <f t="shared" si="20"/>
        <v>7000</v>
      </c>
      <c r="BV5" s="49">
        <f t="shared" si="20"/>
        <v>7000</v>
      </c>
      <c r="BW5" s="49">
        <f t="shared" si="20"/>
        <v>7000</v>
      </c>
      <c r="BX5" s="49">
        <f t="shared" si="20"/>
        <v>7000</v>
      </c>
      <c r="BY5" s="49">
        <f t="shared" si="20"/>
        <v>7000</v>
      </c>
      <c r="BZ5" s="49">
        <f t="shared" si="20"/>
        <v>7000</v>
      </c>
      <c r="CA5" s="49">
        <f t="shared" si="20"/>
        <v>7000</v>
      </c>
      <c r="CB5" s="49">
        <f t="shared" si="20"/>
        <v>7000</v>
      </c>
      <c r="CC5" s="49">
        <f t="shared" si="20"/>
        <v>7000</v>
      </c>
      <c r="CD5" s="49">
        <f t="shared" si="20"/>
        <v>7000</v>
      </c>
      <c r="CE5" s="49">
        <f t="shared" si="20"/>
        <v>7000</v>
      </c>
      <c r="CF5" s="49">
        <f t="shared" si="20"/>
        <v>7000</v>
      </c>
      <c r="CG5" s="49">
        <f t="shared" si="20"/>
        <v>7000</v>
      </c>
      <c r="CH5" s="49">
        <f t="shared" si="20"/>
        <v>7000</v>
      </c>
      <c r="CI5" s="49">
        <f t="shared" si="20"/>
        <v>7000</v>
      </c>
      <c r="CJ5" s="49">
        <f t="shared" si="20"/>
        <v>7000</v>
      </c>
      <c r="CK5" s="49">
        <f t="shared" si="20"/>
        <v>7000</v>
      </c>
      <c r="CL5" s="49">
        <f t="shared" si="20"/>
        <v>7000</v>
      </c>
      <c r="CM5" s="49">
        <f t="shared" si="20"/>
        <v>7000</v>
      </c>
      <c r="CN5" s="49">
        <f t="shared" si="20"/>
        <v>7000</v>
      </c>
      <c r="CO5" s="49">
        <f t="shared" si="20"/>
        <v>7000</v>
      </c>
      <c r="CP5" s="49">
        <f t="shared" si="20"/>
        <v>7000</v>
      </c>
      <c r="CQ5" s="49">
        <f t="shared" si="20"/>
        <v>7000</v>
      </c>
      <c r="CR5" s="49">
        <f t="shared" si="20"/>
        <v>7000</v>
      </c>
      <c r="CS5" s="49">
        <f t="shared" si="20"/>
        <v>7000</v>
      </c>
      <c r="CT5" s="49">
        <f t="shared" si="20"/>
        <v>7000</v>
      </c>
      <c r="CU5" s="49">
        <f t="shared" si="20"/>
        <v>7000</v>
      </c>
      <c r="CV5" s="49">
        <f t="shared" ref="CV5:EA5" si="21">CU5</f>
        <v>7000</v>
      </c>
      <c r="CW5" s="49">
        <f t="shared" si="21"/>
        <v>7000</v>
      </c>
      <c r="CX5" s="49">
        <f t="shared" si="21"/>
        <v>7000</v>
      </c>
      <c r="CY5" s="49">
        <f t="shared" si="21"/>
        <v>7000</v>
      </c>
      <c r="CZ5" s="49">
        <f t="shared" si="21"/>
        <v>7000</v>
      </c>
      <c r="DA5" s="49">
        <f t="shared" si="21"/>
        <v>7000</v>
      </c>
      <c r="DB5" s="49">
        <f t="shared" si="21"/>
        <v>7000</v>
      </c>
      <c r="DC5" s="49">
        <f t="shared" si="21"/>
        <v>7000</v>
      </c>
      <c r="DD5" s="49">
        <f t="shared" si="21"/>
        <v>7000</v>
      </c>
      <c r="DE5" s="49">
        <f t="shared" si="21"/>
        <v>7000</v>
      </c>
      <c r="DF5" s="49">
        <f t="shared" si="21"/>
        <v>7000</v>
      </c>
      <c r="DG5" s="49">
        <f t="shared" si="21"/>
        <v>7000</v>
      </c>
      <c r="DH5" s="49">
        <f t="shared" si="21"/>
        <v>7000</v>
      </c>
      <c r="DI5" s="49">
        <f t="shared" si="21"/>
        <v>7000</v>
      </c>
      <c r="DJ5" s="49">
        <f t="shared" si="21"/>
        <v>7000</v>
      </c>
      <c r="DK5" s="49">
        <f t="shared" si="21"/>
        <v>7000</v>
      </c>
      <c r="DL5" s="49">
        <f t="shared" si="21"/>
        <v>7000</v>
      </c>
      <c r="DM5" s="49">
        <f t="shared" si="21"/>
        <v>7000</v>
      </c>
      <c r="DN5" s="49">
        <f t="shared" si="21"/>
        <v>7000</v>
      </c>
      <c r="DO5" s="49">
        <f t="shared" si="21"/>
        <v>7000</v>
      </c>
      <c r="DP5" s="49">
        <f t="shared" si="21"/>
        <v>7000</v>
      </c>
      <c r="DQ5" s="49">
        <f t="shared" si="21"/>
        <v>7000</v>
      </c>
      <c r="DR5" s="49">
        <f t="shared" si="21"/>
        <v>7000</v>
      </c>
      <c r="DS5" s="49">
        <f t="shared" si="21"/>
        <v>7000</v>
      </c>
      <c r="DT5" s="49">
        <f t="shared" si="21"/>
        <v>7000</v>
      </c>
      <c r="DU5" s="49">
        <f t="shared" si="21"/>
        <v>7000</v>
      </c>
      <c r="DV5" s="49">
        <f t="shared" si="21"/>
        <v>7000</v>
      </c>
      <c r="DW5" s="49">
        <f t="shared" si="21"/>
        <v>7000</v>
      </c>
      <c r="DX5" s="49">
        <f t="shared" si="21"/>
        <v>7000</v>
      </c>
      <c r="DY5" s="49">
        <f t="shared" si="21"/>
        <v>7000</v>
      </c>
      <c r="DZ5" s="49">
        <f t="shared" si="21"/>
        <v>7000</v>
      </c>
      <c r="EA5" s="49">
        <f t="shared" si="21"/>
        <v>7000</v>
      </c>
      <c r="EB5" s="49">
        <f t="shared" ref="EB5:FL5" si="22">EA5</f>
        <v>7000</v>
      </c>
      <c r="EC5" s="49">
        <f t="shared" si="22"/>
        <v>7000</v>
      </c>
      <c r="ED5" s="49">
        <f t="shared" si="22"/>
        <v>7000</v>
      </c>
      <c r="EE5" s="49">
        <f t="shared" si="22"/>
        <v>7000</v>
      </c>
      <c r="EF5" s="49">
        <f t="shared" si="22"/>
        <v>7000</v>
      </c>
      <c r="EG5" s="49">
        <f t="shared" si="22"/>
        <v>7000</v>
      </c>
      <c r="EH5" s="49">
        <f t="shared" si="22"/>
        <v>7000</v>
      </c>
      <c r="EI5" s="49">
        <f t="shared" si="22"/>
        <v>7000</v>
      </c>
      <c r="EJ5" s="49">
        <f t="shared" si="22"/>
        <v>7000</v>
      </c>
      <c r="EK5" s="49">
        <f t="shared" si="22"/>
        <v>7000</v>
      </c>
      <c r="EL5" s="49">
        <f t="shared" si="22"/>
        <v>7000</v>
      </c>
      <c r="EM5" s="49">
        <f t="shared" si="22"/>
        <v>7000</v>
      </c>
      <c r="EN5" s="49">
        <f t="shared" si="22"/>
        <v>7000</v>
      </c>
      <c r="EO5" s="49">
        <f t="shared" si="22"/>
        <v>7000</v>
      </c>
      <c r="EP5" s="49">
        <f t="shared" si="22"/>
        <v>7000</v>
      </c>
      <c r="EQ5" s="49">
        <f t="shared" si="22"/>
        <v>7000</v>
      </c>
      <c r="ER5" s="49">
        <f t="shared" si="22"/>
        <v>7000</v>
      </c>
      <c r="ES5" s="49">
        <f t="shared" si="22"/>
        <v>7000</v>
      </c>
      <c r="ET5" s="49">
        <f t="shared" si="22"/>
        <v>7000</v>
      </c>
      <c r="EU5" s="49">
        <f t="shared" si="22"/>
        <v>7000</v>
      </c>
      <c r="EV5" s="49">
        <f t="shared" si="22"/>
        <v>7000</v>
      </c>
      <c r="EW5" s="49">
        <f t="shared" si="22"/>
        <v>7000</v>
      </c>
      <c r="EX5" s="49">
        <f t="shared" si="22"/>
        <v>7000</v>
      </c>
      <c r="EY5" s="49">
        <f t="shared" si="22"/>
        <v>7000</v>
      </c>
      <c r="EZ5" s="49">
        <f t="shared" si="22"/>
        <v>7000</v>
      </c>
      <c r="FA5" s="49">
        <f t="shared" si="22"/>
        <v>7000</v>
      </c>
      <c r="FB5" s="49">
        <f t="shared" si="22"/>
        <v>7000</v>
      </c>
      <c r="FC5" s="49">
        <f t="shared" si="22"/>
        <v>7000</v>
      </c>
      <c r="FD5" s="49">
        <f t="shared" si="22"/>
        <v>7000</v>
      </c>
      <c r="FE5" s="49">
        <f t="shared" si="22"/>
        <v>7000</v>
      </c>
      <c r="FF5" s="49">
        <f t="shared" si="22"/>
        <v>7000</v>
      </c>
      <c r="FG5" s="49">
        <f t="shared" si="22"/>
        <v>7000</v>
      </c>
      <c r="FH5" s="49">
        <f t="shared" si="22"/>
        <v>7000</v>
      </c>
      <c r="FI5" s="49">
        <f t="shared" si="22"/>
        <v>7000</v>
      </c>
      <c r="FJ5" s="49">
        <f t="shared" si="22"/>
        <v>7000</v>
      </c>
      <c r="FK5" s="49">
        <f t="shared" si="22"/>
        <v>7000</v>
      </c>
      <c r="FL5" s="49">
        <f t="shared" si="22"/>
        <v>7000</v>
      </c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96"/>
      <c r="GB5" s="96"/>
      <c r="GC5" s="96"/>
      <c r="GD5" s="96"/>
      <c r="GE5" s="96"/>
      <c r="GF5" s="96"/>
      <c r="GG5" s="96"/>
      <c r="GH5" s="96"/>
      <c r="GI5" s="96"/>
      <c r="GJ5" s="96"/>
    </row>
    <row r="6" spans="1:192" x14ac:dyDescent="0.3">
      <c r="A6" s="92">
        <v>106029015</v>
      </c>
      <c r="B6" s="96" t="s">
        <v>53</v>
      </c>
      <c r="C6" s="1">
        <f>VLOOKUP(A6,FORECAST!D:W,20,FALSE)*2000</f>
        <v>8800</v>
      </c>
      <c r="D6" s="49">
        <f t="shared" ref="D6:AI6" si="23">C6</f>
        <v>8800</v>
      </c>
      <c r="E6" s="49">
        <f t="shared" si="23"/>
        <v>8800</v>
      </c>
      <c r="F6" s="49">
        <f t="shared" si="23"/>
        <v>8800</v>
      </c>
      <c r="G6" s="49">
        <f t="shared" si="23"/>
        <v>8800</v>
      </c>
      <c r="H6" s="49">
        <f t="shared" si="23"/>
        <v>8800</v>
      </c>
      <c r="I6" s="49">
        <f t="shared" si="23"/>
        <v>8800</v>
      </c>
      <c r="J6" s="49">
        <f t="shared" si="23"/>
        <v>8800</v>
      </c>
      <c r="K6" s="49">
        <f t="shared" si="23"/>
        <v>8800</v>
      </c>
      <c r="L6" s="49">
        <f t="shared" si="23"/>
        <v>8800</v>
      </c>
      <c r="M6" s="49">
        <f t="shared" si="23"/>
        <v>8800</v>
      </c>
      <c r="N6" s="49">
        <f t="shared" si="23"/>
        <v>8800</v>
      </c>
      <c r="O6" s="49">
        <f t="shared" si="23"/>
        <v>8800</v>
      </c>
      <c r="P6" s="49">
        <f t="shared" si="23"/>
        <v>8800</v>
      </c>
      <c r="Q6" s="49">
        <f t="shared" si="23"/>
        <v>8800</v>
      </c>
      <c r="R6" s="49">
        <f t="shared" si="23"/>
        <v>8800</v>
      </c>
      <c r="S6" s="49">
        <f t="shared" si="23"/>
        <v>8800</v>
      </c>
      <c r="T6" s="49">
        <f t="shared" si="23"/>
        <v>8800</v>
      </c>
      <c r="U6" s="49">
        <f t="shared" si="23"/>
        <v>8800</v>
      </c>
      <c r="V6" s="49">
        <f t="shared" si="23"/>
        <v>8800</v>
      </c>
      <c r="W6" s="49">
        <f t="shared" si="23"/>
        <v>8800</v>
      </c>
      <c r="X6" s="49">
        <f t="shared" si="23"/>
        <v>8800</v>
      </c>
      <c r="Y6" s="49">
        <f t="shared" si="23"/>
        <v>8800</v>
      </c>
      <c r="Z6" s="49">
        <f t="shared" si="23"/>
        <v>8800</v>
      </c>
      <c r="AA6" s="49">
        <f t="shared" si="23"/>
        <v>8800</v>
      </c>
      <c r="AB6" s="49">
        <f t="shared" si="23"/>
        <v>8800</v>
      </c>
      <c r="AC6" s="49">
        <f t="shared" si="23"/>
        <v>8800</v>
      </c>
      <c r="AD6" s="49">
        <f t="shared" si="23"/>
        <v>8800</v>
      </c>
      <c r="AE6" s="49">
        <f t="shared" si="23"/>
        <v>8800</v>
      </c>
      <c r="AF6" s="49">
        <f t="shared" si="23"/>
        <v>8800</v>
      </c>
      <c r="AG6" s="49">
        <f t="shared" si="23"/>
        <v>8800</v>
      </c>
      <c r="AH6" s="49">
        <f t="shared" si="23"/>
        <v>8800</v>
      </c>
      <c r="AI6" s="49">
        <f t="shared" si="23"/>
        <v>8800</v>
      </c>
      <c r="AJ6" s="49">
        <f t="shared" ref="AJ6:BO6" si="24">AI6</f>
        <v>8800</v>
      </c>
      <c r="AK6" s="49">
        <f t="shared" si="24"/>
        <v>8800</v>
      </c>
      <c r="AL6" s="49">
        <f t="shared" si="24"/>
        <v>8800</v>
      </c>
      <c r="AM6" s="49">
        <f t="shared" si="24"/>
        <v>8800</v>
      </c>
      <c r="AN6" s="49">
        <f t="shared" si="24"/>
        <v>8800</v>
      </c>
      <c r="AO6" s="49">
        <f t="shared" si="24"/>
        <v>8800</v>
      </c>
      <c r="AP6" s="49">
        <f t="shared" si="24"/>
        <v>8800</v>
      </c>
      <c r="AQ6" s="49">
        <f t="shared" si="24"/>
        <v>8800</v>
      </c>
      <c r="AR6" s="49">
        <f t="shared" si="24"/>
        <v>8800</v>
      </c>
      <c r="AS6" s="49">
        <f t="shared" si="24"/>
        <v>8800</v>
      </c>
      <c r="AT6" s="49">
        <f t="shared" si="24"/>
        <v>8800</v>
      </c>
      <c r="AU6" s="49">
        <f t="shared" si="24"/>
        <v>8800</v>
      </c>
      <c r="AV6" s="49">
        <f t="shared" si="24"/>
        <v>8800</v>
      </c>
      <c r="AW6" s="49">
        <f t="shared" si="24"/>
        <v>8800</v>
      </c>
      <c r="AX6" s="49">
        <f t="shared" si="24"/>
        <v>8800</v>
      </c>
      <c r="AY6" s="49">
        <f t="shared" si="24"/>
        <v>8800</v>
      </c>
      <c r="AZ6" s="49">
        <f t="shared" si="24"/>
        <v>8800</v>
      </c>
      <c r="BA6" s="49">
        <f t="shared" si="24"/>
        <v>8800</v>
      </c>
      <c r="BB6" s="49">
        <f t="shared" si="24"/>
        <v>8800</v>
      </c>
      <c r="BC6" s="49">
        <f t="shared" si="24"/>
        <v>8800</v>
      </c>
      <c r="BD6" s="49">
        <f t="shared" si="24"/>
        <v>8800</v>
      </c>
      <c r="BE6" s="49">
        <f t="shared" si="24"/>
        <v>8800</v>
      </c>
      <c r="BF6" s="49">
        <f t="shared" si="24"/>
        <v>8800</v>
      </c>
      <c r="BG6" s="49">
        <f t="shared" si="24"/>
        <v>8800</v>
      </c>
      <c r="BH6" s="49">
        <f t="shared" si="24"/>
        <v>8800</v>
      </c>
      <c r="BI6" s="49">
        <f t="shared" si="24"/>
        <v>8800</v>
      </c>
      <c r="BJ6" s="49">
        <f t="shared" si="24"/>
        <v>8800</v>
      </c>
      <c r="BK6" s="49">
        <f t="shared" si="24"/>
        <v>8800</v>
      </c>
      <c r="BL6" s="49">
        <f t="shared" si="24"/>
        <v>8800</v>
      </c>
      <c r="BM6" s="49">
        <f t="shared" si="24"/>
        <v>8800</v>
      </c>
      <c r="BN6" s="49">
        <f t="shared" si="24"/>
        <v>8800</v>
      </c>
      <c r="BO6" s="49">
        <f t="shared" si="24"/>
        <v>8800</v>
      </c>
      <c r="BP6" s="49">
        <f t="shared" ref="BP6:CU6" si="25">BO6</f>
        <v>8800</v>
      </c>
      <c r="BQ6" s="49">
        <f t="shared" si="25"/>
        <v>8800</v>
      </c>
      <c r="BR6" s="49">
        <f t="shared" si="25"/>
        <v>8800</v>
      </c>
      <c r="BS6" s="49">
        <f t="shared" si="25"/>
        <v>8800</v>
      </c>
      <c r="BT6" s="49">
        <f t="shared" si="25"/>
        <v>8800</v>
      </c>
      <c r="BU6" s="49">
        <f t="shared" si="25"/>
        <v>8800</v>
      </c>
      <c r="BV6" s="49">
        <f t="shared" si="25"/>
        <v>8800</v>
      </c>
      <c r="BW6" s="49">
        <f t="shared" si="25"/>
        <v>8800</v>
      </c>
      <c r="BX6" s="49">
        <f t="shared" si="25"/>
        <v>8800</v>
      </c>
      <c r="BY6" s="49">
        <f t="shared" si="25"/>
        <v>8800</v>
      </c>
      <c r="BZ6" s="49">
        <f t="shared" si="25"/>
        <v>8800</v>
      </c>
      <c r="CA6" s="49">
        <f t="shared" si="25"/>
        <v>8800</v>
      </c>
      <c r="CB6" s="49">
        <f t="shared" si="25"/>
        <v>8800</v>
      </c>
      <c r="CC6" s="49">
        <f t="shared" si="25"/>
        <v>8800</v>
      </c>
      <c r="CD6" s="49">
        <f t="shared" si="25"/>
        <v>8800</v>
      </c>
      <c r="CE6" s="49">
        <f t="shared" si="25"/>
        <v>8800</v>
      </c>
      <c r="CF6" s="49">
        <f t="shared" si="25"/>
        <v>8800</v>
      </c>
      <c r="CG6" s="49">
        <f t="shared" si="25"/>
        <v>8800</v>
      </c>
      <c r="CH6" s="49">
        <f t="shared" si="25"/>
        <v>8800</v>
      </c>
      <c r="CI6" s="49">
        <f t="shared" si="25"/>
        <v>8800</v>
      </c>
      <c r="CJ6" s="49">
        <f t="shared" si="25"/>
        <v>8800</v>
      </c>
      <c r="CK6" s="49">
        <f t="shared" si="25"/>
        <v>8800</v>
      </c>
      <c r="CL6" s="49">
        <f t="shared" si="25"/>
        <v>8800</v>
      </c>
      <c r="CM6" s="49">
        <f t="shared" si="25"/>
        <v>8800</v>
      </c>
      <c r="CN6" s="49">
        <f t="shared" si="25"/>
        <v>8800</v>
      </c>
      <c r="CO6" s="49">
        <f t="shared" si="25"/>
        <v>8800</v>
      </c>
      <c r="CP6" s="49">
        <f t="shared" si="25"/>
        <v>8800</v>
      </c>
      <c r="CQ6" s="49">
        <f t="shared" si="25"/>
        <v>8800</v>
      </c>
      <c r="CR6" s="49">
        <f t="shared" si="25"/>
        <v>8800</v>
      </c>
      <c r="CS6" s="49">
        <f t="shared" si="25"/>
        <v>8800</v>
      </c>
      <c r="CT6" s="49">
        <f t="shared" si="25"/>
        <v>8800</v>
      </c>
      <c r="CU6" s="49">
        <f t="shared" si="25"/>
        <v>8800</v>
      </c>
      <c r="CV6" s="49">
        <f t="shared" ref="CV6:EA6" si="26">CU6</f>
        <v>8800</v>
      </c>
      <c r="CW6" s="49">
        <f t="shared" si="26"/>
        <v>8800</v>
      </c>
      <c r="CX6" s="49">
        <f t="shared" si="26"/>
        <v>8800</v>
      </c>
      <c r="CY6" s="49">
        <f t="shared" si="26"/>
        <v>8800</v>
      </c>
      <c r="CZ6" s="49">
        <f t="shared" si="26"/>
        <v>8800</v>
      </c>
      <c r="DA6" s="49">
        <f t="shared" si="26"/>
        <v>8800</v>
      </c>
      <c r="DB6" s="49">
        <f t="shared" si="26"/>
        <v>8800</v>
      </c>
      <c r="DC6" s="49">
        <f t="shared" si="26"/>
        <v>8800</v>
      </c>
      <c r="DD6" s="49">
        <f t="shared" si="26"/>
        <v>8800</v>
      </c>
      <c r="DE6" s="49">
        <f t="shared" si="26"/>
        <v>8800</v>
      </c>
      <c r="DF6" s="49">
        <f t="shared" si="26"/>
        <v>8800</v>
      </c>
      <c r="DG6" s="49">
        <f t="shared" si="26"/>
        <v>8800</v>
      </c>
      <c r="DH6" s="49">
        <f t="shared" si="26"/>
        <v>8800</v>
      </c>
      <c r="DI6" s="49">
        <f t="shared" si="26"/>
        <v>8800</v>
      </c>
      <c r="DJ6" s="49">
        <f t="shared" si="26"/>
        <v>8800</v>
      </c>
      <c r="DK6" s="49">
        <f t="shared" si="26"/>
        <v>8800</v>
      </c>
      <c r="DL6" s="49">
        <f t="shared" si="26"/>
        <v>8800</v>
      </c>
      <c r="DM6" s="49">
        <f t="shared" si="26"/>
        <v>8800</v>
      </c>
      <c r="DN6" s="49">
        <f t="shared" si="26"/>
        <v>8800</v>
      </c>
      <c r="DO6" s="49">
        <f t="shared" si="26"/>
        <v>8800</v>
      </c>
      <c r="DP6" s="49">
        <f t="shared" si="26"/>
        <v>8800</v>
      </c>
      <c r="DQ6" s="49">
        <f t="shared" si="26"/>
        <v>8800</v>
      </c>
      <c r="DR6" s="49">
        <f t="shared" si="26"/>
        <v>8800</v>
      </c>
      <c r="DS6" s="49">
        <f t="shared" si="26"/>
        <v>8800</v>
      </c>
      <c r="DT6" s="49">
        <f t="shared" si="26"/>
        <v>8800</v>
      </c>
      <c r="DU6" s="49">
        <f t="shared" si="26"/>
        <v>8800</v>
      </c>
      <c r="DV6" s="49">
        <f t="shared" si="26"/>
        <v>8800</v>
      </c>
      <c r="DW6" s="49">
        <f t="shared" si="26"/>
        <v>8800</v>
      </c>
      <c r="DX6" s="49">
        <f t="shared" si="26"/>
        <v>8800</v>
      </c>
      <c r="DY6" s="49">
        <f t="shared" si="26"/>
        <v>8800</v>
      </c>
      <c r="DZ6" s="49">
        <f t="shared" si="26"/>
        <v>8800</v>
      </c>
      <c r="EA6" s="49">
        <f t="shared" si="26"/>
        <v>8800</v>
      </c>
      <c r="EB6" s="49">
        <f t="shared" ref="EB6:FL6" si="27">EA6</f>
        <v>8800</v>
      </c>
      <c r="EC6" s="49">
        <f t="shared" si="27"/>
        <v>8800</v>
      </c>
      <c r="ED6" s="49">
        <f t="shared" si="27"/>
        <v>8800</v>
      </c>
      <c r="EE6" s="49">
        <f t="shared" si="27"/>
        <v>8800</v>
      </c>
      <c r="EF6" s="49">
        <f t="shared" si="27"/>
        <v>8800</v>
      </c>
      <c r="EG6" s="49">
        <f t="shared" si="27"/>
        <v>8800</v>
      </c>
      <c r="EH6" s="49">
        <f t="shared" si="27"/>
        <v>8800</v>
      </c>
      <c r="EI6" s="49">
        <f t="shared" si="27"/>
        <v>8800</v>
      </c>
      <c r="EJ6" s="49">
        <f t="shared" si="27"/>
        <v>8800</v>
      </c>
      <c r="EK6" s="49">
        <f t="shared" si="27"/>
        <v>8800</v>
      </c>
      <c r="EL6" s="49">
        <f t="shared" si="27"/>
        <v>8800</v>
      </c>
      <c r="EM6" s="49">
        <f t="shared" si="27"/>
        <v>8800</v>
      </c>
      <c r="EN6" s="49">
        <f t="shared" si="27"/>
        <v>8800</v>
      </c>
      <c r="EO6" s="49">
        <f t="shared" si="27"/>
        <v>8800</v>
      </c>
      <c r="EP6" s="49">
        <f t="shared" si="27"/>
        <v>8800</v>
      </c>
      <c r="EQ6" s="49">
        <f t="shared" si="27"/>
        <v>8800</v>
      </c>
      <c r="ER6" s="49">
        <f t="shared" si="27"/>
        <v>8800</v>
      </c>
      <c r="ES6" s="49">
        <f t="shared" si="27"/>
        <v>8800</v>
      </c>
      <c r="ET6" s="49">
        <f t="shared" si="27"/>
        <v>8800</v>
      </c>
      <c r="EU6" s="49">
        <f t="shared" si="27"/>
        <v>8800</v>
      </c>
      <c r="EV6" s="49">
        <f t="shared" si="27"/>
        <v>8800</v>
      </c>
      <c r="EW6" s="49">
        <f t="shared" si="27"/>
        <v>8800</v>
      </c>
      <c r="EX6" s="49">
        <f t="shared" si="27"/>
        <v>8800</v>
      </c>
      <c r="EY6" s="49">
        <f t="shared" si="27"/>
        <v>8800</v>
      </c>
      <c r="EZ6" s="49">
        <f t="shared" si="27"/>
        <v>8800</v>
      </c>
      <c r="FA6" s="49">
        <f t="shared" si="27"/>
        <v>8800</v>
      </c>
      <c r="FB6" s="49">
        <f t="shared" si="27"/>
        <v>8800</v>
      </c>
      <c r="FC6" s="49">
        <f t="shared" si="27"/>
        <v>8800</v>
      </c>
      <c r="FD6" s="49">
        <f t="shared" si="27"/>
        <v>8800</v>
      </c>
      <c r="FE6" s="49">
        <f t="shared" si="27"/>
        <v>8800</v>
      </c>
      <c r="FF6" s="49">
        <f t="shared" si="27"/>
        <v>8800</v>
      </c>
      <c r="FG6" s="49">
        <f t="shared" si="27"/>
        <v>8800</v>
      </c>
      <c r="FH6" s="49">
        <f t="shared" si="27"/>
        <v>8800</v>
      </c>
      <c r="FI6" s="49">
        <f t="shared" si="27"/>
        <v>8800</v>
      </c>
      <c r="FJ6" s="49">
        <f t="shared" si="27"/>
        <v>8800</v>
      </c>
      <c r="FK6" s="49">
        <f t="shared" si="27"/>
        <v>8800</v>
      </c>
      <c r="FL6" s="49">
        <f t="shared" si="27"/>
        <v>8800</v>
      </c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96"/>
      <c r="GB6" s="96"/>
      <c r="GC6" s="96"/>
      <c r="GD6" s="96"/>
      <c r="GE6" s="96"/>
      <c r="GF6" s="96"/>
      <c r="GG6" s="96"/>
      <c r="GH6" s="96"/>
      <c r="GI6" s="96"/>
      <c r="GJ6" s="96"/>
    </row>
    <row r="7" spans="1:192" x14ac:dyDescent="0.3">
      <c r="A7" s="92">
        <v>106029017</v>
      </c>
      <c r="B7" s="96" t="s">
        <v>53</v>
      </c>
      <c r="C7" s="1">
        <f>VLOOKUP(A7,FORECAST!D:W,20,FALSE)*2000</f>
        <v>16066.666666666666</v>
      </c>
      <c r="D7" s="49">
        <f t="shared" ref="D7:AI7" si="28">C7</f>
        <v>16066.666666666666</v>
      </c>
      <c r="E7" s="49">
        <f t="shared" si="28"/>
        <v>16066.666666666666</v>
      </c>
      <c r="F7" s="49">
        <f t="shared" si="28"/>
        <v>16066.666666666666</v>
      </c>
      <c r="G7" s="49">
        <f t="shared" si="28"/>
        <v>16066.666666666666</v>
      </c>
      <c r="H7" s="49">
        <f t="shared" si="28"/>
        <v>16066.666666666666</v>
      </c>
      <c r="I7" s="49">
        <f t="shared" si="28"/>
        <v>16066.666666666666</v>
      </c>
      <c r="J7" s="49">
        <f t="shared" si="28"/>
        <v>16066.666666666666</v>
      </c>
      <c r="K7" s="49">
        <f t="shared" si="28"/>
        <v>16066.666666666666</v>
      </c>
      <c r="L7" s="49">
        <f t="shared" si="28"/>
        <v>16066.666666666666</v>
      </c>
      <c r="M7" s="49">
        <f t="shared" si="28"/>
        <v>16066.666666666666</v>
      </c>
      <c r="N7" s="49">
        <f t="shared" si="28"/>
        <v>16066.666666666666</v>
      </c>
      <c r="O7" s="49">
        <f t="shared" si="28"/>
        <v>16066.666666666666</v>
      </c>
      <c r="P7" s="49">
        <f t="shared" si="28"/>
        <v>16066.666666666666</v>
      </c>
      <c r="Q7" s="49">
        <f t="shared" si="28"/>
        <v>16066.666666666666</v>
      </c>
      <c r="R7" s="49">
        <f t="shared" si="28"/>
        <v>16066.666666666666</v>
      </c>
      <c r="S7" s="49">
        <f t="shared" si="28"/>
        <v>16066.666666666666</v>
      </c>
      <c r="T7" s="49">
        <f t="shared" si="28"/>
        <v>16066.666666666666</v>
      </c>
      <c r="U7" s="49">
        <f t="shared" si="28"/>
        <v>16066.666666666666</v>
      </c>
      <c r="V7" s="49">
        <f t="shared" si="28"/>
        <v>16066.666666666666</v>
      </c>
      <c r="W7" s="49">
        <f t="shared" si="28"/>
        <v>16066.666666666666</v>
      </c>
      <c r="X7" s="49">
        <f t="shared" si="28"/>
        <v>16066.666666666666</v>
      </c>
      <c r="Y7" s="49">
        <f t="shared" si="28"/>
        <v>16066.666666666666</v>
      </c>
      <c r="Z7" s="49">
        <f t="shared" si="28"/>
        <v>16066.666666666666</v>
      </c>
      <c r="AA7" s="49">
        <f t="shared" si="28"/>
        <v>16066.666666666666</v>
      </c>
      <c r="AB7" s="49">
        <f t="shared" si="28"/>
        <v>16066.666666666666</v>
      </c>
      <c r="AC7" s="49">
        <f t="shared" si="28"/>
        <v>16066.666666666666</v>
      </c>
      <c r="AD7" s="49">
        <f t="shared" si="28"/>
        <v>16066.666666666666</v>
      </c>
      <c r="AE7" s="49">
        <f t="shared" si="28"/>
        <v>16066.666666666666</v>
      </c>
      <c r="AF7" s="49">
        <f t="shared" si="28"/>
        <v>16066.666666666666</v>
      </c>
      <c r="AG7" s="49">
        <f t="shared" si="28"/>
        <v>16066.666666666666</v>
      </c>
      <c r="AH7" s="49">
        <f t="shared" si="28"/>
        <v>16066.666666666666</v>
      </c>
      <c r="AI7" s="49">
        <f t="shared" si="28"/>
        <v>16066.666666666666</v>
      </c>
      <c r="AJ7" s="49">
        <f t="shared" ref="AJ7:BO7" si="29">AI7</f>
        <v>16066.666666666666</v>
      </c>
      <c r="AK7" s="49">
        <f t="shared" si="29"/>
        <v>16066.666666666666</v>
      </c>
      <c r="AL7" s="49">
        <f t="shared" si="29"/>
        <v>16066.666666666666</v>
      </c>
      <c r="AM7" s="49">
        <f t="shared" si="29"/>
        <v>16066.666666666666</v>
      </c>
      <c r="AN7" s="49">
        <f t="shared" si="29"/>
        <v>16066.666666666666</v>
      </c>
      <c r="AO7" s="49">
        <f t="shared" si="29"/>
        <v>16066.666666666666</v>
      </c>
      <c r="AP7" s="49">
        <f t="shared" si="29"/>
        <v>16066.666666666666</v>
      </c>
      <c r="AQ7" s="49">
        <f t="shared" si="29"/>
        <v>16066.666666666666</v>
      </c>
      <c r="AR7" s="49">
        <f t="shared" si="29"/>
        <v>16066.666666666666</v>
      </c>
      <c r="AS7" s="49">
        <f t="shared" si="29"/>
        <v>16066.666666666666</v>
      </c>
      <c r="AT7" s="49">
        <f t="shared" si="29"/>
        <v>16066.666666666666</v>
      </c>
      <c r="AU7" s="49">
        <f t="shared" si="29"/>
        <v>16066.666666666666</v>
      </c>
      <c r="AV7" s="49">
        <f t="shared" si="29"/>
        <v>16066.666666666666</v>
      </c>
      <c r="AW7" s="49">
        <f t="shared" si="29"/>
        <v>16066.666666666666</v>
      </c>
      <c r="AX7" s="49">
        <f t="shared" si="29"/>
        <v>16066.666666666666</v>
      </c>
      <c r="AY7" s="49">
        <f t="shared" si="29"/>
        <v>16066.666666666666</v>
      </c>
      <c r="AZ7" s="49">
        <f t="shared" si="29"/>
        <v>16066.666666666666</v>
      </c>
      <c r="BA7" s="49">
        <f t="shared" si="29"/>
        <v>16066.666666666666</v>
      </c>
      <c r="BB7" s="49">
        <f t="shared" si="29"/>
        <v>16066.666666666666</v>
      </c>
      <c r="BC7" s="49">
        <f t="shared" si="29"/>
        <v>16066.666666666666</v>
      </c>
      <c r="BD7" s="49">
        <f t="shared" si="29"/>
        <v>16066.666666666666</v>
      </c>
      <c r="BE7" s="49">
        <f t="shared" si="29"/>
        <v>16066.666666666666</v>
      </c>
      <c r="BF7" s="49">
        <f t="shared" si="29"/>
        <v>16066.666666666666</v>
      </c>
      <c r="BG7" s="49">
        <f t="shared" si="29"/>
        <v>16066.666666666666</v>
      </c>
      <c r="BH7" s="49">
        <f t="shared" si="29"/>
        <v>16066.666666666666</v>
      </c>
      <c r="BI7" s="49">
        <f t="shared" si="29"/>
        <v>16066.666666666666</v>
      </c>
      <c r="BJ7" s="49">
        <f t="shared" si="29"/>
        <v>16066.666666666666</v>
      </c>
      <c r="BK7" s="49">
        <f t="shared" si="29"/>
        <v>16066.666666666666</v>
      </c>
      <c r="BL7" s="49">
        <f t="shared" si="29"/>
        <v>16066.666666666666</v>
      </c>
      <c r="BM7" s="49">
        <f t="shared" si="29"/>
        <v>16066.666666666666</v>
      </c>
      <c r="BN7" s="49">
        <f t="shared" si="29"/>
        <v>16066.666666666666</v>
      </c>
      <c r="BO7" s="49">
        <f t="shared" si="29"/>
        <v>16066.666666666666</v>
      </c>
      <c r="BP7" s="49">
        <f t="shared" ref="BP7:CU7" si="30">BO7</f>
        <v>16066.666666666666</v>
      </c>
      <c r="BQ7" s="49">
        <f t="shared" si="30"/>
        <v>16066.666666666666</v>
      </c>
      <c r="BR7" s="49">
        <f t="shared" si="30"/>
        <v>16066.666666666666</v>
      </c>
      <c r="BS7" s="49">
        <f t="shared" si="30"/>
        <v>16066.666666666666</v>
      </c>
      <c r="BT7" s="49">
        <f t="shared" si="30"/>
        <v>16066.666666666666</v>
      </c>
      <c r="BU7" s="49">
        <f t="shared" si="30"/>
        <v>16066.666666666666</v>
      </c>
      <c r="BV7" s="49">
        <f t="shared" si="30"/>
        <v>16066.666666666666</v>
      </c>
      <c r="BW7" s="49">
        <f t="shared" si="30"/>
        <v>16066.666666666666</v>
      </c>
      <c r="BX7" s="49">
        <f t="shared" si="30"/>
        <v>16066.666666666666</v>
      </c>
      <c r="BY7" s="49">
        <f t="shared" si="30"/>
        <v>16066.666666666666</v>
      </c>
      <c r="BZ7" s="49">
        <f t="shared" si="30"/>
        <v>16066.666666666666</v>
      </c>
      <c r="CA7" s="49">
        <f t="shared" si="30"/>
        <v>16066.666666666666</v>
      </c>
      <c r="CB7" s="49">
        <f t="shared" si="30"/>
        <v>16066.666666666666</v>
      </c>
      <c r="CC7" s="49">
        <f t="shared" si="30"/>
        <v>16066.666666666666</v>
      </c>
      <c r="CD7" s="49">
        <f t="shared" si="30"/>
        <v>16066.666666666666</v>
      </c>
      <c r="CE7" s="49">
        <f t="shared" si="30"/>
        <v>16066.666666666666</v>
      </c>
      <c r="CF7" s="49">
        <f t="shared" si="30"/>
        <v>16066.666666666666</v>
      </c>
      <c r="CG7" s="49">
        <f t="shared" si="30"/>
        <v>16066.666666666666</v>
      </c>
      <c r="CH7" s="49">
        <f t="shared" si="30"/>
        <v>16066.666666666666</v>
      </c>
      <c r="CI7" s="49">
        <f t="shared" si="30"/>
        <v>16066.666666666666</v>
      </c>
      <c r="CJ7" s="49">
        <f t="shared" si="30"/>
        <v>16066.666666666666</v>
      </c>
      <c r="CK7" s="49">
        <f t="shared" si="30"/>
        <v>16066.666666666666</v>
      </c>
      <c r="CL7" s="49">
        <f t="shared" si="30"/>
        <v>16066.666666666666</v>
      </c>
      <c r="CM7" s="49">
        <f t="shared" si="30"/>
        <v>16066.666666666666</v>
      </c>
      <c r="CN7" s="49">
        <f t="shared" si="30"/>
        <v>16066.666666666666</v>
      </c>
      <c r="CO7" s="49">
        <f t="shared" si="30"/>
        <v>16066.666666666666</v>
      </c>
      <c r="CP7" s="49">
        <f t="shared" si="30"/>
        <v>16066.666666666666</v>
      </c>
      <c r="CQ7" s="49">
        <f t="shared" si="30"/>
        <v>16066.666666666666</v>
      </c>
      <c r="CR7" s="49">
        <f t="shared" si="30"/>
        <v>16066.666666666666</v>
      </c>
      <c r="CS7" s="49">
        <f t="shared" si="30"/>
        <v>16066.666666666666</v>
      </c>
      <c r="CT7" s="49">
        <f t="shared" si="30"/>
        <v>16066.666666666666</v>
      </c>
      <c r="CU7" s="49">
        <f t="shared" si="30"/>
        <v>16066.666666666666</v>
      </c>
      <c r="CV7" s="49">
        <f t="shared" ref="CV7:EA7" si="31">CU7</f>
        <v>16066.666666666666</v>
      </c>
      <c r="CW7" s="49">
        <f t="shared" si="31"/>
        <v>16066.666666666666</v>
      </c>
      <c r="CX7" s="49">
        <f t="shared" si="31"/>
        <v>16066.666666666666</v>
      </c>
      <c r="CY7" s="49">
        <f t="shared" si="31"/>
        <v>16066.666666666666</v>
      </c>
      <c r="CZ7" s="49">
        <f t="shared" si="31"/>
        <v>16066.666666666666</v>
      </c>
      <c r="DA7" s="49">
        <f t="shared" si="31"/>
        <v>16066.666666666666</v>
      </c>
      <c r="DB7" s="49">
        <f t="shared" si="31"/>
        <v>16066.666666666666</v>
      </c>
      <c r="DC7" s="49">
        <f t="shared" si="31"/>
        <v>16066.666666666666</v>
      </c>
      <c r="DD7" s="49">
        <f t="shared" si="31"/>
        <v>16066.666666666666</v>
      </c>
      <c r="DE7" s="49">
        <f t="shared" si="31"/>
        <v>16066.666666666666</v>
      </c>
      <c r="DF7" s="49">
        <f t="shared" si="31"/>
        <v>16066.666666666666</v>
      </c>
      <c r="DG7" s="49">
        <f t="shared" si="31"/>
        <v>16066.666666666666</v>
      </c>
      <c r="DH7" s="49">
        <f t="shared" si="31"/>
        <v>16066.666666666666</v>
      </c>
      <c r="DI7" s="49">
        <f t="shared" si="31"/>
        <v>16066.666666666666</v>
      </c>
      <c r="DJ7" s="49">
        <f t="shared" si="31"/>
        <v>16066.666666666666</v>
      </c>
      <c r="DK7" s="49">
        <f t="shared" si="31"/>
        <v>16066.666666666666</v>
      </c>
      <c r="DL7" s="49">
        <f t="shared" si="31"/>
        <v>16066.666666666666</v>
      </c>
      <c r="DM7" s="49">
        <f t="shared" si="31"/>
        <v>16066.666666666666</v>
      </c>
      <c r="DN7" s="49">
        <f t="shared" si="31"/>
        <v>16066.666666666666</v>
      </c>
      <c r="DO7" s="49">
        <f t="shared" si="31"/>
        <v>16066.666666666666</v>
      </c>
      <c r="DP7" s="49">
        <f t="shared" si="31"/>
        <v>16066.666666666666</v>
      </c>
      <c r="DQ7" s="49">
        <f t="shared" si="31"/>
        <v>16066.666666666666</v>
      </c>
      <c r="DR7" s="49">
        <f t="shared" si="31"/>
        <v>16066.666666666666</v>
      </c>
      <c r="DS7" s="49">
        <f t="shared" si="31"/>
        <v>16066.666666666666</v>
      </c>
      <c r="DT7" s="49">
        <f t="shared" si="31"/>
        <v>16066.666666666666</v>
      </c>
      <c r="DU7" s="49">
        <f t="shared" si="31"/>
        <v>16066.666666666666</v>
      </c>
      <c r="DV7" s="49">
        <f t="shared" si="31"/>
        <v>16066.666666666666</v>
      </c>
      <c r="DW7" s="49">
        <f t="shared" si="31"/>
        <v>16066.666666666666</v>
      </c>
      <c r="DX7" s="49">
        <f t="shared" si="31"/>
        <v>16066.666666666666</v>
      </c>
      <c r="DY7" s="49">
        <f t="shared" si="31"/>
        <v>16066.666666666666</v>
      </c>
      <c r="DZ7" s="49">
        <f t="shared" si="31"/>
        <v>16066.666666666666</v>
      </c>
      <c r="EA7" s="49">
        <f t="shared" si="31"/>
        <v>16066.666666666666</v>
      </c>
      <c r="EB7" s="49">
        <f t="shared" ref="EB7:FL7" si="32">EA7</f>
        <v>16066.666666666666</v>
      </c>
      <c r="EC7" s="49">
        <f t="shared" si="32"/>
        <v>16066.666666666666</v>
      </c>
      <c r="ED7" s="49">
        <f t="shared" si="32"/>
        <v>16066.666666666666</v>
      </c>
      <c r="EE7" s="49">
        <f t="shared" si="32"/>
        <v>16066.666666666666</v>
      </c>
      <c r="EF7" s="49">
        <f t="shared" si="32"/>
        <v>16066.666666666666</v>
      </c>
      <c r="EG7" s="49">
        <f t="shared" si="32"/>
        <v>16066.666666666666</v>
      </c>
      <c r="EH7" s="49">
        <f t="shared" si="32"/>
        <v>16066.666666666666</v>
      </c>
      <c r="EI7" s="49">
        <f t="shared" si="32"/>
        <v>16066.666666666666</v>
      </c>
      <c r="EJ7" s="49">
        <f t="shared" si="32"/>
        <v>16066.666666666666</v>
      </c>
      <c r="EK7" s="49">
        <f t="shared" si="32"/>
        <v>16066.666666666666</v>
      </c>
      <c r="EL7" s="49">
        <f t="shared" si="32"/>
        <v>16066.666666666666</v>
      </c>
      <c r="EM7" s="49">
        <f t="shared" si="32"/>
        <v>16066.666666666666</v>
      </c>
      <c r="EN7" s="49">
        <f t="shared" si="32"/>
        <v>16066.666666666666</v>
      </c>
      <c r="EO7" s="49">
        <f t="shared" si="32"/>
        <v>16066.666666666666</v>
      </c>
      <c r="EP7" s="49">
        <f t="shared" si="32"/>
        <v>16066.666666666666</v>
      </c>
      <c r="EQ7" s="49">
        <f t="shared" si="32"/>
        <v>16066.666666666666</v>
      </c>
      <c r="ER7" s="49">
        <f t="shared" si="32"/>
        <v>16066.666666666666</v>
      </c>
      <c r="ES7" s="49">
        <f t="shared" si="32"/>
        <v>16066.666666666666</v>
      </c>
      <c r="ET7" s="49">
        <f t="shared" si="32"/>
        <v>16066.666666666666</v>
      </c>
      <c r="EU7" s="49">
        <f t="shared" si="32"/>
        <v>16066.666666666666</v>
      </c>
      <c r="EV7" s="49">
        <f t="shared" si="32"/>
        <v>16066.666666666666</v>
      </c>
      <c r="EW7" s="49">
        <f t="shared" si="32"/>
        <v>16066.666666666666</v>
      </c>
      <c r="EX7" s="49">
        <f t="shared" si="32"/>
        <v>16066.666666666666</v>
      </c>
      <c r="EY7" s="49">
        <f t="shared" si="32"/>
        <v>16066.666666666666</v>
      </c>
      <c r="EZ7" s="49">
        <f t="shared" si="32"/>
        <v>16066.666666666666</v>
      </c>
      <c r="FA7" s="49">
        <f t="shared" si="32"/>
        <v>16066.666666666666</v>
      </c>
      <c r="FB7" s="49">
        <f t="shared" si="32"/>
        <v>16066.666666666666</v>
      </c>
      <c r="FC7" s="49">
        <f t="shared" si="32"/>
        <v>16066.666666666666</v>
      </c>
      <c r="FD7" s="49">
        <f t="shared" si="32"/>
        <v>16066.666666666666</v>
      </c>
      <c r="FE7" s="49">
        <f t="shared" si="32"/>
        <v>16066.666666666666</v>
      </c>
      <c r="FF7" s="49">
        <f t="shared" si="32"/>
        <v>16066.666666666666</v>
      </c>
      <c r="FG7" s="49">
        <f t="shared" si="32"/>
        <v>16066.666666666666</v>
      </c>
      <c r="FH7" s="49">
        <f t="shared" si="32"/>
        <v>16066.666666666666</v>
      </c>
      <c r="FI7" s="49">
        <f t="shared" si="32"/>
        <v>16066.666666666666</v>
      </c>
      <c r="FJ7" s="49">
        <f t="shared" si="32"/>
        <v>16066.666666666666</v>
      </c>
      <c r="FK7" s="49">
        <f t="shared" si="32"/>
        <v>16066.666666666666</v>
      </c>
      <c r="FL7" s="49">
        <f t="shared" si="32"/>
        <v>16066.666666666666</v>
      </c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96"/>
      <c r="GB7" s="96"/>
      <c r="GC7" s="96"/>
      <c r="GD7" s="96"/>
      <c r="GE7" s="96"/>
      <c r="GF7" s="96"/>
      <c r="GG7" s="96"/>
      <c r="GH7" s="96"/>
      <c r="GI7" s="96"/>
      <c r="GJ7" s="96"/>
    </row>
    <row r="8" spans="1:192" x14ac:dyDescent="0.3">
      <c r="A8" s="92">
        <v>106029036</v>
      </c>
      <c r="B8" s="96" t="s">
        <v>53</v>
      </c>
      <c r="C8" s="1">
        <f>VLOOKUP(A8,FORECAST!D:W,20,FALSE)*2000</f>
        <v>27200</v>
      </c>
      <c r="D8" s="49">
        <f t="shared" ref="D8:AI8" si="33">C8</f>
        <v>27200</v>
      </c>
      <c r="E8" s="49">
        <f t="shared" si="33"/>
        <v>27200</v>
      </c>
      <c r="F8" s="49">
        <f t="shared" si="33"/>
        <v>27200</v>
      </c>
      <c r="G8" s="49">
        <f t="shared" si="33"/>
        <v>27200</v>
      </c>
      <c r="H8" s="49">
        <f t="shared" si="33"/>
        <v>27200</v>
      </c>
      <c r="I8" s="49">
        <f t="shared" si="33"/>
        <v>27200</v>
      </c>
      <c r="J8" s="49">
        <f t="shared" si="33"/>
        <v>27200</v>
      </c>
      <c r="K8" s="49">
        <f t="shared" si="33"/>
        <v>27200</v>
      </c>
      <c r="L8" s="49">
        <f t="shared" si="33"/>
        <v>27200</v>
      </c>
      <c r="M8" s="49">
        <f t="shared" si="33"/>
        <v>27200</v>
      </c>
      <c r="N8" s="49">
        <f t="shared" si="33"/>
        <v>27200</v>
      </c>
      <c r="O8" s="49">
        <f t="shared" si="33"/>
        <v>27200</v>
      </c>
      <c r="P8" s="49">
        <f t="shared" si="33"/>
        <v>27200</v>
      </c>
      <c r="Q8" s="49">
        <f t="shared" si="33"/>
        <v>27200</v>
      </c>
      <c r="R8" s="49">
        <f t="shared" si="33"/>
        <v>27200</v>
      </c>
      <c r="S8" s="49">
        <f t="shared" si="33"/>
        <v>27200</v>
      </c>
      <c r="T8" s="49">
        <f t="shared" si="33"/>
        <v>27200</v>
      </c>
      <c r="U8" s="49">
        <f t="shared" si="33"/>
        <v>27200</v>
      </c>
      <c r="V8" s="49">
        <f t="shared" si="33"/>
        <v>27200</v>
      </c>
      <c r="W8" s="49">
        <f t="shared" si="33"/>
        <v>27200</v>
      </c>
      <c r="X8" s="49">
        <f t="shared" si="33"/>
        <v>27200</v>
      </c>
      <c r="Y8" s="49">
        <f t="shared" si="33"/>
        <v>27200</v>
      </c>
      <c r="Z8" s="49">
        <f t="shared" si="33"/>
        <v>27200</v>
      </c>
      <c r="AA8" s="49">
        <f t="shared" si="33"/>
        <v>27200</v>
      </c>
      <c r="AB8" s="49">
        <f t="shared" si="33"/>
        <v>27200</v>
      </c>
      <c r="AC8" s="49">
        <f t="shared" si="33"/>
        <v>27200</v>
      </c>
      <c r="AD8" s="49">
        <f t="shared" si="33"/>
        <v>27200</v>
      </c>
      <c r="AE8" s="49">
        <f t="shared" si="33"/>
        <v>27200</v>
      </c>
      <c r="AF8" s="49">
        <f t="shared" si="33"/>
        <v>27200</v>
      </c>
      <c r="AG8" s="49">
        <f t="shared" si="33"/>
        <v>27200</v>
      </c>
      <c r="AH8" s="49">
        <f t="shared" si="33"/>
        <v>27200</v>
      </c>
      <c r="AI8" s="49">
        <f t="shared" si="33"/>
        <v>27200</v>
      </c>
      <c r="AJ8" s="49">
        <f t="shared" ref="AJ8:BO8" si="34">AI8</f>
        <v>27200</v>
      </c>
      <c r="AK8" s="49">
        <f t="shared" si="34"/>
        <v>27200</v>
      </c>
      <c r="AL8" s="49">
        <f t="shared" si="34"/>
        <v>27200</v>
      </c>
      <c r="AM8" s="49">
        <f t="shared" si="34"/>
        <v>27200</v>
      </c>
      <c r="AN8" s="49">
        <f t="shared" si="34"/>
        <v>27200</v>
      </c>
      <c r="AO8" s="49">
        <f t="shared" si="34"/>
        <v>27200</v>
      </c>
      <c r="AP8" s="49">
        <f t="shared" si="34"/>
        <v>27200</v>
      </c>
      <c r="AQ8" s="49">
        <f t="shared" si="34"/>
        <v>27200</v>
      </c>
      <c r="AR8" s="49">
        <f t="shared" si="34"/>
        <v>27200</v>
      </c>
      <c r="AS8" s="49">
        <f t="shared" si="34"/>
        <v>27200</v>
      </c>
      <c r="AT8" s="49">
        <f t="shared" si="34"/>
        <v>27200</v>
      </c>
      <c r="AU8" s="49">
        <f t="shared" si="34"/>
        <v>27200</v>
      </c>
      <c r="AV8" s="49">
        <f t="shared" si="34"/>
        <v>27200</v>
      </c>
      <c r="AW8" s="49">
        <f t="shared" si="34"/>
        <v>27200</v>
      </c>
      <c r="AX8" s="49">
        <f t="shared" si="34"/>
        <v>27200</v>
      </c>
      <c r="AY8" s="49">
        <f t="shared" si="34"/>
        <v>27200</v>
      </c>
      <c r="AZ8" s="49">
        <f t="shared" si="34"/>
        <v>27200</v>
      </c>
      <c r="BA8" s="49">
        <f t="shared" si="34"/>
        <v>27200</v>
      </c>
      <c r="BB8" s="49">
        <f t="shared" si="34"/>
        <v>27200</v>
      </c>
      <c r="BC8" s="49">
        <f t="shared" si="34"/>
        <v>27200</v>
      </c>
      <c r="BD8" s="49">
        <f t="shared" si="34"/>
        <v>27200</v>
      </c>
      <c r="BE8" s="49">
        <f t="shared" si="34"/>
        <v>27200</v>
      </c>
      <c r="BF8" s="49">
        <f t="shared" si="34"/>
        <v>27200</v>
      </c>
      <c r="BG8" s="49">
        <f t="shared" si="34"/>
        <v>27200</v>
      </c>
      <c r="BH8" s="49">
        <f t="shared" si="34"/>
        <v>27200</v>
      </c>
      <c r="BI8" s="49">
        <f t="shared" si="34"/>
        <v>27200</v>
      </c>
      <c r="BJ8" s="49">
        <f t="shared" si="34"/>
        <v>27200</v>
      </c>
      <c r="BK8" s="49">
        <f t="shared" si="34"/>
        <v>27200</v>
      </c>
      <c r="BL8" s="49">
        <f t="shared" si="34"/>
        <v>27200</v>
      </c>
      <c r="BM8" s="49">
        <f t="shared" si="34"/>
        <v>27200</v>
      </c>
      <c r="BN8" s="49">
        <f t="shared" si="34"/>
        <v>27200</v>
      </c>
      <c r="BO8" s="49">
        <f t="shared" si="34"/>
        <v>27200</v>
      </c>
      <c r="BP8" s="49">
        <f t="shared" ref="BP8:CU8" si="35">BO8</f>
        <v>27200</v>
      </c>
      <c r="BQ8" s="49">
        <f t="shared" si="35"/>
        <v>27200</v>
      </c>
      <c r="BR8" s="49">
        <f t="shared" si="35"/>
        <v>27200</v>
      </c>
      <c r="BS8" s="49">
        <f t="shared" si="35"/>
        <v>27200</v>
      </c>
      <c r="BT8" s="49">
        <f t="shared" si="35"/>
        <v>27200</v>
      </c>
      <c r="BU8" s="49">
        <f t="shared" si="35"/>
        <v>27200</v>
      </c>
      <c r="BV8" s="49">
        <f t="shared" si="35"/>
        <v>27200</v>
      </c>
      <c r="BW8" s="49">
        <f t="shared" si="35"/>
        <v>27200</v>
      </c>
      <c r="BX8" s="49">
        <f t="shared" si="35"/>
        <v>27200</v>
      </c>
      <c r="BY8" s="49">
        <f t="shared" si="35"/>
        <v>27200</v>
      </c>
      <c r="BZ8" s="49">
        <f t="shared" si="35"/>
        <v>27200</v>
      </c>
      <c r="CA8" s="49">
        <f t="shared" si="35"/>
        <v>27200</v>
      </c>
      <c r="CB8" s="49">
        <f t="shared" si="35"/>
        <v>27200</v>
      </c>
      <c r="CC8" s="49">
        <f t="shared" si="35"/>
        <v>27200</v>
      </c>
      <c r="CD8" s="49">
        <f t="shared" si="35"/>
        <v>27200</v>
      </c>
      <c r="CE8" s="49">
        <f t="shared" si="35"/>
        <v>27200</v>
      </c>
      <c r="CF8" s="49">
        <f t="shared" si="35"/>
        <v>27200</v>
      </c>
      <c r="CG8" s="49">
        <f t="shared" si="35"/>
        <v>27200</v>
      </c>
      <c r="CH8" s="49">
        <f t="shared" si="35"/>
        <v>27200</v>
      </c>
      <c r="CI8" s="49">
        <f t="shared" si="35"/>
        <v>27200</v>
      </c>
      <c r="CJ8" s="49">
        <f t="shared" si="35"/>
        <v>27200</v>
      </c>
      <c r="CK8" s="49">
        <f t="shared" si="35"/>
        <v>27200</v>
      </c>
      <c r="CL8" s="49">
        <f t="shared" si="35"/>
        <v>27200</v>
      </c>
      <c r="CM8" s="49">
        <f t="shared" si="35"/>
        <v>27200</v>
      </c>
      <c r="CN8" s="49">
        <f t="shared" si="35"/>
        <v>27200</v>
      </c>
      <c r="CO8" s="49">
        <f t="shared" si="35"/>
        <v>27200</v>
      </c>
      <c r="CP8" s="49">
        <f t="shared" si="35"/>
        <v>27200</v>
      </c>
      <c r="CQ8" s="49">
        <f t="shared" si="35"/>
        <v>27200</v>
      </c>
      <c r="CR8" s="49">
        <f t="shared" si="35"/>
        <v>27200</v>
      </c>
      <c r="CS8" s="49">
        <f t="shared" si="35"/>
        <v>27200</v>
      </c>
      <c r="CT8" s="49">
        <f t="shared" si="35"/>
        <v>27200</v>
      </c>
      <c r="CU8" s="49">
        <f t="shared" si="35"/>
        <v>27200</v>
      </c>
      <c r="CV8" s="49">
        <f t="shared" ref="CV8:EA8" si="36">CU8</f>
        <v>27200</v>
      </c>
      <c r="CW8" s="49">
        <f t="shared" si="36"/>
        <v>27200</v>
      </c>
      <c r="CX8" s="49">
        <f t="shared" si="36"/>
        <v>27200</v>
      </c>
      <c r="CY8" s="49">
        <f t="shared" si="36"/>
        <v>27200</v>
      </c>
      <c r="CZ8" s="49">
        <f t="shared" si="36"/>
        <v>27200</v>
      </c>
      <c r="DA8" s="49">
        <f t="shared" si="36"/>
        <v>27200</v>
      </c>
      <c r="DB8" s="49">
        <f t="shared" si="36"/>
        <v>27200</v>
      </c>
      <c r="DC8" s="49">
        <f t="shared" si="36"/>
        <v>27200</v>
      </c>
      <c r="DD8" s="49">
        <f t="shared" si="36"/>
        <v>27200</v>
      </c>
      <c r="DE8" s="49">
        <f t="shared" si="36"/>
        <v>27200</v>
      </c>
      <c r="DF8" s="49">
        <f t="shared" si="36"/>
        <v>27200</v>
      </c>
      <c r="DG8" s="49">
        <f t="shared" si="36"/>
        <v>27200</v>
      </c>
      <c r="DH8" s="49">
        <f t="shared" si="36"/>
        <v>27200</v>
      </c>
      <c r="DI8" s="49">
        <f t="shared" si="36"/>
        <v>27200</v>
      </c>
      <c r="DJ8" s="49">
        <f t="shared" si="36"/>
        <v>27200</v>
      </c>
      <c r="DK8" s="49">
        <f t="shared" si="36"/>
        <v>27200</v>
      </c>
      <c r="DL8" s="49">
        <f t="shared" si="36"/>
        <v>27200</v>
      </c>
      <c r="DM8" s="49">
        <f t="shared" si="36"/>
        <v>27200</v>
      </c>
      <c r="DN8" s="49">
        <f t="shared" si="36"/>
        <v>27200</v>
      </c>
      <c r="DO8" s="49">
        <f t="shared" si="36"/>
        <v>27200</v>
      </c>
      <c r="DP8" s="49">
        <f t="shared" si="36"/>
        <v>27200</v>
      </c>
      <c r="DQ8" s="49">
        <f t="shared" si="36"/>
        <v>27200</v>
      </c>
      <c r="DR8" s="49">
        <f t="shared" si="36"/>
        <v>27200</v>
      </c>
      <c r="DS8" s="49">
        <f t="shared" si="36"/>
        <v>27200</v>
      </c>
      <c r="DT8" s="49">
        <f t="shared" si="36"/>
        <v>27200</v>
      </c>
      <c r="DU8" s="49">
        <f t="shared" si="36"/>
        <v>27200</v>
      </c>
      <c r="DV8" s="49">
        <f t="shared" si="36"/>
        <v>27200</v>
      </c>
      <c r="DW8" s="49">
        <f t="shared" si="36"/>
        <v>27200</v>
      </c>
      <c r="DX8" s="49">
        <f t="shared" si="36"/>
        <v>27200</v>
      </c>
      <c r="DY8" s="49">
        <f t="shared" si="36"/>
        <v>27200</v>
      </c>
      <c r="DZ8" s="49">
        <f t="shared" si="36"/>
        <v>27200</v>
      </c>
      <c r="EA8" s="49">
        <f t="shared" si="36"/>
        <v>27200</v>
      </c>
      <c r="EB8" s="49">
        <f t="shared" ref="EB8:FL8" si="37">EA8</f>
        <v>27200</v>
      </c>
      <c r="EC8" s="49">
        <f t="shared" si="37"/>
        <v>27200</v>
      </c>
      <c r="ED8" s="49">
        <f t="shared" si="37"/>
        <v>27200</v>
      </c>
      <c r="EE8" s="49">
        <f t="shared" si="37"/>
        <v>27200</v>
      </c>
      <c r="EF8" s="49">
        <f t="shared" si="37"/>
        <v>27200</v>
      </c>
      <c r="EG8" s="49">
        <f t="shared" si="37"/>
        <v>27200</v>
      </c>
      <c r="EH8" s="49">
        <f t="shared" si="37"/>
        <v>27200</v>
      </c>
      <c r="EI8" s="49">
        <f t="shared" si="37"/>
        <v>27200</v>
      </c>
      <c r="EJ8" s="49">
        <f t="shared" si="37"/>
        <v>27200</v>
      </c>
      <c r="EK8" s="49">
        <f t="shared" si="37"/>
        <v>27200</v>
      </c>
      <c r="EL8" s="49">
        <f t="shared" si="37"/>
        <v>27200</v>
      </c>
      <c r="EM8" s="49">
        <f t="shared" si="37"/>
        <v>27200</v>
      </c>
      <c r="EN8" s="49">
        <f t="shared" si="37"/>
        <v>27200</v>
      </c>
      <c r="EO8" s="49">
        <f t="shared" si="37"/>
        <v>27200</v>
      </c>
      <c r="EP8" s="49">
        <f t="shared" si="37"/>
        <v>27200</v>
      </c>
      <c r="EQ8" s="49">
        <f t="shared" si="37"/>
        <v>27200</v>
      </c>
      <c r="ER8" s="49">
        <f t="shared" si="37"/>
        <v>27200</v>
      </c>
      <c r="ES8" s="49">
        <f t="shared" si="37"/>
        <v>27200</v>
      </c>
      <c r="ET8" s="49">
        <f t="shared" si="37"/>
        <v>27200</v>
      </c>
      <c r="EU8" s="49">
        <f t="shared" si="37"/>
        <v>27200</v>
      </c>
      <c r="EV8" s="49">
        <f t="shared" si="37"/>
        <v>27200</v>
      </c>
      <c r="EW8" s="49">
        <f t="shared" si="37"/>
        <v>27200</v>
      </c>
      <c r="EX8" s="49">
        <f t="shared" si="37"/>
        <v>27200</v>
      </c>
      <c r="EY8" s="49">
        <f t="shared" si="37"/>
        <v>27200</v>
      </c>
      <c r="EZ8" s="49">
        <f t="shared" si="37"/>
        <v>27200</v>
      </c>
      <c r="FA8" s="49">
        <f t="shared" si="37"/>
        <v>27200</v>
      </c>
      <c r="FB8" s="49">
        <f t="shared" si="37"/>
        <v>27200</v>
      </c>
      <c r="FC8" s="49">
        <f t="shared" si="37"/>
        <v>27200</v>
      </c>
      <c r="FD8" s="49">
        <f t="shared" si="37"/>
        <v>27200</v>
      </c>
      <c r="FE8" s="49">
        <f t="shared" si="37"/>
        <v>27200</v>
      </c>
      <c r="FF8" s="49">
        <f t="shared" si="37"/>
        <v>27200</v>
      </c>
      <c r="FG8" s="49">
        <f t="shared" si="37"/>
        <v>27200</v>
      </c>
      <c r="FH8" s="49">
        <f t="shared" si="37"/>
        <v>27200</v>
      </c>
      <c r="FI8" s="49">
        <f t="shared" si="37"/>
        <v>27200</v>
      </c>
      <c r="FJ8" s="49">
        <f t="shared" si="37"/>
        <v>27200</v>
      </c>
      <c r="FK8" s="49">
        <f t="shared" si="37"/>
        <v>27200</v>
      </c>
      <c r="FL8" s="49">
        <f t="shared" si="37"/>
        <v>27200</v>
      </c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96"/>
      <c r="GB8" s="96"/>
      <c r="GC8" s="96"/>
      <c r="GD8" s="96"/>
      <c r="GE8" s="96"/>
      <c r="GF8" s="96"/>
      <c r="GG8" s="96"/>
      <c r="GH8" s="96"/>
      <c r="GI8" s="96"/>
      <c r="GJ8" s="96"/>
    </row>
    <row r="9" spans="1:192" x14ac:dyDescent="0.3">
      <c r="A9" s="92">
        <v>106029553</v>
      </c>
      <c r="B9" s="96" t="s">
        <v>53</v>
      </c>
      <c r="C9" s="1">
        <f>VLOOKUP(A9,FORECAST!D:W,20,FALSE)*2000</f>
        <v>6800</v>
      </c>
      <c r="D9" s="49">
        <f t="shared" ref="D9:AI9" si="38">C9</f>
        <v>6800</v>
      </c>
      <c r="E9" s="49">
        <f t="shared" si="38"/>
        <v>6800</v>
      </c>
      <c r="F9" s="49">
        <f t="shared" si="38"/>
        <v>6800</v>
      </c>
      <c r="G9" s="49">
        <f t="shared" si="38"/>
        <v>6800</v>
      </c>
      <c r="H9" s="49">
        <f t="shared" si="38"/>
        <v>6800</v>
      </c>
      <c r="I9" s="49">
        <f t="shared" si="38"/>
        <v>6800</v>
      </c>
      <c r="J9" s="49">
        <f t="shared" si="38"/>
        <v>6800</v>
      </c>
      <c r="K9" s="49">
        <f t="shared" si="38"/>
        <v>6800</v>
      </c>
      <c r="L9" s="49">
        <f t="shared" si="38"/>
        <v>6800</v>
      </c>
      <c r="M9" s="49">
        <f t="shared" si="38"/>
        <v>6800</v>
      </c>
      <c r="N9" s="49">
        <f t="shared" si="38"/>
        <v>6800</v>
      </c>
      <c r="O9" s="49">
        <f t="shared" si="38"/>
        <v>6800</v>
      </c>
      <c r="P9" s="49">
        <f t="shared" si="38"/>
        <v>6800</v>
      </c>
      <c r="Q9" s="49">
        <f t="shared" si="38"/>
        <v>6800</v>
      </c>
      <c r="R9" s="49">
        <f t="shared" si="38"/>
        <v>6800</v>
      </c>
      <c r="S9" s="49">
        <f t="shared" si="38"/>
        <v>6800</v>
      </c>
      <c r="T9" s="49">
        <f t="shared" si="38"/>
        <v>6800</v>
      </c>
      <c r="U9" s="49">
        <f t="shared" si="38"/>
        <v>6800</v>
      </c>
      <c r="V9" s="49">
        <f t="shared" si="38"/>
        <v>6800</v>
      </c>
      <c r="W9" s="49">
        <f t="shared" si="38"/>
        <v>6800</v>
      </c>
      <c r="X9" s="49">
        <f t="shared" si="38"/>
        <v>6800</v>
      </c>
      <c r="Y9" s="49">
        <f t="shared" si="38"/>
        <v>6800</v>
      </c>
      <c r="Z9" s="49">
        <f t="shared" si="38"/>
        <v>6800</v>
      </c>
      <c r="AA9" s="49">
        <f t="shared" si="38"/>
        <v>6800</v>
      </c>
      <c r="AB9" s="49">
        <f t="shared" si="38"/>
        <v>6800</v>
      </c>
      <c r="AC9" s="49">
        <f t="shared" si="38"/>
        <v>6800</v>
      </c>
      <c r="AD9" s="49">
        <f t="shared" si="38"/>
        <v>6800</v>
      </c>
      <c r="AE9" s="49">
        <f t="shared" si="38"/>
        <v>6800</v>
      </c>
      <c r="AF9" s="49">
        <f t="shared" si="38"/>
        <v>6800</v>
      </c>
      <c r="AG9" s="49">
        <f t="shared" si="38"/>
        <v>6800</v>
      </c>
      <c r="AH9" s="49">
        <f t="shared" si="38"/>
        <v>6800</v>
      </c>
      <c r="AI9" s="49">
        <f t="shared" si="38"/>
        <v>6800</v>
      </c>
      <c r="AJ9" s="49">
        <f t="shared" ref="AJ9:BO9" si="39">AI9</f>
        <v>6800</v>
      </c>
      <c r="AK9" s="49">
        <f t="shared" si="39"/>
        <v>6800</v>
      </c>
      <c r="AL9" s="49">
        <f t="shared" si="39"/>
        <v>6800</v>
      </c>
      <c r="AM9" s="49">
        <f t="shared" si="39"/>
        <v>6800</v>
      </c>
      <c r="AN9" s="49">
        <f t="shared" si="39"/>
        <v>6800</v>
      </c>
      <c r="AO9" s="49">
        <f t="shared" si="39"/>
        <v>6800</v>
      </c>
      <c r="AP9" s="49">
        <f t="shared" si="39"/>
        <v>6800</v>
      </c>
      <c r="AQ9" s="49">
        <f t="shared" si="39"/>
        <v>6800</v>
      </c>
      <c r="AR9" s="49">
        <f t="shared" si="39"/>
        <v>6800</v>
      </c>
      <c r="AS9" s="49">
        <f t="shared" si="39"/>
        <v>6800</v>
      </c>
      <c r="AT9" s="49">
        <f t="shared" si="39"/>
        <v>6800</v>
      </c>
      <c r="AU9" s="49">
        <f t="shared" si="39"/>
        <v>6800</v>
      </c>
      <c r="AV9" s="49">
        <f t="shared" si="39"/>
        <v>6800</v>
      </c>
      <c r="AW9" s="49">
        <f t="shared" si="39"/>
        <v>6800</v>
      </c>
      <c r="AX9" s="49">
        <f t="shared" si="39"/>
        <v>6800</v>
      </c>
      <c r="AY9" s="49">
        <f t="shared" si="39"/>
        <v>6800</v>
      </c>
      <c r="AZ9" s="49">
        <f t="shared" si="39"/>
        <v>6800</v>
      </c>
      <c r="BA9" s="49">
        <f t="shared" si="39"/>
        <v>6800</v>
      </c>
      <c r="BB9" s="49">
        <f t="shared" si="39"/>
        <v>6800</v>
      </c>
      <c r="BC9" s="49">
        <f t="shared" si="39"/>
        <v>6800</v>
      </c>
      <c r="BD9" s="49">
        <f t="shared" si="39"/>
        <v>6800</v>
      </c>
      <c r="BE9" s="49">
        <f t="shared" si="39"/>
        <v>6800</v>
      </c>
      <c r="BF9" s="49">
        <f t="shared" si="39"/>
        <v>6800</v>
      </c>
      <c r="BG9" s="49">
        <f t="shared" si="39"/>
        <v>6800</v>
      </c>
      <c r="BH9" s="49">
        <f t="shared" si="39"/>
        <v>6800</v>
      </c>
      <c r="BI9" s="49">
        <f t="shared" si="39"/>
        <v>6800</v>
      </c>
      <c r="BJ9" s="49">
        <f t="shared" si="39"/>
        <v>6800</v>
      </c>
      <c r="BK9" s="49">
        <f t="shared" si="39"/>
        <v>6800</v>
      </c>
      <c r="BL9" s="49">
        <f t="shared" si="39"/>
        <v>6800</v>
      </c>
      <c r="BM9" s="49">
        <f t="shared" si="39"/>
        <v>6800</v>
      </c>
      <c r="BN9" s="49">
        <f t="shared" si="39"/>
        <v>6800</v>
      </c>
      <c r="BO9" s="49">
        <f t="shared" si="39"/>
        <v>6800</v>
      </c>
      <c r="BP9" s="49">
        <f t="shared" ref="BP9:CU9" si="40">BO9</f>
        <v>6800</v>
      </c>
      <c r="BQ9" s="49">
        <f t="shared" si="40"/>
        <v>6800</v>
      </c>
      <c r="BR9" s="49">
        <f t="shared" si="40"/>
        <v>6800</v>
      </c>
      <c r="BS9" s="49">
        <f t="shared" si="40"/>
        <v>6800</v>
      </c>
      <c r="BT9" s="49">
        <f t="shared" si="40"/>
        <v>6800</v>
      </c>
      <c r="BU9" s="49">
        <f t="shared" si="40"/>
        <v>6800</v>
      </c>
      <c r="BV9" s="49">
        <f t="shared" si="40"/>
        <v>6800</v>
      </c>
      <c r="BW9" s="49">
        <f t="shared" si="40"/>
        <v>6800</v>
      </c>
      <c r="BX9" s="49">
        <f t="shared" si="40"/>
        <v>6800</v>
      </c>
      <c r="BY9" s="49">
        <f t="shared" si="40"/>
        <v>6800</v>
      </c>
      <c r="BZ9" s="49">
        <f t="shared" si="40"/>
        <v>6800</v>
      </c>
      <c r="CA9" s="49">
        <f t="shared" si="40"/>
        <v>6800</v>
      </c>
      <c r="CB9" s="49">
        <f t="shared" si="40"/>
        <v>6800</v>
      </c>
      <c r="CC9" s="49">
        <f t="shared" si="40"/>
        <v>6800</v>
      </c>
      <c r="CD9" s="49">
        <f t="shared" si="40"/>
        <v>6800</v>
      </c>
      <c r="CE9" s="49">
        <f t="shared" si="40"/>
        <v>6800</v>
      </c>
      <c r="CF9" s="49">
        <f t="shared" si="40"/>
        <v>6800</v>
      </c>
      <c r="CG9" s="49">
        <f t="shared" si="40"/>
        <v>6800</v>
      </c>
      <c r="CH9" s="49">
        <f t="shared" si="40"/>
        <v>6800</v>
      </c>
      <c r="CI9" s="49">
        <f t="shared" si="40"/>
        <v>6800</v>
      </c>
      <c r="CJ9" s="49">
        <f t="shared" si="40"/>
        <v>6800</v>
      </c>
      <c r="CK9" s="49">
        <f t="shared" si="40"/>
        <v>6800</v>
      </c>
      <c r="CL9" s="49">
        <f t="shared" si="40"/>
        <v>6800</v>
      </c>
      <c r="CM9" s="49">
        <f t="shared" si="40"/>
        <v>6800</v>
      </c>
      <c r="CN9" s="49">
        <f t="shared" si="40"/>
        <v>6800</v>
      </c>
      <c r="CO9" s="49">
        <f t="shared" si="40"/>
        <v>6800</v>
      </c>
      <c r="CP9" s="49">
        <f t="shared" si="40"/>
        <v>6800</v>
      </c>
      <c r="CQ9" s="49">
        <f t="shared" si="40"/>
        <v>6800</v>
      </c>
      <c r="CR9" s="49">
        <f t="shared" si="40"/>
        <v>6800</v>
      </c>
      <c r="CS9" s="49">
        <f t="shared" si="40"/>
        <v>6800</v>
      </c>
      <c r="CT9" s="49">
        <f t="shared" si="40"/>
        <v>6800</v>
      </c>
      <c r="CU9" s="49">
        <f t="shared" si="40"/>
        <v>6800</v>
      </c>
      <c r="CV9" s="49">
        <f t="shared" ref="CV9:EA9" si="41">CU9</f>
        <v>6800</v>
      </c>
      <c r="CW9" s="49">
        <f t="shared" si="41"/>
        <v>6800</v>
      </c>
      <c r="CX9" s="49">
        <f t="shared" si="41"/>
        <v>6800</v>
      </c>
      <c r="CY9" s="49">
        <f t="shared" si="41"/>
        <v>6800</v>
      </c>
      <c r="CZ9" s="49">
        <f t="shared" si="41"/>
        <v>6800</v>
      </c>
      <c r="DA9" s="49">
        <f t="shared" si="41"/>
        <v>6800</v>
      </c>
      <c r="DB9" s="49">
        <f t="shared" si="41"/>
        <v>6800</v>
      </c>
      <c r="DC9" s="49">
        <f t="shared" si="41"/>
        <v>6800</v>
      </c>
      <c r="DD9" s="49">
        <f t="shared" si="41"/>
        <v>6800</v>
      </c>
      <c r="DE9" s="49">
        <f t="shared" si="41"/>
        <v>6800</v>
      </c>
      <c r="DF9" s="49">
        <f t="shared" si="41"/>
        <v>6800</v>
      </c>
      <c r="DG9" s="49">
        <f t="shared" si="41"/>
        <v>6800</v>
      </c>
      <c r="DH9" s="49">
        <f t="shared" si="41"/>
        <v>6800</v>
      </c>
      <c r="DI9" s="49">
        <f t="shared" si="41"/>
        <v>6800</v>
      </c>
      <c r="DJ9" s="49">
        <f t="shared" si="41"/>
        <v>6800</v>
      </c>
      <c r="DK9" s="49">
        <f t="shared" si="41"/>
        <v>6800</v>
      </c>
      <c r="DL9" s="49">
        <f t="shared" si="41"/>
        <v>6800</v>
      </c>
      <c r="DM9" s="49">
        <f t="shared" si="41"/>
        <v>6800</v>
      </c>
      <c r="DN9" s="49">
        <f t="shared" si="41"/>
        <v>6800</v>
      </c>
      <c r="DO9" s="49">
        <f t="shared" si="41"/>
        <v>6800</v>
      </c>
      <c r="DP9" s="49">
        <f t="shared" si="41"/>
        <v>6800</v>
      </c>
      <c r="DQ9" s="49">
        <f t="shared" si="41"/>
        <v>6800</v>
      </c>
      <c r="DR9" s="49">
        <f t="shared" si="41"/>
        <v>6800</v>
      </c>
      <c r="DS9" s="49">
        <f t="shared" si="41"/>
        <v>6800</v>
      </c>
      <c r="DT9" s="49">
        <f t="shared" si="41"/>
        <v>6800</v>
      </c>
      <c r="DU9" s="49">
        <f t="shared" si="41"/>
        <v>6800</v>
      </c>
      <c r="DV9" s="49">
        <f t="shared" si="41"/>
        <v>6800</v>
      </c>
      <c r="DW9" s="49">
        <f t="shared" si="41"/>
        <v>6800</v>
      </c>
      <c r="DX9" s="49">
        <f t="shared" si="41"/>
        <v>6800</v>
      </c>
      <c r="DY9" s="49">
        <f t="shared" si="41"/>
        <v>6800</v>
      </c>
      <c r="DZ9" s="49">
        <f t="shared" si="41"/>
        <v>6800</v>
      </c>
      <c r="EA9" s="49">
        <f t="shared" si="41"/>
        <v>6800</v>
      </c>
      <c r="EB9" s="49">
        <f t="shared" ref="EB9:FL9" si="42">EA9</f>
        <v>6800</v>
      </c>
      <c r="EC9" s="49">
        <f t="shared" si="42"/>
        <v>6800</v>
      </c>
      <c r="ED9" s="49">
        <f t="shared" si="42"/>
        <v>6800</v>
      </c>
      <c r="EE9" s="49">
        <f t="shared" si="42"/>
        <v>6800</v>
      </c>
      <c r="EF9" s="49">
        <f t="shared" si="42"/>
        <v>6800</v>
      </c>
      <c r="EG9" s="49">
        <f t="shared" si="42"/>
        <v>6800</v>
      </c>
      <c r="EH9" s="49">
        <f t="shared" si="42"/>
        <v>6800</v>
      </c>
      <c r="EI9" s="49">
        <f t="shared" si="42"/>
        <v>6800</v>
      </c>
      <c r="EJ9" s="49">
        <f t="shared" si="42"/>
        <v>6800</v>
      </c>
      <c r="EK9" s="49">
        <f t="shared" si="42"/>
        <v>6800</v>
      </c>
      <c r="EL9" s="49">
        <f t="shared" si="42"/>
        <v>6800</v>
      </c>
      <c r="EM9" s="49">
        <f t="shared" si="42"/>
        <v>6800</v>
      </c>
      <c r="EN9" s="49">
        <f t="shared" si="42"/>
        <v>6800</v>
      </c>
      <c r="EO9" s="49">
        <f t="shared" si="42"/>
        <v>6800</v>
      </c>
      <c r="EP9" s="49">
        <f t="shared" si="42"/>
        <v>6800</v>
      </c>
      <c r="EQ9" s="49">
        <f t="shared" si="42"/>
        <v>6800</v>
      </c>
      <c r="ER9" s="49">
        <f t="shared" si="42"/>
        <v>6800</v>
      </c>
      <c r="ES9" s="49">
        <f t="shared" si="42"/>
        <v>6800</v>
      </c>
      <c r="ET9" s="49">
        <f t="shared" si="42"/>
        <v>6800</v>
      </c>
      <c r="EU9" s="49">
        <f t="shared" si="42"/>
        <v>6800</v>
      </c>
      <c r="EV9" s="49">
        <f t="shared" si="42"/>
        <v>6800</v>
      </c>
      <c r="EW9" s="49">
        <f t="shared" si="42"/>
        <v>6800</v>
      </c>
      <c r="EX9" s="49">
        <f t="shared" si="42"/>
        <v>6800</v>
      </c>
      <c r="EY9" s="49">
        <f t="shared" si="42"/>
        <v>6800</v>
      </c>
      <c r="EZ9" s="49">
        <f t="shared" si="42"/>
        <v>6800</v>
      </c>
      <c r="FA9" s="49">
        <f t="shared" si="42"/>
        <v>6800</v>
      </c>
      <c r="FB9" s="49">
        <f t="shared" si="42"/>
        <v>6800</v>
      </c>
      <c r="FC9" s="49">
        <f t="shared" si="42"/>
        <v>6800</v>
      </c>
      <c r="FD9" s="49">
        <f t="shared" si="42"/>
        <v>6800</v>
      </c>
      <c r="FE9" s="49">
        <f t="shared" si="42"/>
        <v>6800</v>
      </c>
      <c r="FF9" s="49">
        <f t="shared" si="42"/>
        <v>6800</v>
      </c>
      <c r="FG9" s="49">
        <f t="shared" si="42"/>
        <v>6800</v>
      </c>
      <c r="FH9" s="49">
        <f t="shared" si="42"/>
        <v>6800</v>
      </c>
      <c r="FI9" s="49">
        <f t="shared" si="42"/>
        <v>6800</v>
      </c>
      <c r="FJ9" s="49">
        <f t="shared" si="42"/>
        <v>6800</v>
      </c>
      <c r="FK9" s="49">
        <f t="shared" si="42"/>
        <v>6800</v>
      </c>
      <c r="FL9" s="49">
        <f t="shared" si="42"/>
        <v>6800</v>
      </c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96"/>
      <c r="GB9" s="96"/>
      <c r="GC9" s="96"/>
      <c r="GD9" s="96"/>
      <c r="GE9" s="96"/>
      <c r="GF9" s="96"/>
      <c r="GG9" s="96"/>
      <c r="GH9" s="96"/>
      <c r="GI9" s="96"/>
      <c r="GJ9" s="96"/>
    </row>
    <row r="10" spans="1:192" x14ac:dyDescent="0.3">
      <c r="A10" s="92">
        <v>106030251</v>
      </c>
      <c r="B10" s="96" t="s">
        <v>53</v>
      </c>
      <c r="C10" s="1">
        <f>VLOOKUP(A10,FORECAST!D:W,20,FALSE)*2000</f>
        <v>3933.333333333333</v>
      </c>
      <c r="D10" s="49">
        <f t="shared" ref="D10:AI10" si="43">C10</f>
        <v>3933.333333333333</v>
      </c>
      <c r="E10" s="49">
        <f t="shared" si="43"/>
        <v>3933.333333333333</v>
      </c>
      <c r="F10" s="49">
        <f t="shared" si="43"/>
        <v>3933.333333333333</v>
      </c>
      <c r="G10" s="49">
        <f t="shared" si="43"/>
        <v>3933.333333333333</v>
      </c>
      <c r="H10" s="49">
        <f t="shared" si="43"/>
        <v>3933.333333333333</v>
      </c>
      <c r="I10" s="49">
        <f t="shared" si="43"/>
        <v>3933.333333333333</v>
      </c>
      <c r="J10" s="49">
        <f t="shared" si="43"/>
        <v>3933.333333333333</v>
      </c>
      <c r="K10" s="49">
        <f t="shared" si="43"/>
        <v>3933.333333333333</v>
      </c>
      <c r="L10" s="49">
        <f t="shared" si="43"/>
        <v>3933.333333333333</v>
      </c>
      <c r="M10" s="49">
        <f t="shared" si="43"/>
        <v>3933.333333333333</v>
      </c>
      <c r="N10" s="49">
        <f t="shared" si="43"/>
        <v>3933.333333333333</v>
      </c>
      <c r="O10" s="49">
        <f t="shared" si="43"/>
        <v>3933.333333333333</v>
      </c>
      <c r="P10" s="49">
        <f t="shared" si="43"/>
        <v>3933.333333333333</v>
      </c>
      <c r="Q10" s="49">
        <f t="shared" si="43"/>
        <v>3933.333333333333</v>
      </c>
      <c r="R10" s="49">
        <f t="shared" si="43"/>
        <v>3933.333333333333</v>
      </c>
      <c r="S10" s="49">
        <f t="shared" si="43"/>
        <v>3933.333333333333</v>
      </c>
      <c r="T10" s="49">
        <f t="shared" si="43"/>
        <v>3933.333333333333</v>
      </c>
      <c r="U10" s="49">
        <f t="shared" si="43"/>
        <v>3933.333333333333</v>
      </c>
      <c r="V10" s="49">
        <f t="shared" si="43"/>
        <v>3933.333333333333</v>
      </c>
      <c r="W10" s="49">
        <f t="shared" si="43"/>
        <v>3933.333333333333</v>
      </c>
      <c r="X10" s="49">
        <f t="shared" si="43"/>
        <v>3933.333333333333</v>
      </c>
      <c r="Y10" s="49">
        <f t="shared" si="43"/>
        <v>3933.333333333333</v>
      </c>
      <c r="Z10" s="49">
        <f t="shared" si="43"/>
        <v>3933.333333333333</v>
      </c>
      <c r="AA10" s="49">
        <f t="shared" si="43"/>
        <v>3933.333333333333</v>
      </c>
      <c r="AB10" s="49">
        <f t="shared" si="43"/>
        <v>3933.333333333333</v>
      </c>
      <c r="AC10" s="49">
        <f t="shared" si="43"/>
        <v>3933.333333333333</v>
      </c>
      <c r="AD10" s="49">
        <f t="shared" si="43"/>
        <v>3933.333333333333</v>
      </c>
      <c r="AE10" s="49">
        <f t="shared" si="43"/>
        <v>3933.333333333333</v>
      </c>
      <c r="AF10" s="49">
        <f t="shared" si="43"/>
        <v>3933.333333333333</v>
      </c>
      <c r="AG10" s="49">
        <f t="shared" si="43"/>
        <v>3933.333333333333</v>
      </c>
      <c r="AH10" s="49">
        <f t="shared" si="43"/>
        <v>3933.333333333333</v>
      </c>
      <c r="AI10" s="49">
        <f t="shared" si="43"/>
        <v>3933.333333333333</v>
      </c>
      <c r="AJ10" s="49">
        <f t="shared" ref="AJ10:BO10" si="44">AI10</f>
        <v>3933.333333333333</v>
      </c>
      <c r="AK10" s="49">
        <f t="shared" si="44"/>
        <v>3933.333333333333</v>
      </c>
      <c r="AL10" s="49">
        <f t="shared" si="44"/>
        <v>3933.333333333333</v>
      </c>
      <c r="AM10" s="49">
        <f t="shared" si="44"/>
        <v>3933.333333333333</v>
      </c>
      <c r="AN10" s="49">
        <f t="shared" si="44"/>
        <v>3933.333333333333</v>
      </c>
      <c r="AO10" s="49">
        <f t="shared" si="44"/>
        <v>3933.333333333333</v>
      </c>
      <c r="AP10" s="49">
        <f t="shared" si="44"/>
        <v>3933.333333333333</v>
      </c>
      <c r="AQ10" s="49">
        <f t="shared" si="44"/>
        <v>3933.333333333333</v>
      </c>
      <c r="AR10" s="49">
        <f t="shared" si="44"/>
        <v>3933.333333333333</v>
      </c>
      <c r="AS10" s="49">
        <f t="shared" si="44"/>
        <v>3933.333333333333</v>
      </c>
      <c r="AT10" s="49">
        <f t="shared" si="44"/>
        <v>3933.333333333333</v>
      </c>
      <c r="AU10" s="49">
        <f t="shared" si="44"/>
        <v>3933.333333333333</v>
      </c>
      <c r="AV10" s="49">
        <f t="shared" si="44"/>
        <v>3933.333333333333</v>
      </c>
      <c r="AW10" s="49">
        <f t="shared" si="44"/>
        <v>3933.333333333333</v>
      </c>
      <c r="AX10" s="49">
        <f t="shared" si="44"/>
        <v>3933.333333333333</v>
      </c>
      <c r="AY10" s="49">
        <f t="shared" si="44"/>
        <v>3933.333333333333</v>
      </c>
      <c r="AZ10" s="49">
        <f t="shared" si="44"/>
        <v>3933.333333333333</v>
      </c>
      <c r="BA10" s="49">
        <f t="shared" si="44"/>
        <v>3933.333333333333</v>
      </c>
      <c r="BB10" s="49">
        <f t="shared" si="44"/>
        <v>3933.333333333333</v>
      </c>
      <c r="BC10" s="49">
        <f t="shared" si="44"/>
        <v>3933.333333333333</v>
      </c>
      <c r="BD10" s="49">
        <f t="shared" si="44"/>
        <v>3933.333333333333</v>
      </c>
      <c r="BE10" s="49">
        <f t="shared" si="44"/>
        <v>3933.333333333333</v>
      </c>
      <c r="BF10" s="49">
        <f t="shared" si="44"/>
        <v>3933.333333333333</v>
      </c>
      <c r="BG10" s="49">
        <f t="shared" si="44"/>
        <v>3933.333333333333</v>
      </c>
      <c r="BH10" s="49">
        <f t="shared" si="44"/>
        <v>3933.333333333333</v>
      </c>
      <c r="BI10" s="49">
        <f t="shared" si="44"/>
        <v>3933.333333333333</v>
      </c>
      <c r="BJ10" s="49">
        <f t="shared" si="44"/>
        <v>3933.333333333333</v>
      </c>
      <c r="BK10" s="49">
        <f t="shared" si="44"/>
        <v>3933.333333333333</v>
      </c>
      <c r="BL10" s="49">
        <f t="shared" si="44"/>
        <v>3933.333333333333</v>
      </c>
      <c r="BM10" s="49">
        <f t="shared" si="44"/>
        <v>3933.333333333333</v>
      </c>
      <c r="BN10" s="49">
        <f t="shared" si="44"/>
        <v>3933.333333333333</v>
      </c>
      <c r="BO10" s="49">
        <f t="shared" si="44"/>
        <v>3933.333333333333</v>
      </c>
      <c r="BP10" s="49">
        <f t="shared" ref="BP10:CU10" si="45">BO10</f>
        <v>3933.333333333333</v>
      </c>
      <c r="BQ10" s="49">
        <f t="shared" si="45"/>
        <v>3933.333333333333</v>
      </c>
      <c r="BR10" s="49">
        <f t="shared" si="45"/>
        <v>3933.333333333333</v>
      </c>
      <c r="BS10" s="49">
        <f t="shared" si="45"/>
        <v>3933.333333333333</v>
      </c>
      <c r="BT10" s="49">
        <f t="shared" si="45"/>
        <v>3933.333333333333</v>
      </c>
      <c r="BU10" s="49">
        <f t="shared" si="45"/>
        <v>3933.333333333333</v>
      </c>
      <c r="BV10" s="49">
        <f t="shared" si="45"/>
        <v>3933.333333333333</v>
      </c>
      <c r="BW10" s="49">
        <f t="shared" si="45"/>
        <v>3933.333333333333</v>
      </c>
      <c r="BX10" s="49">
        <f t="shared" si="45"/>
        <v>3933.333333333333</v>
      </c>
      <c r="BY10" s="49">
        <f t="shared" si="45"/>
        <v>3933.333333333333</v>
      </c>
      <c r="BZ10" s="49">
        <f t="shared" si="45"/>
        <v>3933.333333333333</v>
      </c>
      <c r="CA10" s="49">
        <f t="shared" si="45"/>
        <v>3933.333333333333</v>
      </c>
      <c r="CB10" s="49">
        <f t="shared" si="45"/>
        <v>3933.333333333333</v>
      </c>
      <c r="CC10" s="49">
        <f t="shared" si="45"/>
        <v>3933.333333333333</v>
      </c>
      <c r="CD10" s="49">
        <f t="shared" si="45"/>
        <v>3933.333333333333</v>
      </c>
      <c r="CE10" s="49">
        <f t="shared" si="45"/>
        <v>3933.333333333333</v>
      </c>
      <c r="CF10" s="49">
        <f t="shared" si="45"/>
        <v>3933.333333333333</v>
      </c>
      <c r="CG10" s="49">
        <f t="shared" si="45"/>
        <v>3933.333333333333</v>
      </c>
      <c r="CH10" s="49">
        <f t="shared" si="45"/>
        <v>3933.333333333333</v>
      </c>
      <c r="CI10" s="49">
        <f t="shared" si="45"/>
        <v>3933.333333333333</v>
      </c>
      <c r="CJ10" s="49">
        <f t="shared" si="45"/>
        <v>3933.333333333333</v>
      </c>
      <c r="CK10" s="49">
        <f t="shared" si="45"/>
        <v>3933.333333333333</v>
      </c>
      <c r="CL10" s="49">
        <f t="shared" si="45"/>
        <v>3933.333333333333</v>
      </c>
      <c r="CM10" s="49">
        <f t="shared" si="45"/>
        <v>3933.333333333333</v>
      </c>
      <c r="CN10" s="49">
        <f t="shared" si="45"/>
        <v>3933.333333333333</v>
      </c>
      <c r="CO10" s="49">
        <f t="shared" si="45"/>
        <v>3933.333333333333</v>
      </c>
      <c r="CP10" s="49">
        <f t="shared" si="45"/>
        <v>3933.333333333333</v>
      </c>
      <c r="CQ10" s="49">
        <f t="shared" si="45"/>
        <v>3933.333333333333</v>
      </c>
      <c r="CR10" s="49">
        <f t="shared" si="45"/>
        <v>3933.333333333333</v>
      </c>
      <c r="CS10" s="49">
        <f t="shared" si="45"/>
        <v>3933.333333333333</v>
      </c>
      <c r="CT10" s="49">
        <f t="shared" si="45"/>
        <v>3933.333333333333</v>
      </c>
      <c r="CU10" s="49">
        <f t="shared" si="45"/>
        <v>3933.333333333333</v>
      </c>
      <c r="CV10" s="49">
        <f t="shared" ref="CV10:EA10" si="46">CU10</f>
        <v>3933.333333333333</v>
      </c>
      <c r="CW10" s="49">
        <f t="shared" si="46"/>
        <v>3933.333333333333</v>
      </c>
      <c r="CX10" s="49">
        <f t="shared" si="46"/>
        <v>3933.333333333333</v>
      </c>
      <c r="CY10" s="49">
        <f t="shared" si="46"/>
        <v>3933.333333333333</v>
      </c>
      <c r="CZ10" s="49">
        <f t="shared" si="46"/>
        <v>3933.333333333333</v>
      </c>
      <c r="DA10" s="49">
        <f t="shared" si="46"/>
        <v>3933.333333333333</v>
      </c>
      <c r="DB10" s="49">
        <f t="shared" si="46"/>
        <v>3933.333333333333</v>
      </c>
      <c r="DC10" s="49">
        <f t="shared" si="46"/>
        <v>3933.333333333333</v>
      </c>
      <c r="DD10" s="49">
        <f t="shared" si="46"/>
        <v>3933.333333333333</v>
      </c>
      <c r="DE10" s="49">
        <f t="shared" si="46"/>
        <v>3933.333333333333</v>
      </c>
      <c r="DF10" s="49">
        <f t="shared" si="46"/>
        <v>3933.333333333333</v>
      </c>
      <c r="DG10" s="49">
        <f t="shared" si="46"/>
        <v>3933.333333333333</v>
      </c>
      <c r="DH10" s="49">
        <f t="shared" si="46"/>
        <v>3933.333333333333</v>
      </c>
      <c r="DI10" s="49">
        <f t="shared" si="46"/>
        <v>3933.333333333333</v>
      </c>
      <c r="DJ10" s="49">
        <f t="shared" si="46"/>
        <v>3933.333333333333</v>
      </c>
      <c r="DK10" s="49">
        <f t="shared" si="46"/>
        <v>3933.333333333333</v>
      </c>
      <c r="DL10" s="49">
        <f t="shared" si="46"/>
        <v>3933.333333333333</v>
      </c>
      <c r="DM10" s="49">
        <f t="shared" si="46"/>
        <v>3933.333333333333</v>
      </c>
      <c r="DN10" s="49">
        <f t="shared" si="46"/>
        <v>3933.333333333333</v>
      </c>
      <c r="DO10" s="49">
        <f t="shared" si="46"/>
        <v>3933.333333333333</v>
      </c>
      <c r="DP10" s="49">
        <f t="shared" si="46"/>
        <v>3933.333333333333</v>
      </c>
      <c r="DQ10" s="49">
        <f t="shared" si="46"/>
        <v>3933.333333333333</v>
      </c>
      <c r="DR10" s="49">
        <f t="shared" si="46"/>
        <v>3933.333333333333</v>
      </c>
      <c r="DS10" s="49">
        <f t="shared" si="46"/>
        <v>3933.333333333333</v>
      </c>
      <c r="DT10" s="49">
        <f t="shared" si="46"/>
        <v>3933.333333333333</v>
      </c>
      <c r="DU10" s="49">
        <f t="shared" si="46"/>
        <v>3933.333333333333</v>
      </c>
      <c r="DV10" s="49">
        <f t="shared" si="46"/>
        <v>3933.333333333333</v>
      </c>
      <c r="DW10" s="49">
        <f t="shared" si="46"/>
        <v>3933.333333333333</v>
      </c>
      <c r="DX10" s="49">
        <f t="shared" si="46"/>
        <v>3933.333333333333</v>
      </c>
      <c r="DY10" s="49">
        <f t="shared" si="46"/>
        <v>3933.333333333333</v>
      </c>
      <c r="DZ10" s="49">
        <f t="shared" si="46"/>
        <v>3933.333333333333</v>
      </c>
      <c r="EA10" s="49">
        <f t="shared" si="46"/>
        <v>3933.333333333333</v>
      </c>
      <c r="EB10" s="49">
        <f t="shared" ref="EB10:FL10" si="47">EA10</f>
        <v>3933.333333333333</v>
      </c>
      <c r="EC10" s="49">
        <f t="shared" si="47"/>
        <v>3933.333333333333</v>
      </c>
      <c r="ED10" s="49">
        <f t="shared" si="47"/>
        <v>3933.333333333333</v>
      </c>
      <c r="EE10" s="49">
        <f t="shared" si="47"/>
        <v>3933.333333333333</v>
      </c>
      <c r="EF10" s="49">
        <f t="shared" si="47"/>
        <v>3933.333333333333</v>
      </c>
      <c r="EG10" s="49">
        <f t="shared" si="47"/>
        <v>3933.333333333333</v>
      </c>
      <c r="EH10" s="49">
        <f t="shared" si="47"/>
        <v>3933.333333333333</v>
      </c>
      <c r="EI10" s="49">
        <f t="shared" si="47"/>
        <v>3933.333333333333</v>
      </c>
      <c r="EJ10" s="49">
        <f t="shared" si="47"/>
        <v>3933.333333333333</v>
      </c>
      <c r="EK10" s="49">
        <f t="shared" si="47"/>
        <v>3933.333333333333</v>
      </c>
      <c r="EL10" s="49">
        <f t="shared" si="47"/>
        <v>3933.333333333333</v>
      </c>
      <c r="EM10" s="49">
        <f t="shared" si="47"/>
        <v>3933.333333333333</v>
      </c>
      <c r="EN10" s="49">
        <f t="shared" si="47"/>
        <v>3933.333333333333</v>
      </c>
      <c r="EO10" s="49">
        <f t="shared" si="47"/>
        <v>3933.333333333333</v>
      </c>
      <c r="EP10" s="49">
        <f t="shared" si="47"/>
        <v>3933.333333333333</v>
      </c>
      <c r="EQ10" s="49">
        <f t="shared" si="47"/>
        <v>3933.333333333333</v>
      </c>
      <c r="ER10" s="49">
        <f t="shared" si="47"/>
        <v>3933.333333333333</v>
      </c>
      <c r="ES10" s="49">
        <f t="shared" si="47"/>
        <v>3933.333333333333</v>
      </c>
      <c r="ET10" s="49">
        <f t="shared" si="47"/>
        <v>3933.333333333333</v>
      </c>
      <c r="EU10" s="49">
        <f t="shared" si="47"/>
        <v>3933.333333333333</v>
      </c>
      <c r="EV10" s="49">
        <f t="shared" si="47"/>
        <v>3933.333333333333</v>
      </c>
      <c r="EW10" s="49">
        <f t="shared" si="47"/>
        <v>3933.333333333333</v>
      </c>
      <c r="EX10" s="49">
        <f t="shared" si="47"/>
        <v>3933.333333333333</v>
      </c>
      <c r="EY10" s="49">
        <f t="shared" si="47"/>
        <v>3933.333333333333</v>
      </c>
      <c r="EZ10" s="49">
        <f t="shared" si="47"/>
        <v>3933.333333333333</v>
      </c>
      <c r="FA10" s="49">
        <f t="shared" si="47"/>
        <v>3933.333333333333</v>
      </c>
      <c r="FB10" s="49">
        <f t="shared" si="47"/>
        <v>3933.333333333333</v>
      </c>
      <c r="FC10" s="49">
        <f t="shared" si="47"/>
        <v>3933.333333333333</v>
      </c>
      <c r="FD10" s="49">
        <f t="shared" si="47"/>
        <v>3933.333333333333</v>
      </c>
      <c r="FE10" s="49">
        <f t="shared" si="47"/>
        <v>3933.333333333333</v>
      </c>
      <c r="FF10" s="49">
        <f t="shared" si="47"/>
        <v>3933.333333333333</v>
      </c>
      <c r="FG10" s="49">
        <f t="shared" si="47"/>
        <v>3933.333333333333</v>
      </c>
      <c r="FH10" s="49">
        <f t="shared" si="47"/>
        <v>3933.333333333333</v>
      </c>
      <c r="FI10" s="49">
        <f t="shared" si="47"/>
        <v>3933.333333333333</v>
      </c>
      <c r="FJ10" s="49">
        <f t="shared" si="47"/>
        <v>3933.333333333333</v>
      </c>
      <c r="FK10" s="49">
        <f t="shared" si="47"/>
        <v>3933.333333333333</v>
      </c>
      <c r="FL10" s="49">
        <f t="shared" si="47"/>
        <v>3933.333333333333</v>
      </c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96"/>
      <c r="GB10" s="96"/>
      <c r="GC10" s="96"/>
      <c r="GD10" s="96"/>
      <c r="GE10" s="96"/>
      <c r="GF10" s="96"/>
      <c r="GG10" s="96"/>
      <c r="GH10" s="96"/>
      <c r="GI10" s="96"/>
      <c r="GJ10" s="96"/>
    </row>
    <row r="11" spans="1:192" x14ac:dyDescent="0.3">
      <c r="A11" s="92">
        <v>106022341</v>
      </c>
      <c r="B11" s="96" t="s">
        <v>74</v>
      </c>
      <c r="C11" s="1">
        <f>VLOOKUP(A11,FORECAST!D:W,4,FALSE)*2000</f>
        <v>200000</v>
      </c>
      <c r="D11" s="49">
        <f t="shared" ref="D11:AI11" si="48">C11</f>
        <v>200000</v>
      </c>
      <c r="E11" s="49">
        <f t="shared" si="48"/>
        <v>200000</v>
      </c>
      <c r="F11" s="49">
        <f t="shared" si="48"/>
        <v>200000</v>
      </c>
      <c r="G11" s="49">
        <f t="shared" si="48"/>
        <v>200000</v>
      </c>
      <c r="H11" s="49">
        <f t="shared" si="48"/>
        <v>200000</v>
      </c>
      <c r="I11" s="49">
        <f t="shared" si="48"/>
        <v>200000</v>
      </c>
      <c r="J11" s="49">
        <f t="shared" si="48"/>
        <v>200000</v>
      </c>
      <c r="K11" s="49">
        <f t="shared" si="48"/>
        <v>200000</v>
      </c>
      <c r="L11" s="49">
        <f t="shared" si="48"/>
        <v>200000</v>
      </c>
      <c r="M11" s="49">
        <f t="shared" si="48"/>
        <v>200000</v>
      </c>
      <c r="N11" s="49">
        <f t="shared" si="48"/>
        <v>200000</v>
      </c>
      <c r="O11" s="49">
        <f t="shared" si="48"/>
        <v>200000</v>
      </c>
      <c r="P11" s="49">
        <f t="shared" si="48"/>
        <v>200000</v>
      </c>
      <c r="Q11" s="49">
        <f t="shared" si="48"/>
        <v>200000</v>
      </c>
      <c r="R11" s="49">
        <f t="shared" si="48"/>
        <v>200000</v>
      </c>
      <c r="S11" s="49">
        <f t="shared" si="48"/>
        <v>200000</v>
      </c>
      <c r="T11" s="49">
        <f t="shared" si="48"/>
        <v>200000</v>
      </c>
      <c r="U11" s="49">
        <f t="shared" si="48"/>
        <v>200000</v>
      </c>
      <c r="V11" s="49">
        <f t="shared" si="48"/>
        <v>200000</v>
      </c>
      <c r="W11" s="49">
        <f t="shared" si="48"/>
        <v>200000</v>
      </c>
      <c r="X11" s="49">
        <f t="shared" si="48"/>
        <v>200000</v>
      </c>
      <c r="Y11" s="49">
        <f t="shared" si="48"/>
        <v>200000</v>
      </c>
      <c r="Z11" s="49">
        <f t="shared" si="48"/>
        <v>200000</v>
      </c>
      <c r="AA11" s="49">
        <f t="shared" si="48"/>
        <v>200000</v>
      </c>
      <c r="AB11" s="49">
        <f t="shared" si="48"/>
        <v>200000</v>
      </c>
      <c r="AC11" s="49">
        <f t="shared" si="48"/>
        <v>200000</v>
      </c>
      <c r="AD11" s="49">
        <f t="shared" si="48"/>
        <v>200000</v>
      </c>
      <c r="AE11" s="49">
        <f t="shared" si="48"/>
        <v>200000</v>
      </c>
      <c r="AF11" s="49">
        <f t="shared" si="48"/>
        <v>200000</v>
      </c>
      <c r="AG11" s="49">
        <f t="shared" si="48"/>
        <v>200000</v>
      </c>
      <c r="AH11" s="49">
        <f t="shared" si="48"/>
        <v>200000</v>
      </c>
      <c r="AI11" s="49">
        <f t="shared" si="48"/>
        <v>200000</v>
      </c>
      <c r="AJ11" s="49">
        <f t="shared" ref="AJ11:BO11" si="49">AI11</f>
        <v>200000</v>
      </c>
      <c r="AK11" s="49">
        <f t="shared" si="49"/>
        <v>200000</v>
      </c>
      <c r="AL11" s="49">
        <f t="shared" si="49"/>
        <v>200000</v>
      </c>
      <c r="AM11" s="49">
        <f t="shared" si="49"/>
        <v>200000</v>
      </c>
      <c r="AN11" s="49">
        <f t="shared" si="49"/>
        <v>200000</v>
      </c>
      <c r="AO11" s="49">
        <f t="shared" si="49"/>
        <v>200000</v>
      </c>
      <c r="AP11" s="49">
        <f t="shared" si="49"/>
        <v>200000</v>
      </c>
      <c r="AQ11" s="49">
        <f t="shared" si="49"/>
        <v>200000</v>
      </c>
      <c r="AR11" s="49">
        <f t="shared" si="49"/>
        <v>200000</v>
      </c>
      <c r="AS11" s="49">
        <f t="shared" si="49"/>
        <v>200000</v>
      </c>
      <c r="AT11" s="49">
        <f t="shared" si="49"/>
        <v>200000</v>
      </c>
      <c r="AU11" s="49">
        <f t="shared" si="49"/>
        <v>200000</v>
      </c>
      <c r="AV11" s="49">
        <f t="shared" si="49"/>
        <v>200000</v>
      </c>
      <c r="AW11" s="49">
        <f t="shared" si="49"/>
        <v>200000</v>
      </c>
      <c r="AX11" s="49">
        <f t="shared" si="49"/>
        <v>200000</v>
      </c>
      <c r="AY11" s="49">
        <f t="shared" si="49"/>
        <v>200000</v>
      </c>
      <c r="AZ11" s="49">
        <f t="shared" si="49"/>
        <v>200000</v>
      </c>
      <c r="BA11" s="49">
        <f t="shared" si="49"/>
        <v>200000</v>
      </c>
      <c r="BB11" s="49">
        <f t="shared" si="49"/>
        <v>200000</v>
      </c>
      <c r="BC11" s="49">
        <f t="shared" si="49"/>
        <v>200000</v>
      </c>
      <c r="BD11" s="49">
        <f t="shared" si="49"/>
        <v>200000</v>
      </c>
      <c r="BE11" s="49">
        <f t="shared" si="49"/>
        <v>200000</v>
      </c>
      <c r="BF11" s="49">
        <f t="shared" si="49"/>
        <v>200000</v>
      </c>
      <c r="BG11" s="49">
        <f t="shared" si="49"/>
        <v>200000</v>
      </c>
      <c r="BH11" s="49">
        <f t="shared" si="49"/>
        <v>200000</v>
      </c>
      <c r="BI11" s="49">
        <f t="shared" si="49"/>
        <v>200000</v>
      </c>
      <c r="BJ11" s="49">
        <f t="shared" si="49"/>
        <v>200000</v>
      </c>
      <c r="BK11" s="49">
        <f t="shared" si="49"/>
        <v>200000</v>
      </c>
      <c r="BL11" s="49">
        <f t="shared" si="49"/>
        <v>200000</v>
      </c>
      <c r="BM11" s="49">
        <f t="shared" si="49"/>
        <v>200000</v>
      </c>
      <c r="BN11" s="49">
        <f t="shared" si="49"/>
        <v>200000</v>
      </c>
      <c r="BO11" s="49">
        <f t="shared" si="49"/>
        <v>200000</v>
      </c>
      <c r="BP11" s="49">
        <f t="shared" ref="BP11:CU11" si="50">BO11</f>
        <v>200000</v>
      </c>
      <c r="BQ11" s="49">
        <f t="shared" si="50"/>
        <v>200000</v>
      </c>
      <c r="BR11" s="49">
        <f t="shared" si="50"/>
        <v>200000</v>
      </c>
      <c r="BS11" s="49">
        <f t="shared" si="50"/>
        <v>200000</v>
      </c>
      <c r="BT11" s="49">
        <f t="shared" si="50"/>
        <v>200000</v>
      </c>
      <c r="BU11" s="49">
        <f t="shared" si="50"/>
        <v>200000</v>
      </c>
      <c r="BV11" s="49">
        <f t="shared" si="50"/>
        <v>200000</v>
      </c>
      <c r="BW11" s="49">
        <f t="shared" si="50"/>
        <v>200000</v>
      </c>
      <c r="BX11" s="49">
        <f t="shared" si="50"/>
        <v>200000</v>
      </c>
      <c r="BY11" s="49">
        <f t="shared" si="50"/>
        <v>200000</v>
      </c>
      <c r="BZ11" s="49">
        <f t="shared" si="50"/>
        <v>200000</v>
      </c>
      <c r="CA11" s="49">
        <f t="shared" si="50"/>
        <v>200000</v>
      </c>
      <c r="CB11" s="49">
        <f t="shared" si="50"/>
        <v>200000</v>
      </c>
      <c r="CC11" s="49">
        <f t="shared" si="50"/>
        <v>200000</v>
      </c>
      <c r="CD11" s="49">
        <f t="shared" si="50"/>
        <v>200000</v>
      </c>
      <c r="CE11" s="49">
        <f t="shared" si="50"/>
        <v>200000</v>
      </c>
      <c r="CF11" s="49">
        <f t="shared" si="50"/>
        <v>200000</v>
      </c>
      <c r="CG11" s="49">
        <f t="shared" si="50"/>
        <v>200000</v>
      </c>
      <c r="CH11" s="49">
        <f t="shared" si="50"/>
        <v>200000</v>
      </c>
      <c r="CI11" s="49">
        <f t="shared" si="50"/>
        <v>200000</v>
      </c>
      <c r="CJ11" s="49">
        <f t="shared" si="50"/>
        <v>200000</v>
      </c>
      <c r="CK11" s="49">
        <f t="shared" si="50"/>
        <v>200000</v>
      </c>
      <c r="CL11" s="49">
        <f t="shared" si="50"/>
        <v>200000</v>
      </c>
      <c r="CM11" s="49">
        <f t="shared" si="50"/>
        <v>200000</v>
      </c>
      <c r="CN11" s="49">
        <f t="shared" si="50"/>
        <v>200000</v>
      </c>
      <c r="CO11" s="49">
        <f t="shared" si="50"/>
        <v>200000</v>
      </c>
      <c r="CP11" s="49">
        <f t="shared" si="50"/>
        <v>200000</v>
      </c>
      <c r="CQ11" s="49">
        <f t="shared" si="50"/>
        <v>200000</v>
      </c>
      <c r="CR11" s="49">
        <f t="shared" si="50"/>
        <v>200000</v>
      </c>
      <c r="CS11" s="49">
        <f t="shared" si="50"/>
        <v>200000</v>
      </c>
      <c r="CT11" s="49">
        <f t="shared" si="50"/>
        <v>200000</v>
      </c>
      <c r="CU11" s="49">
        <f t="shared" si="50"/>
        <v>200000</v>
      </c>
      <c r="CV11" s="49">
        <f t="shared" ref="CV11:EA11" si="51">CU11</f>
        <v>200000</v>
      </c>
      <c r="CW11" s="49">
        <f t="shared" si="51"/>
        <v>200000</v>
      </c>
      <c r="CX11" s="49">
        <f t="shared" si="51"/>
        <v>200000</v>
      </c>
      <c r="CY11" s="49">
        <f t="shared" si="51"/>
        <v>200000</v>
      </c>
      <c r="CZ11" s="49">
        <f t="shared" si="51"/>
        <v>200000</v>
      </c>
      <c r="DA11" s="49">
        <f t="shared" si="51"/>
        <v>200000</v>
      </c>
      <c r="DB11" s="49">
        <f t="shared" si="51"/>
        <v>200000</v>
      </c>
      <c r="DC11" s="49">
        <f t="shared" si="51"/>
        <v>200000</v>
      </c>
      <c r="DD11" s="49">
        <f t="shared" si="51"/>
        <v>200000</v>
      </c>
      <c r="DE11" s="49">
        <f t="shared" si="51"/>
        <v>200000</v>
      </c>
      <c r="DF11" s="49">
        <f t="shared" si="51"/>
        <v>200000</v>
      </c>
      <c r="DG11" s="49">
        <f t="shared" si="51"/>
        <v>200000</v>
      </c>
      <c r="DH11" s="49">
        <f t="shared" si="51"/>
        <v>200000</v>
      </c>
      <c r="DI11" s="49">
        <f t="shared" si="51"/>
        <v>200000</v>
      </c>
      <c r="DJ11" s="49">
        <f t="shared" si="51"/>
        <v>200000</v>
      </c>
      <c r="DK11" s="49">
        <f t="shared" si="51"/>
        <v>200000</v>
      </c>
      <c r="DL11" s="49">
        <f t="shared" si="51"/>
        <v>200000</v>
      </c>
      <c r="DM11" s="49">
        <f t="shared" si="51"/>
        <v>200000</v>
      </c>
      <c r="DN11" s="49">
        <f t="shared" si="51"/>
        <v>200000</v>
      </c>
      <c r="DO11" s="49">
        <f t="shared" si="51"/>
        <v>200000</v>
      </c>
      <c r="DP11" s="49">
        <f t="shared" si="51"/>
        <v>200000</v>
      </c>
      <c r="DQ11" s="49">
        <f t="shared" si="51"/>
        <v>200000</v>
      </c>
      <c r="DR11" s="49">
        <f t="shared" si="51"/>
        <v>200000</v>
      </c>
      <c r="DS11" s="49">
        <f t="shared" si="51"/>
        <v>200000</v>
      </c>
      <c r="DT11" s="49">
        <f t="shared" si="51"/>
        <v>200000</v>
      </c>
      <c r="DU11" s="49">
        <f t="shared" si="51"/>
        <v>200000</v>
      </c>
      <c r="DV11" s="49">
        <f t="shared" si="51"/>
        <v>200000</v>
      </c>
      <c r="DW11" s="49">
        <f t="shared" si="51"/>
        <v>200000</v>
      </c>
      <c r="DX11" s="49">
        <f t="shared" si="51"/>
        <v>200000</v>
      </c>
      <c r="DY11" s="49">
        <f t="shared" si="51"/>
        <v>200000</v>
      </c>
      <c r="DZ11" s="49">
        <f t="shared" si="51"/>
        <v>200000</v>
      </c>
      <c r="EA11" s="49">
        <f t="shared" si="51"/>
        <v>200000</v>
      </c>
      <c r="EB11" s="49">
        <f t="shared" ref="EB11:FL11" si="52">EA11</f>
        <v>200000</v>
      </c>
      <c r="EC11" s="49">
        <f t="shared" si="52"/>
        <v>200000</v>
      </c>
      <c r="ED11" s="49">
        <f t="shared" si="52"/>
        <v>200000</v>
      </c>
      <c r="EE11" s="49">
        <f t="shared" si="52"/>
        <v>200000</v>
      </c>
      <c r="EF11" s="49">
        <f t="shared" si="52"/>
        <v>200000</v>
      </c>
      <c r="EG11" s="49">
        <f t="shared" si="52"/>
        <v>200000</v>
      </c>
      <c r="EH11" s="49">
        <f t="shared" si="52"/>
        <v>200000</v>
      </c>
      <c r="EI11" s="49">
        <f t="shared" si="52"/>
        <v>200000</v>
      </c>
      <c r="EJ11" s="49">
        <f t="shared" si="52"/>
        <v>200000</v>
      </c>
      <c r="EK11" s="49">
        <f t="shared" si="52"/>
        <v>200000</v>
      </c>
      <c r="EL11" s="49">
        <f t="shared" si="52"/>
        <v>200000</v>
      </c>
      <c r="EM11" s="49">
        <f t="shared" si="52"/>
        <v>200000</v>
      </c>
      <c r="EN11" s="49">
        <f t="shared" si="52"/>
        <v>200000</v>
      </c>
      <c r="EO11" s="49">
        <f t="shared" si="52"/>
        <v>200000</v>
      </c>
      <c r="EP11" s="49">
        <f t="shared" si="52"/>
        <v>200000</v>
      </c>
      <c r="EQ11" s="49">
        <f t="shared" si="52"/>
        <v>200000</v>
      </c>
      <c r="ER11" s="49">
        <f t="shared" si="52"/>
        <v>200000</v>
      </c>
      <c r="ES11" s="49">
        <f t="shared" si="52"/>
        <v>200000</v>
      </c>
      <c r="ET11" s="49">
        <f t="shared" si="52"/>
        <v>200000</v>
      </c>
      <c r="EU11" s="49">
        <f t="shared" si="52"/>
        <v>200000</v>
      </c>
      <c r="EV11" s="49">
        <f t="shared" si="52"/>
        <v>200000</v>
      </c>
      <c r="EW11" s="49">
        <f t="shared" si="52"/>
        <v>200000</v>
      </c>
      <c r="EX11" s="49">
        <f t="shared" si="52"/>
        <v>200000</v>
      </c>
      <c r="EY11" s="49">
        <f t="shared" si="52"/>
        <v>200000</v>
      </c>
      <c r="EZ11" s="49">
        <f t="shared" si="52"/>
        <v>200000</v>
      </c>
      <c r="FA11" s="49">
        <f t="shared" si="52"/>
        <v>200000</v>
      </c>
      <c r="FB11" s="49">
        <f t="shared" si="52"/>
        <v>200000</v>
      </c>
      <c r="FC11" s="49">
        <f t="shared" si="52"/>
        <v>200000</v>
      </c>
      <c r="FD11" s="49">
        <f t="shared" si="52"/>
        <v>200000</v>
      </c>
      <c r="FE11" s="49">
        <f t="shared" si="52"/>
        <v>200000</v>
      </c>
      <c r="FF11" s="49">
        <f t="shared" si="52"/>
        <v>200000</v>
      </c>
      <c r="FG11" s="49">
        <f t="shared" si="52"/>
        <v>200000</v>
      </c>
      <c r="FH11" s="49">
        <f t="shared" si="52"/>
        <v>200000</v>
      </c>
      <c r="FI11" s="49">
        <f t="shared" si="52"/>
        <v>200000</v>
      </c>
      <c r="FJ11" s="49">
        <f t="shared" si="52"/>
        <v>200000</v>
      </c>
      <c r="FK11" s="49">
        <f t="shared" si="52"/>
        <v>200000</v>
      </c>
      <c r="FL11" s="49">
        <f t="shared" si="52"/>
        <v>200000</v>
      </c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96"/>
      <c r="GB11" s="96"/>
      <c r="GC11" s="96"/>
      <c r="GD11" s="96"/>
      <c r="GE11" s="96"/>
      <c r="GF11" s="96"/>
      <c r="GG11" s="96"/>
      <c r="GH11" s="96"/>
      <c r="GI11" s="96"/>
      <c r="GJ11" s="96"/>
    </row>
    <row r="12" spans="1:192" x14ac:dyDescent="0.3">
      <c r="A12" s="92">
        <v>106028578</v>
      </c>
      <c r="B12" s="96" t="s">
        <v>74</v>
      </c>
      <c r="C12" s="1">
        <f>VLOOKUP(A12,FORECAST!D:W,4,FALSE)*2000</f>
        <v>200000</v>
      </c>
      <c r="D12" s="49">
        <f t="shared" ref="D12:AI12" si="53">C12</f>
        <v>200000</v>
      </c>
      <c r="E12" s="49">
        <f t="shared" si="53"/>
        <v>200000</v>
      </c>
      <c r="F12" s="49">
        <f t="shared" si="53"/>
        <v>200000</v>
      </c>
      <c r="G12" s="49">
        <f t="shared" si="53"/>
        <v>200000</v>
      </c>
      <c r="H12" s="49">
        <f t="shared" si="53"/>
        <v>200000</v>
      </c>
      <c r="I12" s="49">
        <f t="shared" si="53"/>
        <v>200000</v>
      </c>
      <c r="J12" s="49">
        <f t="shared" si="53"/>
        <v>200000</v>
      </c>
      <c r="K12" s="49">
        <f t="shared" si="53"/>
        <v>200000</v>
      </c>
      <c r="L12" s="49">
        <f t="shared" si="53"/>
        <v>200000</v>
      </c>
      <c r="M12" s="49">
        <f t="shared" si="53"/>
        <v>200000</v>
      </c>
      <c r="N12" s="49">
        <f t="shared" si="53"/>
        <v>200000</v>
      </c>
      <c r="O12" s="49">
        <f t="shared" si="53"/>
        <v>200000</v>
      </c>
      <c r="P12" s="49">
        <f t="shared" si="53"/>
        <v>200000</v>
      </c>
      <c r="Q12" s="49">
        <f t="shared" si="53"/>
        <v>200000</v>
      </c>
      <c r="R12" s="49">
        <f t="shared" si="53"/>
        <v>200000</v>
      </c>
      <c r="S12" s="49">
        <f t="shared" si="53"/>
        <v>200000</v>
      </c>
      <c r="T12" s="49">
        <f t="shared" si="53"/>
        <v>200000</v>
      </c>
      <c r="U12" s="49">
        <f t="shared" si="53"/>
        <v>200000</v>
      </c>
      <c r="V12" s="49">
        <f t="shared" si="53"/>
        <v>200000</v>
      </c>
      <c r="W12" s="49">
        <f t="shared" si="53"/>
        <v>200000</v>
      </c>
      <c r="X12" s="49">
        <f t="shared" si="53"/>
        <v>200000</v>
      </c>
      <c r="Y12" s="49">
        <f t="shared" si="53"/>
        <v>200000</v>
      </c>
      <c r="Z12" s="49">
        <f t="shared" si="53"/>
        <v>200000</v>
      </c>
      <c r="AA12" s="49">
        <f t="shared" si="53"/>
        <v>200000</v>
      </c>
      <c r="AB12" s="49">
        <f t="shared" si="53"/>
        <v>200000</v>
      </c>
      <c r="AC12" s="49">
        <f t="shared" si="53"/>
        <v>200000</v>
      </c>
      <c r="AD12" s="49">
        <f t="shared" si="53"/>
        <v>200000</v>
      </c>
      <c r="AE12" s="49">
        <f t="shared" si="53"/>
        <v>200000</v>
      </c>
      <c r="AF12" s="49">
        <f t="shared" si="53"/>
        <v>200000</v>
      </c>
      <c r="AG12" s="49">
        <f t="shared" si="53"/>
        <v>200000</v>
      </c>
      <c r="AH12" s="49">
        <f t="shared" si="53"/>
        <v>200000</v>
      </c>
      <c r="AI12" s="49">
        <f t="shared" si="53"/>
        <v>200000</v>
      </c>
      <c r="AJ12" s="49">
        <f t="shared" ref="AJ12:BO12" si="54">AI12</f>
        <v>200000</v>
      </c>
      <c r="AK12" s="49">
        <f t="shared" si="54"/>
        <v>200000</v>
      </c>
      <c r="AL12" s="49">
        <f t="shared" si="54"/>
        <v>200000</v>
      </c>
      <c r="AM12" s="49">
        <f t="shared" si="54"/>
        <v>200000</v>
      </c>
      <c r="AN12" s="49">
        <f t="shared" si="54"/>
        <v>200000</v>
      </c>
      <c r="AO12" s="49">
        <f t="shared" si="54"/>
        <v>200000</v>
      </c>
      <c r="AP12" s="49">
        <f t="shared" si="54"/>
        <v>200000</v>
      </c>
      <c r="AQ12" s="49">
        <f t="shared" si="54"/>
        <v>200000</v>
      </c>
      <c r="AR12" s="49">
        <f t="shared" si="54"/>
        <v>200000</v>
      </c>
      <c r="AS12" s="49">
        <f t="shared" si="54"/>
        <v>200000</v>
      </c>
      <c r="AT12" s="49">
        <f t="shared" si="54"/>
        <v>200000</v>
      </c>
      <c r="AU12" s="49">
        <f t="shared" si="54"/>
        <v>200000</v>
      </c>
      <c r="AV12" s="49">
        <f t="shared" si="54"/>
        <v>200000</v>
      </c>
      <c r="AW12" s="49">
        <f t="shared" si="54"/>
        <v>200000</v>
      </c>
      <c r="AX12" s="49">
        <f t="shared" si="54"/>
        <v>200000</v>
      </c>
      <c r="AY12" s="49">
        <f t="shared" si="54"/>
        <v>200000</v>
      </c>
      <c r="AZ12" s="49">
        <f t="shared" si="54"/>
        <v>200000</v>
      </c>
      <c r="BA12" s="49">
        <f t="shared" si="54"/>
        <v>200000</v>
      </c>
      <c r="BB12" s="49">
        <f t="shared" si="54"/>
        <v>200000</v>
      </c>
      <c r="BC12" s="49">
        <f t="shared" si="54"/>
        <v>200000</v>
      </c>
      <c r="BD12" s="49">
        <f t="shared" si="54"/>
        <v>200000</v>
      </c>
      <c r="BE12" s="49">
        <f t="shared" si="54"/>
        <v>200000</v>
      </c>
      <c r="BF12" s="49">
        <f t="shared" si="54"/>
        <v>200000</v>
      </c>
      <c r="BG12" s="49">
        <f t="shared" si="54"/>
        <v>200000</v>
      </c>
      <c r="BH12" s="49">
        <f t="shared" si="54"/>
        <v>200000</v>
      </c>
      <c r="BI12" s="49">
        <f t="shared" si="54"/>
        <v>200000</v>
      </c>
      <c r="BJ12" s="49">
        <f t="shared" si="54"/>
        <v>200000</v>
      </c>
      <c r="BK12" s="49">
        <f t="shared" si="54"/>
        <v>200000</v>
      </c>
      <c r="BL12" s="49">
        <f t="shared" si="54"/>
        <v>200000</v>
      </c>
      <c r="BM12" s="49">
        <f t="shared" si="54"/>
        <v>200000</v>
      </c>
      <c r="BN12" s="49">
        <f t="shared" si="54"/>
        <v>200000</v>
      </c>
      <c r="BO12" s="49">
        <f t="shared" si="54"/>
        <v>200000</v>
      </c>
      <c r="BP12" s="49">
        <f t="shared" ref="BP12:CU12" si="55">BO12</f>
        <v>200000</v>
      </c>
      <c r="BQ12" s="49">
        <f t="shared" si="55"/>
        <v>200000</v>
      </c>
      <c r="BR12" s="49">
        <f t="shared" si="55"/>
        <v>200000</v>
      </c>
      <c r="BS12" s="49">
        <f t="shared" si="55"/>
        <v>200000</v>
      </c>
      <c r="BT12" s="49">
        <f t="shared" si="55"/>
        <v>200000</v>
      </c>
      <c r="BU12" s="49">
        <f t="shared" si="55"/>
        <v>200000</v>
      </c>
      <c r="BV12" s="49">
        <f t="shared" si="55"/>
        <v>200000</v>
      </c>
      <c r="BW12" s="49">
        <f t="shared" si="55"/>
        <v>200000</v>
      </c>
      <c r="BX12" s="49">
        <f t="shared" si="55"/>
        <v>200000</v>
      </c>
      <c r="BY12" s="49">
        <f t="shared" si="55"/>
        <v>200000</v>
      </c>
      <c r="BZ12" s="49">
        <f t="shared" si="55"/>
        <v>200000</v>
      </c>
      <c r="CA12" s="49">
        <f t="shared" si="55"/>
        <v>200000</v>
      </c>
      <c r="CB12" s="49">
        <f t="shared" si="55"/>
        <v>200000</v>
      </c>
      <c r="CC12" s="49">
        <f t="shared" si="55"/>
        <v>200000</v>
      </c>
      <c r="CD12" s="49">
        <f t="shared" si="55"/>
        <v>200000</v>
      </c>
      <c r="CE12" s="49">
        <f t="shared" si="55"/>
        <v>200000</v>
      </c>
      <c r="CF12" s="49">
        <f t="shared" si="55"/>
        <v>200000</v>
      </c>
      <c r="CG12" s="49">
        <f t="shared" si="55"/>
        <v>200000</v>
      </c>
      <c r="CH12" s="49">
        <f t="shared" si="55"/>
        <v>200000</v>
      </c>
      <c r="CI12" s="49">
        <f t="shared" si="55"/>
        <v>200000</v>
      </c>
      <c r="CJ12" s="49">
        <f t="shared" si="55"/>
        <v>200000</v>
      </c>
      <c r="CK12" s="49">
        <f t="shared" si="55"/>
        <v>200000</v>
      </c>
      <c r="CL12" s="49">
        <f t="shared" si="55"/>
        <v>200000</v>
      </c>
      <c r="CM12" s="49">
        <f t="shared" si="55"/>
        <v>200000</v>
      </c>
      <c r="CN12" s="49">
        <f t="shared" si="55"/>
        <v>200000</v>
      </c>
      <c r="CO12" s="49">
        <f t="shared" si="55"/>
        <v>200000</v>
      </c>
      <c r="CP12" s="49">
        <f t="shared" si="55"/>
        <v>200000</v>
      </c>
      <c r="CQ12" s="49">
        <f t="shared" si="55"/>
        <v>200000</v>
      </c>
      <c r="CR12" s="49">
        <f t="shared" si="55"/>
        <v>200000</v>
      </c>
      <c r="CS12" s="49">
        <f t="shared" si="55"/>
        <v>200000</v>
      </c>
      <c r="CT12" s="49">
        <f t="shared" si="55"/>
        <v>200000</v>
      </c>
      <c r="CU12" s="49">
        <f t="shared" si="55"/>
        <v>200000</v>
      </c>
      <c r="CV12" s="49">
        <f t="shared" ref="CV12:EA12" si="56">CU12</f>
        <v>200000</v>
      </c>
      <c r="CW12" s="49">
        <f t="shared" si="56"/>
        <v>200000</v>
      </c>
      <c r="CX12" s="49">
        <f t="shared" si="56"/>
        <v>200000</v>
      </c>
      <c r="CY12" s="49">
        <f t="shared" si="56"/>
        <v>200000</v>
      </c>
      <c r="CZ12" s="49">
        <f t="shared" si="56"/>
        <v>200000</v>
      </c>
      <c r="DA12" s="49">
        <f t="shared" si="56"/>
        <v>200000</v>
      </c>
      <c r="DB12" s="49">
        <f t="shared" si="56"/>
        <v>200000</v>
      </c>
      <c r="DC12" s="49">
        <f t="shared" si="56"/>
        <v>200000</v>
      </c>
      <c r="DD12" s="49">
        <f t="shared" si="56"/>
        <v>200000</v>
      </c>
      <c r="DE12" s="49">
        <f t="shared" si="56"/>
        <v>200000</v>
      </c>
      <c r="DF12" s="49">
        <f t="shared" si="56"/>
        <v>200000</v>
      </c>
      <c r="DG12" s="49">
        <f t="shared" si="56"/>
        <v>200000</v>
      </c>
      <c r="DH12" s="49">
        <f t="shared" si="56"/>
        <v>200000</v>
      </c>
      <c r="DI12" s="49">
        <f t="shared" si="56"/>
        <v>200000</v>
      </c>
      <c r="DJ12" s="49">
        <f t="shared" si="56"/>
        <v>200000</v>
      </c>
      <c r="DK12" s="49">
        <f t="shared" si="56"/>
        <v>200000</v>
      </c>
      <c r="DL12" s="49">
        <f t="shared" si="56"/>
        <v>200000</v>
      </c>
      <c r="DM12" s="49">
        <f t="shared" si="56"/>
        <v>200000</v>
      </c>
      <c r="DN12" s="49">
        <f t="shared" si="56"/>
        <v>200000</v>
      </c>
      <c r="DO12" s="49">
        <f t="shared" si="56"/>
        <v>200000</v>
      </c>
      <c r="DP12" s="49">
        <f t="shared" si="56"/>
        <v>200000</v>
      </c>
      <c r="DQ12" s="49">
        <f t="shared" si="56"/>
        <v>200000</v>
      </c>
      <c r="DR12" s="49">
        <f t="shared" si="56"/>
        <v>200000</v>
      </c>
      <c r="DS12" s="49">
        <f t="shared" si="56"/>
        <v>200000</v>
      </c>
      <c r="DT12" s="49">
        <f t="shared" si="56"/>
        <v>200000</v>
      </c>
      <c r="DU12" s="49">
        <f t="shared" si="56"/>
        <v>200000</v>
      </c>
      <c r="DV12" s="49">
        <f t="shared" si="56"/>
        <v>200000</v>
      </c>
      <c r="DW12" s="49">
        <f t="shared" si="56"/>
        <v>200000</v>
      </c>
      <c r="DX12" s="49">
        <f t="shared" si="56"/>
        <v>200000</v>
      </c>
      <c r="DY12" s="49">
        <f t="shared" si="56"/>
        <v>200000</v>
      </c>
      <c r="DZ12" s="49">
        <f t="shared" si="56"/>
        <v>200000</v>
      </c>
      <c r="EA12" s="49">
        <f t="shared" si="56"/>
        <v>200000</v>
      </c>
      <c r="EB12" s="49">
        <f t="shared" ref="EB12:FL12" si="57">EA12</f>
        <v>200000</v>
      </c>
      <c r="EC12" s="49">
        <f t="shared" si="57"/>
        <v>200000</v>
      </c>
      <c r="ED12" s="49">
        <f t="shared" si="57"/>
        <v>200000</v>
      </c>
      <c r="EE12" s="49">
        <f t="shared" si="57"/>
        <v>200000</v>
      </c>
      <c r="EF12" s="49">
        <f t="shared" si="57"/>
        <v>200000</v>
      </c>
      <c r="EG12" s="49">
        <f t="shared" si="57"/>
        <v>200000</v>
      </c>
      <c r="EH12" s="49">
        <f t="shared" si="57"/>
        <v>200000</v>
      </c>
      <c r="EI12" s="49">
        <f t="shared" si="57"/>
        <v>200000</v>
      </c>
      <c r="EJ12" s="49">
        <f t="shared" si="57"/>
        <v>200000</v>
      </c>
      <c r="EK12" s="49">
        <f t="shared" si="57"/>
        <v>200000</v>
      </c>
      <c r="EL12" s="49">
        <f t="shared" si="57"/>
        <v>200000</v>
      </c>
      <c r="EM12" s="49">
        <f t="shared" si="57"/>
        <v>200000</v>
      </c>
      <c r="EN12" s="49">
        <f t="shared" si="57"/>
        <v>200000</v>
      </c>
      <c r="EO12" s="49">
        <f t="shared" si="57"/>
        <v>200000</v>
      </c>
      <c r="EP12" s="49">
        <f t="shared" si="57"/>
        <v>200000</v>
      </c>
      <c r="EQ12" s="49">
        <f t="shared" si="57"/>
        <v>200000</v>
      </c>
      <c r="ER12" s="49">
        <f t="shared" si="57"/>
        <v>200000</v>
      </c>
      <c r="ES12" s="49">
        <f t="shared" si="57"/>
        <v>200000</v>
      </c>
      <c r="ET12" s="49">
        <f t="shared" si="57"/>
        <v>200000</v>
      </c>
      <c r="EU12" s="49">
        <f t="shared" si="57"/>
        <v>200000</v>
      </c>
      <c r="EV12" s="49">
        <f t="shared" si="57"/>
        <v>200000</v>
      </c>
      <c r="EW12" s="49">
        <f t="shared" si="57"/>
        <v>200000</v>
      </c>
      <c r="EX12" s="49">
        <f t="shared" si="57"/>
        <v>200000</v>
      </c>
      <c r="EY12" s="49">
        <f t="shared" si="57"/>
        <v>200000</v>
      </c>
      <c r="EZ12" s="49">
        <f t="shared" si="57"/>
        <v>200000</v>
      </c>
      <c r="FA12" s="49">
        <f t="shared" si="57"/>
        <v>200000</v>
      </c>
      <c r="FB12" s="49">
        <f t="shared" si="57"/>
        <v>200000</v>
      </c>
      <c r="FC12" s="49">
        <f t="shared" si="57"/>
        <v>200000</v>
      </c>
      <c r="FD12" s="49">
        <f t="shared" si="57"/>
        <v>200000</v>
      </c>
      <c r="FE12" s="49">
        <f t="shared" si="57"/>
        <v>200000</v>
      </c>
      <c r="FF12" s="49">
        <f t="shared" si="57"/>
        <v>200000</v>
      </c>
      <c r="FG12" s="49">
        <f t="shared" si="57"/>
        <v>200000</v>
      </c>
      <c r="FH12" s="49">
        <f t="shared" si="57"/>
        <v>200000</v>
      </c>
      <c r="FI12" s="49">
        <f t="shared" si="57"/>
        <v>200000</v>
      </c>
      <c r="FJ12" s="49">
        <f t="shared" si="57"/>
        <v>200000</v>
      </c>
      <c r="FK12" s="49">
        <f t="shared" si="57"/>
        <v>200000</v>
      </c>
      <c r="FL12" s="49">
        <f t="shared" si="57"/>
        <v>200000</v>
      </c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96"/>
      <c r="GB12" s="96"/>
      <c r="GC12" s="96"/>
      <c r="GD12" s="96"/>
      <c r="GE12" s="96"/>
      <c r="GF12" s="96"/>
      <c r="GG12" s="96"/>
      <c r="GH12" s="96"/>
      <c r="GI12" s="96"/>
      <c r="GJ12" s="96"/>
    </row>
    <row r="13" spans="1:192" x14ac:dyDescent="0.3">
      <c r="A13" s="92">
        <v>106028776</v>
      </c>
      <c r="B13" s="96" t="s">
        <v>74</v>
      </c>
      <c r="C13" s="1">
        <f>VLOOKUP(A13,FORECAST!D:W,4,FALSE)*2000</f>
        <v>300000</v>
      </c>
      <c r="D13" s="49">
        <f t="shared" ref="D13:AI13" si="58">C13</f>
        <v>300000</v>
      </c>
      <c r="E13" s="49">
        <f t="shared" si="58"/>
        <v>300000</v>
      </c>
      <c r="F13" s="49">
        <f t="shared" si="58"/>
        <v>300000</v>
      </c>
      <c r="G13" s="49">
        <f t="shared" si="58"/>
        <v>300000</v>
      </c>
      <c r="H13" s="49">
        <f t="shared" si="58"/>
        <v>300000</v>
      </c>
      <c r="I13" s="49">
        <f t="shared" si="58"/>
        <v>300000</v>
      </c>
      <c r="J13" s="49">
        <f t="shared" si="58"/>
        <v>300000</v>
      </c>
      <c r="K13" s="49">
        <f t="shared" si="58"/>
        <v>300000</v>
      </c>
      <c r="L13" s="49">
        <f t="shared" si="58"/>
        <v>300000</v>
      </c>
      <c r="M13" s="49">
        <f t="shared" si="58"/>
        <v>300000</v>
      </c>
      <c r="N13" s="49">
        <f t="shared" si="58"/>
        <v>300000</v>
      </c>
      <c r="O13" s="49">
        <f t="shared" si="58"/>
        <v>300000</v>
      </c>
      <c r="P13" s="49">
        <f t="shared" si="58"/>
        <v>300000</v>
      </c>
      <c r="Q13" s="49">
        <f t="shared" si="58"/>
        <v>300000</v>
      </c>
      <c r="R13" s="49">
        <f t="shared" si="58"/>
        <v>300000</v>
      </c>
      <c r="S13" s="49">
        <f t="shared" si="58"/>
        <v>300000</v>
      </c>
      <c r="T13" s="49">
        <f t="shared" si="58"/>
        <v>300000</v>
      </c>
      <c r="U13" s="49">
        <f t="shared" si="58"/>
        <v>300000</v>
      </c>
      <c r="V13" s="49">
        <f t="shared" si="58"/>
        <v>300000</v>
      </c>
      <c r="W13" s="49">
        <f t="shared" si="58"/>
        <v>300000</v>
      </c>
      <c r="X13" s="49">
        <f t="shared" si="58"/>
        <v>300000</v>
      </c>
      <c r="Y13" s="49">
        <f t="shared" si="58"/>
        <v>300000</v>
      </c>
      <c r="Z13" s="49">
        <f t="shared" si="58"/>
        <v>300000</v>
      </c>
      <c r="AA13" s="49">
        <f t="shared" si="58"/>
        <v>300000</v>
      </c>
      <c r="AB13" s="49">
        <f t="shared" si="58"/>
        <v>300000</v>
      </c>
      <c r="AC13" s="49">
        <f t="shared" si="58"/>
        <v>300000</v>
      </c>
      <c r="AD13" s="49">
        <f t="shared" si="58"/>
        <v>300000</v>
      </c>
      <c r="AE13" s="49">
        <f t="shared" si="58"/>
        <v>300000</v>
      </c>
      <c r="AF13" s="49">
        <f t="shared" si="58"/>
        <v>300000</v>
      </c>
      <c r="AG13" s="49">
        <f t="shared" si="58"/>
        <v>300000</v>
      </c>
      <c r="AH13" s="49">
        <f t="shared" si="58"/>
        <v>300000</v>
      </c>
      <c r="AI13" s="49">
        <f t="shared" si="58"/>
        <v>300000</v>
      </c>
      <c r="AJ13" s="49">
        <f t="shared" ref="AJ13:BO13" si="59">AI13</f>
        <v>300000</v>
      </c>
      <c r="AK13" s="49">
        <f t="shared" si="59"/>
        <v>300000</v>
      </c>
      <c r="AL13" s="49">
        <f t="shared" si="59"/>
        <v>300000</v>
      </c>
      <c r="AM13" s="49">
        <f t="shared" si="59"/>
        <v>300000</v>
      </c>
      <c r="AN13" s="49">
        <f t="shared" si="59"/>
        <v>300000</v>
      </c>
      <c r="AO13" s="49">
        <f t="shared" si="59"/>
        <v>300000</v>
      </c>
      <c r="AP13" s="49">
        <f t="shared" si="59"/>
        <v>300000</v>
      </c>
      <c r="AQ13" s="49">
        <f t="shared" si="59"/>
        <v>300000</v>
      </c>
      <c r="AR13" s="49">
        <f t="shared" si="59"/>
        <v>300000</v>
      </c>
      <c r="AS13" s="49">
        <f t="shared" si="59"/>
        <v>300000</v>
      </c>
      <c r="AT13" s="49">
        <f t="shared" si="59"/>
        <v>300000</v>
      </c>
      <c r="AU13" s="49">
        <f t="shared" si="59"/>
        <v>300000</v>
      </c>
      <c r="AV13" s="49">
        <f t="shared" si="59"/>
        <v>300000</v>
      </c>
      <c r="AW13" s="49">
        <f t="shared" si="59"/>
        <v>300000</v>
      </c>
      <c r="AX13" s="49">
        <f t="shared" si="59"/>
        <v>300000</v>
      </c>
      <c r="AY13" s="49">
        <f t="shared" si="59"/>
        <v>300000</v>
      </c>
      <c r="AZ13" s="49">
        <f t="shared" si="59"/>
        <v>300000</v>
      </c>
      <c r="BA13" s="49">
        <f t="shared" si="59"/>
        <v>300000</v>
      </c>
      <c r="BB13" s="49">
        <f t="shared" si="59"/>
        <v>300000</v>
      </c>
      <c r="BC13" s="49">
        <f t="shared" si="59"/>
        <v>300000</v>
      </c>
      <c r="BD13" s="49">
        <f t="shared" si="59"/>
        <v>300000</v>
      </c>
      <c r="BE13" s="49">
        <f t="shared" si="59"/>
        <v>300000</v>
      </c>
      <c r="BF13" s="49">
        <f t="shared" si="59"/>
        <v>300000</v>
      </c>
      <c r="BG13" s="49">
        <f t="shared" si="59"/>
        <v>300000</v>
      </c>
      <c r="BH13" s="49">
        <f t="shared" si="59"/>
        <v>300000</v>
      </c>
      <c r="BI13" s="49">
        <f t="shared" si="59"/>
        <v>300000</v>
      </c>
      <c r="BJ13" s="49">
        <f t="shared" si="59"/>
        <v>300000</v>
      </c>
      <c r="BK13" s="49">
        <f t="shared" si="59"/>
        <v>300000</v>
      </c>
      <c r="BL13" s="49">
        <f t="shared" si="59"/>
        <v>300000</v>
      </c>
      <c r="BM13" s="49">
        <f t="shared" si="59"/>
        <v>300000</v>
      </c>
      <c r="BN13" s="49">
        <f t="shared" si="59"/>
        <v>300000</v>
      </c>
      <c r="BO13" s="49">
        <f t="shared" si="59"/>
        <v>300000</v>
      </c>
      <c r="BP13" s="49">
        <f t="shared" ref="BP13:CU13" si="60">BO13</f>
        <v>300000</v>
      </c>
      <c r="BQ13" s="49">
        <f t="shared" si="60"/>
        <v>300000</v>
      </c>
      <c r="BR13" s="49">
        <f t="shared" si="60"/>
        <v>300000</v>
      </c>
      <c r="BS13" s="49">
        <f t="shared" si="60"/>
        <v>300000</v>
      </c>
      <c r="BT13" s="49">
        <f t="shared" si="60"/>
        <v>300000</v>
      </c>
      <c r="BU13" s="49">
        <f t="shared" si="60"/>
        <v>300000</v>
      </c>
      <c r="BV13" s="49">
        <f t="shared" si="60"/>
        <v>300000</v>
      </c>
      <c r="BW13" s="49">
        <f t="shared" si="60"/>
        <v>300000</v>
      </c>
      <c r="BX13" s="49">
        <f t="shared" si="60"/>
        <v>300000</v>
      </c>
      <c r="BY13" s="49">
        <f t="shared" si="60"/>
        <v>300000</v>
      </c>
      <c r="BZ13" s="49">
        <f t="shared" si="60"/>
        <v>300000</v>
      </c>
      <c r="CA13" s="49">
        <f t="shared" si="60"/>
        <v>300000</v>
      </c>
      <c r="CB13" s="49">
        <f t="shared" si="60"/>
        <v>300000</v>
      </c>
      <c r="CC13" s="49">
        <f t="shared" si="60"/>
        <v>300000</v>
      </c>
      <c r="CD13" s="49">
        <f t="shared" si="60"/>
        <v>300000</v>
      </c>
      <c r="CE13" s="49">
        <f t="shared" si="60"/>
        <v>300000</v>
      </c>
      <c r="CF13" s="49">
        <f t="shared" si="60"/>
        <v>300000</v>
      </c>
      <c r="CG13" s="49">
        <f t="shared" si="60"/>
        <v>300000</v>
      </c>
      <c r="CH13" s="49">
        <f t="shared" si="60"/>
        <v>300000</v>
      </c>
      <c r="CI13" s="49">
        <f t="shared" si="60"/>
        <v>300000</v>
      </c>
      <c r="CJ13" s="49">
        <f t="shared" si="60"/>
        <v>300000</v>
      </c>
      <c r="CK13" s="49">
        <f t="shared" si="60"/>
        <v>300000</v>
      </c>
      <c r="CL13" s="49">
        <f t="shared" si="60"/>
        <v>300000</v>
      </c>
      <c r="CM13" s="49">
        <f t="shared" si="60"/>
        <v>300000</v>
      </c>
      <c r="CN13" s="49">
        <f t="shared" si="60"/>
        <v>300000</v>
      </c>
      <c r="CO13" s="49">
        <f t="shared" si="60"/>
        <v>300000</v>
      </c>
      <c r="CP13" s="49">
        <f t="shared" si="60"/>
        <v>300000</v>
      </c>
      <c r="CQ13" s="49">
        <f t="shared" si="60"/>
        <v>300000</v>
      </c>
      <c r="CR13" s="49">
        <f t="shared" si="60"/>
        <v>300000</v>
      </c>
      <c r="CS13" s="49">
        <f t="shared" si="60"/>
        <v>300000</v>
      </c>
      <c r="CT13" s="49">
        <f t="shared" si="60"/>
        <v>300000</v>
      </c>
      <c r="CU13" s="49">
        <f t="shared" si="60"/>
        <v>300000</v>
      </c>
      <c r="CV13" s="49">
        <f t="shared" ref="CV13:EA13" si="61">CU13</f>
        <v>300000</v>
      </c>
      <c r="CW13" s="49">
        <f t="shared" si="61"/>
        <v>300000</v>
      </c>
      <c r="CX13" s="49">
        <f t="shared" si="61"/>
        <v>300000</v>
      </c>
      <c r="CY13" s="49">
        <f t="shared" si="61"/>
        <v>300000</v>
      </c>
      <c r="CZ13" s="49">
        <f t="shared" si="61"/>
        <v>300000</v>
      </c>
      <c r="DA13" s="49">
        <f t="shared" si="61"/>
        <v>300000</v>
      </c>
      <c r="DB13" s="49">
        <f t="shared" si="61"/>
        <v>300000</v>
      </c>
      <c r="DC13" s="49">
        <f t="shared" si="61"/>
        <v>300000</v>
      </c>
      <c r="DD13" s="49">
        <f t="shared" si="61"/>
        <v>300000</v>
      </c>
      <c r="DE13" s="49">
        <f t="shared" si="61"/>
        <v>300000</v>
      </c>
      <c r="DF13" s="49">
        <f t="shared" si="61"/>
        <v>300000</v>
      </c>
      <c r="DG13" s="49">
        <f t="shared" si="61"/>
        <v>300000</v>
      </c>
      <c r="DH13" s="49">
        <f t="shared" si="61"/>
        <v>300000</v>
      </c>
      <c r="DI13" s="49">
        <f t="shared" si="61"/>
        <v>300000</v>
      </c>
      <c r="DJ13" s="49">
        <f t="shared" si="61"/>
        <v>300000</v>
      </c>
      <c r="DK13" s="49">
        <f t="shared" si="61"/>
        <v>300000</v>
      </c>
      <c r="DL13" s="49">
        <f t="shared" si="61"/>
        <v>300000</v>
      </c>
      <c r="DM13" s="49">
        <f t="shared" si="61"/>
        <v>300000</v>
      </c>
      <c r="DN13" s="49">
        <f t="shared" si="61"/>
        <v>300000</v>
      </c>
      <c r="DO13" s="49">
        <f t="shared" si="61"/>
        <v>300000</v>
      </c>
      <c r="DP13" s="49">
        <f t="shared" si="61"/>
        <v>300000</v>
      </c>
      <c r="DQ13" s="49">
        <f t="shared" si="61"/>
        <v>300000</v>
      </c>
      <c r="DR13" s="49">
        <f t="shared" si="61"/>
        <v>300000</v>
      </c>
      <c r="DS13" s="49">
        <f t="shared" si="61"/>
        <v>300000</v>
      </c>
      <c r="DT13" s="49">
        <f t="shared" si="61"/>
        <v>300000</v>
      </c>
      <c r="DU13" s="49">
        <f t="shared" si="61"/>
        <v>300000</v>
      </c>
      <c r="DV13" s="49">
        <f t="shared" si="61"/>
        <v>300000</v>
      </c>
      <c r="DW13" s="49">
        <f t="shared" si="61"/>
        <v>300000</v>
      </c>
      <c r="DX13" s="49">
        <f t="shared" si="61"/>
        <v>300000</v>
      </c>
      <c r="DY13" s="49">
        <f t="shared" si="61"/>
        <v>300000</v>
      </c>
      <c r="DZ13" s="49">
        <f t="shared" si="61"/>
        <v>300000</v>
      </c>
      <c r="EA13" s="49">
        <f t="shared" si="61"/>
        <v>300000</v>
      </c>
      <c r="EB13" s="49">
        <f t="shared" ref="EB13:FL13" si="62">EA13</f>
        <v>300000</v>
      </c>
      <c r="EC13" s="49">
        <f t="shared" si="62"/>
        <v>300000</v>
      </c>
      <c r="ED13" s="49">
        <f t="shared" si="62"/>
        <v>300000</v>
      </c>
      <c r="EE13" s="49">
        <f t="shared" si="62"/>
        <v>300000</v>
      </c>
      <c r="EF13" s="49">
        <f t="shared" si="62"/>
        <v>300000</v>
      </c>
      <c r="EG13" s="49">
        <f t="shared" si="62"/>
        <v>300000</v>
      </c>
      <c r="EH13" s="49">
        <f t="shared" si="62"/>
        <v>300000</v>
      </c>
      <c r="EI13" s="49">
        <f t="shared" si="62"/>
        <v>300000</v>
      </c>
      <c r="EJ13" s="49">
        <f t="shared" si="62"/>
        <v>300000</v>
      </c>
      <c r="EK13" s="49">
        <f t="shared" si="62"/>
        <v>300000</v>
      </c>
      <c r="EL13" s="49">
        <f t="shared" si="62"/>
        <v>300000</v>
      </c>
      <c r="EM13" s="49">
        <f t="shared" si="62"/>
        <v>300000</v>
      </c>
      <c r="EN13" s="49">
        <f t="shared" si="62"/>
        <v>300000</v>
      </c>
      <c r="EO13" s="49">
        <f t="shared" si="62"/>
        <v>300000</v>
      </c>
      <c r="EP13" s="49">
        <f t="shared" si="62"/>
        <v>300000</v>
      </c>
      <c r="EQ13" s="49">
        <f t="shared" si="62"/>
        <v>300000</v>
      </c>
      <c r="ER13" s="49">
        <f t="shared" si="62"/>
        <v>300000</v>
      </c>
      <c r="ES13" s="49">
        <f t="shared" si="62"/>
        <v>300000</v>
      </c>
      <c r="ET13" s="49">
        <f t="shared" si="62"/>
        <v>300000</v>
      </c>
      <c r="EU13" s="49">
        <f t="shared" si="62"/>
        <v>300000</v>
      </c>
      <c r="EV13" s="49">
        <f t="shared" si="62"/>
        <v>300000</v>
      </c>
      <c r="EW13" s="49">
        <f t="shared" si="62"/>
        <v>300000</v>
      </c>
      <c r="EX13" s="49">
        <f t="shared" si="62"/>
        <v>300000</v>
      </c>
      <c r="EY13" s="49">
        <f t="shared" si="62"/>
        <v>300000</v>
      </c>
      <c r="EZ13" s="49">
        <f t="shared" si="62"/>
        <v>300000</v>
      </c>
      <c r="FA13" s="49">
        <f t="shared" si="62"/>
        <v>300000</v>
      </c>
      <c r="FB13" s="49">
        <f t="shared" si="62"/>
        <v>300000</v>
      </c>
      <c r="FC13" s="49">
        <f t="shared" si="62"/>
        <v>300000</v>
      </c>
      <c r="FD13" s="49">
        <f t="shared" si="62"/>
        <v>300000</v>
      </c>
      <c r="FE13" s="49">
        <f t="shared" si="62"/>
        <v>300000</v>
      </c>
      <c r="FF13" s="49">
        <f t="shared" si="62"/>
        <v>300000</v>
      </c>
      <c r="FG13" s="49">
        <f t="shared" si="62"/>
        <v>300000</v>
      </c>
      <c r="FH13" s="49">
        <f t="shared" si="62"/>
        <v>300000</v>
      </c>
      <c r="FI13" s="49">
        <f t="shared" si="62"/>
        <v>300000</v>
      </c>
      <c r="FJ13" s="49">
        <f t="shared" si="62"/>
        <v>300000</v>
      </c>
      <c r="FK13" s="49">
        <f t="shared" si="62"/>
        <v>300000</v>
      </c>
      <c r="FL13" s="49">
        <f t="shared" si="62"/>
        <v>300000</v>
      </c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96"/>
      <c r="GB13" s="96"/>
      <c r="GC13" s="96"/>
      <c r="GD13" s="96"/>
      <c r="GE13" s="96"/>
      <c r="GF13" s="96"/>
      <c r="GG13" s="96"/>
      <c r="GH13" s="96"/>
      <c r="GI13" s="96"/>
      <c r="GJ13" s="96"/>
    </row>
    <row r="14" spans="1:192" x14ac:dyDescent="0.3">
      <c r="A14" s="92">
        <v>106029012</v>
      </c>
      <c r="B14" s="96" t="s">
        <v>74</v>
      </c>
      <c r="C14" s="1">
        <f>VLOOKUP(A14,FORECAST!D:W,4,FALSE)*2000</f>
        <v>200000</v>
      </c>
      <c r="D14" s="49">
        <f t="shared" ref="D14:AI14" si="63">C14</f>
        <v>200000</v>
      </c>
      <c r="E14" s="49">
        <f t="shared" si="63"/>
        <v>200000</v>
      </c>
      <c r="F14" s="49">
        <f t="shared" si="63"/>
        <v>200000</v>
      </c>
      <c r="G14" s="49">
        <f t="shared" si="63"/>
        <v>200000</v>
      </c>
      <c r="H14" s="49">
        <f t="shared" si="63"/>
        <v>200000</v>
      </c>
      <c r="I14" s="49">
        <f t="shared" si="63"/>
        <v>200000</v>
      </c>
      <c r="J14" s="49">
        <f t="shared" si="63"/>
        <v>200000</v>
      </c>
      <c r="K14" s="49">
        <f t="shared" si="63"/>
        <v>200000</v>
      </c>
      <c r="L14" s="49">
        <f t="shared" si="63"/>
        <v>200000</v>
      </c>
      <c r="M14" s="49">
        <f t="shared" si="63"/>
        <v>200000</v>
      </c>
      <c r="N14" s="49">
        <f t="shared" si="63"/>
        <v>200000</v>
      </c>
      <c r="O14" s="49">
        <f t="shared" si="63"/>
        <v>200000</v>
      </c>
      <c r="P14" s="49">
        <f t="shared" si="63"/>
        <v>200000</v>
      </c>
      <c r="Q14" s="49">
        <f t="shared" si="63"/>
        <v>200000</v>
      </c>
      <c r="R14" s="49">
        <f t="shared" si="63"/>
        <v>200000</v>
      </c>
      <c r="S14" s="49">
        <f t="shared" si="63"/>
        <v>200000</v>
      </c>
      <c r="T14" s="49">
        <f t="shared" si="63"/>
        <v>200000</v>
      </c>
      <c r="U14" s="49">
        <f t="shared" si="63"/>
        <v>200000</v>
      </c>
      <c r="V14" s="49">
        <f t="shared" si="63"/>
        <v>200000</v>
      </c>
      <c r="W14" s="49">
        <f t="shared" si="63"/>
        <v>200000</v>
      </c>
      <c r="X14" s="49">
        <f t="shared" si="63"/>
        <v>200000</v>
      </c>
      <c r="Y14" s="49">
        <f t="shared" si="63"/>
        <v>200000</v>
      </c>
      <c r="Z14" s="49">
        <f t="shared" si="63"/>
        <v>200000</v>
      </c>
      <c r="AA14" s="49">
        <f t="shared" si="63"/>
        <v>200000</v>
      </c>
      <c r="AB14" s="49">
        <f t="shared" si="63"/>
        <v>200000</v>
      </c>
      <c r="AC14" s="49">
        <f t="shared" si="63"/>
        <v>200000</v>
      </c>
      <c r="AD14" s="49">
        <f t="shared" si="63"/>
        <v>200000</v>
      </c>
      <c r="AE14" s="49">
        <f t="shared" si="63"/>
        <v>200000</v>
      </c>
      <c r="AF14" s="49">
        <f t="shared" si="63"/>
        <v>200000</v>
      </c>
      <c r="AG14" s="49">
        <f t="shared" si="63"/>
        <v>200000</v>
      </c>
      <c r="AH14" s="49">
        <f t="shared" si="63"/>
        <v>200000</v>
      </c>
      <c r="AI14" s="49">
        <f t="shared" si="63"/>
        <v>200000</v>
      </c>
      <c r="AJ14" s="49">
        <f t="shared" ref="AJ14:BO14" si="64">AI14</f>
        <v>200000</v>
      </c>
      <c r="AK14" s="49">
        <f t="shared" si="64"/>
        <v>200000</v>
      </c>
      <c r="AL14" s="49">
        <f t="shared" si="64"/>
        <v>200000</v>
      </c>
      <c r="AM14" s="49">
        <f t="shared" si="64"/>
        <v>200000</v>
      </c>
      <c r="AN14" s="49">
        <f t="shared" si="64"/>
        <v>200000</v>
      </c>
      <c r="AO14" s="49">
        <f t="shared" si="64"/>
        <v>200000</v>
      </c>
      <c r="AP14" s="49">
        <f t="shared" si="64"/>
        <v>200000</v>
      </c>
      <c r="AQ14" s="49">
        <f t="shared" si="64"/>
        <v>200000</v>
      </c>
      <c r="AR14" s="49">
        <f t="shared" si="64"/>
        <v>200000</v>
      </c>
      <c r="AS14" s="49">
        <f t="shared" si="64"/>
        <v>200000</v>
      </c>
      <c r="AT14" s="49">
        <f t="shared" si="64"/>
        <v>200000</v>
      </c>
      <c r="AU14" s="49">
        <f t="shared" si="64"/>
        <v>200000</v>
      </c>
      <c r="AV14" s="49">
        <f t="shared" si="64"/>
        <v>200000</v>
      </c>
      <c r="AW14" s="49">
        <f t="shared" si="64"/>
        <v>200000</v>
      </c>
      <c r="AX14" s="49">
        <f t="shared" si="64"/>
        <v>200000</v>
      </c>
      <c r="AY14" s="49">
        <f t="shared" si="64"/>
        <v>200000</v>
      </c>
      <c r="AZ14" s="49">
        <f t="shared" si="64"/>
        <v>200000</v>
      </c>
      <c r="BA14" s="49">
        <f t="shared" si="64"/>
        <v>200000</v>
      </c>
      <c r="BB14" s="49">
        <f t="shared" si="64"/>
        <v>200000</v>
      </c>
      <c r="BC14" s="49">
        <f t="shared" si="64"/>
        <v>200000</v>
      </c>
      <c r="BD14" s="49">
        <f t="shared" si="64"/>
        <v>200000</v>
      </c>
      <c r="BE14" s="49">
        <f t="shared" si="64"/>
        <v>200000</v>
      </c>
      <c r="BF14" s="49">
        <f t="shared" si="64"/>
        <v>200000</v>
      </c>
      <c r="BG14" s="49">
        <f t="shared" si="64"/>
        <v>200000</v>
      </c>
      <c r="BH14" s="49">
        <f t="shared" si="64"/>
        <v>200000</v>
      </c>
      <c r="BI14" s="49">
        <f t="shared" si="64"/>
        <v>200000</v>
      </c>
      <c r="BJ14" s="49">
        <f t="shared" si="64"/>
        <v>200000</v>
      </c>
      <c r="BK14" s="49">
        <f t="shared" si="64"/>
        <v>200000</v>
      </c>
      <c r="BL14" s="49">
        <f t="shared" si="64"/>
        <v>200000</v>
      </c>
      <c r="BM14" s="49">
        <f t="shared" si="64"/>
        <v>200000</v>
      </c>
      <c r="BN14" s="49">
        <f t="shared" si="64"/>
        <v>200000</v>
      </c>
      <c r="BO14" s="49">
        <f t="shared" si="64"/>
        <v>200000</v>
      </c>
      <c r="BP14" s="49">
        <f t="shared" ref="BP14:CU14" si="65">BO14</f>
        <v>200000</v>
      </c>
      <c r="BQ14" s="49">
        <f t="shared" si="65"/>
        <v>200000</v>
      </c>
      <c r="BR14" s="49">
        <f t="shared" si="65"/>
        <v>200000</v>
      </c>
      <c r="BS14" s="49">
        <f t="shared" si="65"/>
        <v>200000</v>
      </c>
      <c r="BT14" s="49">
        <f t="shared" si="65"/>
        <v>200000</v>
      </c>
      <c r="BU14" s="49">
        <f t="shared" si="65"/>
        <v>200000</v>
      </c>
      <c r="BV14" s="49">
        <f t="shared" si="65"/>
        <v>200000</v>
      </c>
      <c r="BW14" s="49">
        <f t="shared" si="65"/>
        <v>200000</v>
      </c>
      <c r="BX14" s="49">
        <f t="shared" si="65"/>
        <v>200000</v>
      </c>
      <c r="BY14" s="49">
        <f t="shared" si="65"/>
        <v>200000</v>
      </c>
      <c r="BZ14" s="49">
        <f t="shared" si="65"/>
        <v>200000</v>
      </c>
      <c r="CA14" s="49">
        <f t="shared" si="65"/>
        <v>200000</v>
      </c>
      <c r="CB14" s="49">
        <f t="shared" si="65"/>
        <v>200000</v>
      </c>
      <c r="CC14" s="49">
        <f t="shared" si="65"/>
        <v>200000</v>
      </c>
      <c r="CD14" s="49">
        <f t="shared" si="65"/>
        <v>200000</v>
      </c>
      <c r="CE14" s="49">
        <f t="shared" si="65"/>
        <v>200000</v>
      </c>
      <c r="CF14" s="49">
        <f t="shared" si="65"/>
        <v>200000</v>
      </c>
      <c r="CG14" s="49">
        <f t="shared" si="65"/>
        <v>200000</v>
      </c>
      <c r="CH14" s="49">
        <f t="shared" si="65"/>
        <v>200000</v>
      </c>
      <c r="CI14" s="49">
        <f t="shared" si="65"/>
        <v>200000</v>
      </c>
      <c r="CJ14" s="49">
        <f t="shared" si="65"/>
        <v>200000</v>
      </c>
      <c r="CK14" s="49">
        <f t="shared" si="65"/>
        <v>200000</v>
      </c>
      <c r="CL14" s="49">
        <f t="shared" si="65"/>
        <v>200000</v>
      </c>
      <c r="CM14" s="49">
        <f t="shared" si="65"/>
        <v>200000</v>
      </c>
      <c r="CN14" s="49">
        <f t="shared" si="65"/>
        <v>200000</v>
      </c>
      <c r="CO14" s="49">
        <f t="shared" si="65"/>
        <v>200000</v>
      </c>
      <c r="CP14" s="49">
        <f t="shared" si="65"/>
        <v>200000</v>
      </c>
      <c r="CQ14" s="49">
        <f t="shared" si="65"/>
        <v>200000</v>
      </c>
      <c r="CR14" s="49">
        <f t="shared" si="65"/>
        <v>200000</v>
      </c>
      <c r="CS14" s="49">
        <f t="shared" si="65"/>
        <v>200000</v>
      </c>
      <c r="CT14" s="49">
        <f t="shared" si="65"/>
        <v>200000</v>
      </c>
      <c r="CU14" s="49">
        <f t="shared" si="65"/>
        <v>200000</v>
      </c>
      <c r="CV14" s="49">
        <f t="shared" ref="CV14:EA14" si="66">CU14</f>
        <v>200000</v>
      </c>
      <c r="CW14" s="49">
        <f t="shared" si="66"/>
        <v>200000</v>
      </c>
      <c r="CX14" s="49">
        <f t="shared" si="66"/>
        <v>200000</v>
      </c>
      <c r="CY14" s="49">
        <f t="shared" si="66"/>
        <v>200000</v>
      </c>
      <c r="CZ14" s="49">
        <f t="shared" si="66"/>
        <v>200000</v>
      </c>
      <c r="DA14" s="49">
        <f t="shared" si="66"/>
        <v>200000</v>
      </c>
      <c r="DB14" s="49">
        <f t="shared" si="66"/>
        <v>200000</v>
      </c>
      <c r="DC14" s="49">
        <f t="shared" si="66"/>
        <v>200000</v>
      </c>
      <c r="DD14" s="49">
        <f t="shared" si="66"/>
        <v>200000</v>
      </c>
      <c r="DE14" s="49">
        <f t="shared" si="66"/>
        <v>200000</v>
      </c>
      <c r="DF14" s="49">
        <f t="shared" si="66"/>
        <v>200000</v>
      </c>
      <c r="DG14" s="49">
        <f t="shared" si="66"/>
        <v>200000</v>
      </c>
      <c r="DH14" s="49">
        <f t="shared" si="66"/>
        <v>200000</v>
      </c>
      <c r="DI14" s="49">
        <f t="shared" si="66"/>
        <v>200000</v>
      </c>
      <c r="DJ14" s="49">
        <f t="shared" si="66"/>
        <v>200000</v>
      </c>
      <c r="DK14" s="49">
        <f t="shared" si="66"/>
        <v>200000</v>
      </c>
      <c r="DL14" s="49">
        <f t="shared" si="66"/>
        <v>200000</v>
      </c>
      <c r="DM14" s="49">
        <f t="shared" si="66"/>
        <v>200000</v>
      </c>
      <c r="DN14" s="49">
        <f t="shared" si="66"/>
        <v>200000</v>
      </c>
      <c r="DO14" s="49">
        <f t="shared" si="66"/>
        <v>200000</v>
      </c>
      <c r="DP14" s="49">
        <f t="shared" si="66"/>
        <v>200000</v>
      </c>
      <c r="DQ14" s="49">
        <f t="shared" si="66"/>
        <v>200000</v>
      </c>
      <c r="DR14" s="49">
        <f t="shared" si="66"/>
        <v>200000</v>
      </c>
      <c r="DS14" s="49">
        <f t="shared" si="66"/>
        <v>200000</v>
      </c>
      <c r="DT14" s="49">
        <f t="shared" si="66"/>
        <v>200000</v>
      </c>
      <c r="DU14" s="49">
        <f t="shared" si="66"/>
        <v>200000</v>
      </c>
      <c r="DV14" s="49">
        <f t="shared" si="66"/>
        <v>200000</v>
      </c>
      <c r="DW14" s="49">
        <f t="shared" si="66"/>
        <v>200000</v>
      </c>
      <c r="DX14" s="49">
        <f t="shared" si="66"/>
        <v>200000</v>
      </c>
      <c r="DY14" s="49">
        <f t="shared" si="66"/>
        <v>200000</v>
      </c>
      <c r="DZ14" s="49">
        <f t="shared" si="66"/>
        <v>200000</v>
      </c>
      <c r="EA14" s="49">
        <f t="shared" si="66"/>
        <v>200000</v>
      </c>
      <c r="EB14" s="49">
        <f t="shared" ref="EB14:FL14" si="67">EA14</f>
        <v>200000</v>
      </c>
      <c r="EC14" s="49">
        <f t="shared" si="67"/>
        <v>200000</v>
      </c>
      <c r="ED14" s="49">
        <f t="shared" si="67"/>
        <v>200000</v>
      </c>
      <c r="EE14" s="49">
        <f t="shared" si="67"/>
        <v>200000</v>
      </c>
      <c r="EF14" s="49">
        <f t="shared" si="67"/>
        <v>200000</v>
      </c>
      <c r="EG14" s="49">
        <f t="shared" si="67"/>
        <v>200000</v>
      </c>
      <c r="EH14" s="49">
        <f t="shared" si="67"/>
        <v>200000</v>
      </c>
      <c r="EI14" s="49">
        <f t="shared" si="67"/>
        <v>200000</v>
      </c>
      <c r="EJ14" s="49">
        <f t="shared" si="67"/>
        <v>200000</v>
      </c>
      <c r="EK14" s="49">
        <f t="shared" si="67"/>
        <v>200000</v>
      </c>
      <c r="EL14" s="49">
        <f t="shared" si="67"/>
        <v>200000</v>
      </c>
      <c r="EM14" s="49">
        <f t="shared" si="67"/>
        <v>200000</v>
      </c>
      <c r="EN14" s="49">
        <f t="shared" si="67"/>
        <v>200000</v>
      </c>
      <c r="EO14" s="49">
        <f t="shared" si="67"/>
        <v>200000</v>
      </c>
      <c r="EP14" s="49">
        <f t="shared" si="67"/>
        <v>200000</v>
      </c>
      <c r="EQ14" s="49">
        <f t="shared" si="67"/>
        <v>200000</v>
      </c>
      <c r="ER14" s="49">
        <f t="shared" si="67"/>
        <v>200000</v>
      </c>
      <c r="ES14" s="49">
        <f t="shared" si="67"/>
        <v>200000</v>
      </c>
      <c r="ET14" s="49">
        <f t="shared" si="67"/>
        <v>200000</v>
      </c>
      <c r="EU14" s="49">
        <f t="shared" si="67"/>
        <v>200000</v>
      </c>
      <c r="EV14" s="49">
        <f t="shared" si="67"/>
        <v>200000</v>
      </c>
      <c r="EW14" s="49">
        <f t="shared" si="67"/>
        <v>200000</v>
      </c>
      <c r="EX14" s="49">
        <f t="shared" si="67"/>
        <v>200000</v>
      </c>
      <c r="EY14" s="49">
        <f t="shared" si="67"/>
        <v>200000</v>
      </c>
      <c r="EZ14" s="49">
        <f t="shared" si="67"/>
        <v>200000</v>
      </c>
      <c r="FA14" s="49">
        <f t="shared" si="67"/>
        <v>200000</v>
      </c>
      <c r="FB14" s="49">
        <f t="shared" si="67"/>
        <v>200000</v>
      </c>
      <c r="FC14" s="49">
        <f t="shared" si="67"/>
        <v>200000</v>
      </c>
      <c r="FD14" s="49">
        <f t="shared" si="67"/>
        <v>200000</v>
      </c>
      <c r="FE14" s="49">
        <f t="shared" si="67"/>
        <v>200000</v>
      </c>
      <c r="FF14" s="49">
        <f t="shared" si="67"/>
        <v>200000</v>
      </c>
      <c r="FG14" s="49">
        <f t="shared" si="67"/>
        <v>200000</v>
      </c>
      <c r="FH14" s="49">
        <f t="shared" si="67"/>
        <v>200000</v>
      </c>
      <c r="FI14" s="49">
        <f t="shared" si="67"/>
        <v>200000</v>
      </c>
      <c r="FJ14" s="49">
        <f t="shared" si="67"/>
        <v>200000</v>
      </c>
      <c r="FK14" s="49">
        <f t="shared" si="67"/>
        <v>200000</v>
      </c>
      <c r="FL14" s="49">
        <f t="shared" si="67"/>
        <v>200000</v>
      </c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96"/>
      <c r="GB14" s="96"/>
      <c r="GC14" s="96"/>
      <c r="GD14" s="96"/>
      <c r="GE14" s="96"/>
      <c r="GF14" s="96"/>
      <c r="GG14" s="96"/>
      <c r="GH14" s="96"/>
      <c r="GI14" s="96"/>
      <c r="GJ14" s="96"/>
    </row>
    <row r="15" spans="1:192" x14ac:dyDescent="0.3">
      <c r="A15" s="92">
        <v>106029015</v>
      </c>
      <c r="B15" s="96" t="s">
        <v>74</v>
      </c>
      <c r="C15" s="1">
        <f>VLOOKUP(A15,FORECAST!D:W,4,FALSE)*2000</f>
        <v>300000</v>
      </c>
      <c r="D15" s="49">
        <f t="shared" ref="D15:AI15" si="68">C15</f>
        <v>300000</v>
      </c>
      <c r="E15" s="49">
        <f t="shared" si="68"/>
        <v>300000</v>
      </c>
      <c r="F15" s="49">
        <f t="shared" si="68"/>
        <v>300000</v>
      </c>
      <c r="G15" s="49">
        <f t="shared" si="68"/>
        <v>300000</v>
      </c>
      <c r="H15" s="49">
        <f t="shared" si="68"/>
        <v>300000</v>
      </c>
      <c r="I15" s="49">
        <f t="shared" si="68"/>
        <v>300000</v>
      </c>
      <c r="J15" s="49">
        <f t="shared" si="68"/>
        <v>300000</v>
      </c>
      <c r="K15" s="49">
        <f t="shared" si="68"/>
        <v>300000</v>
      </c>
      <c r="L15" s="49">
        <f t="shared" si="68"/>
        <v>300000</v>
      </c>
      <c r="M15" s="49">
        <f t="shared" si="68"/>
        <v>300000</v>
      </c>
      <c r="N15" s="49">
        <f t="shared" si="68"/>
        <v>300000</v>
      </c>
      <c r="O15" s="49">
        <f t="shared" si="68"/>
        <v>300000</v>
      </c>
      <c r="P15" s="49">
        <f t="shared" si="68"/>
        <v>300000</v>
      </c>
      <c r="Q15" s="49">
        <f t="shared" si="68"/>
        <v>300000</v>
      </c>
      <c r="R15" s="49">
        <f t="shared" si="68"/>
        <v>300000</v>
      </c>
      <c r="S15" s="49">
        <f t="shared" si="68"/>
        <v>300000</v>
      </c>
      <c r="T15" s="49">
        <f t="shared" si="68"/>
        <v>300000</v>
      </c>
      <c r="U15" s="49">
        <f t="shared" si="68"/>
        <v>300000</v>
      </c>
      <c r="V15" s="49">
        <f t="shared" si="68"/>
        <v>300000</v>
      </c>
      <c r="W15" s="49">
        <f t="shared" si="68"/>
        <v>300000</v>
      </c>
      <c r="X15" s="49">
        <f t="shared" si="68"/>
        <v>300000</v>
      </c>
      <c r="Y15" s="49">
        <f t="shared" si="68"/>
        <v>300000</v>
      </c>
      <c r="Z15" s="49">
        <f t="shared" si="68"/>
        <v>300000</v>
      </c>
      <c r="AA15" s="49">
        <f t="shared" si="68"/>
        <v>300000</v>
      </c>
      <c r="AB15" s="49">
        <f t="shared" si="68"/>
        <v>300000</v>
      </c>
      <c r="AC15" s="49">
        <f t="shared" si="68"/>
        <v>300000</v>
      </c>
      <c r="AD15" s="49">
        <f t="shared" si="68"/>
        <v>300000</v>
      </c>
      <c r="AE15" s="49">
        <f t="shared" si="68"/>
        <v>300000</v>
      </c>
      <c r="AF15" s="49">
        <f t="shared" si="68"/>
        <v>300000</v>
      </c>
      <c r="AG15" s="49">
        <f t="shared" si="68"/>
        <v>300000</v>
      </c>
      <c r="AH15" s="49">
        <f t="shared" si="68"/>
        <v>300000</v>
      </c>
      <c r="AI15" s="49">
        <f t="shared" si="68"/>
        <v>300000</v>
      </c>
      <c r="AJ15" s="49">
        <f t="shared" ref="AJ15:BO15" si="69">AI15</f>
        <v>300000</v>
      </c>
      <c r="AK15" s="49">
        <f t="shared" si="69"/>
        <v>300000</v>
      </c>
      <c r="AL15" s="49">
        <f t="shared" si="69"/>
        <v>300000</v>
      </c>
      <c r="AM15" s="49">
        <f t="shared" si="69"/>
        <v>300000</v>
      </c>
      <c r="AN15" s="49">
        <f t="shared" si="69"/>
        <v>300000</v>
      </c>
      <c r="AO15" s="49">
        <f t="shared" si="69"/>
        <v>300000</v>
      </c>
      <c r="AP15" s="49">
        <f t="shared" si="69"/>
        <v>300000</v>
      </c>
      <c r="AQ15" s="49">
        <f t="shared" si="69"/>
        <v>300000</v>
      </c>
      <c r="AR15" s="49">
        <f t="shared" si="69"/>
        <v>300000</v>
      </c>
      <c r="AS15" s="49">
        <f t="shared" si="69"/>
        <v>300000</v>
      </c>
      <c r="AT15" s="49">
        <f t="shared" si="69"/>
        <v>300000</v>
      </c>
      <c r="AU15" s="49">
        <f t="shared" si="69"/>
        <v>300000</v>
      </c>
      <c r="AV15" s="49">
        <f t="shared" si="69"/>
        <v>300000</v>
      </c>
      <c r="AW15" s="49">
        <f t="shared" si="69"/>
        <v>300000</v>
      </c>
      <c r="AX15" s="49">
        <f t="shared" si="69"/>
        <v>300000</v>
      </c>
      <c r="AY15" s="49">
        <f t="shared" si="69"/>
        <v>300000</v>
      </c>
      <c r="AZ15" s="49">
        <f t="shared" si="69"/>
        <v>300000</v>
      </c>
      <c r="BA15" s="49">
        <f t="shared" si="69"/>
        <v>300000</v>
      </c>
      <c r="BB15" s="49">
        <f t="shared" si="69"/>
        <v>300000</v>
      </c>
      <c r="BC15" s="49">
        <f t="shared" si="69"/>
        <v>300000</v>
      </c>
      <c r="BD15" s="49">
        <f t="shared" si="69"/>
        <v>300000</v>
      </c>
      <c r="BE15" s="49">
        <f t="shared" si="69"/>
        <v>300000</v>
      </c>
      <c r="BF15" s="49">
        <f t="shared" si="69"/>
        <v>300000</v>
      </c>
      <c r="BG15" s="49">
        <f t="shared" si="69"/>
        <v>300000</v>
      </c>
      <c r="BH15" s="49">
        <f t="shared" si="69"/>
        <v>300000</v>
      </c>
      <c r="BI15" s="49">
        <f t="shared" si="69"/>
        <v>300000</v>
      </c>
      <c r="BJ15" s="49">
        <f t="shared" si="69"/>
        <v>300000</v>
      </c>
      <c r="BK15" s="49">
        <f t="shared" si="69"/>
        <v>300000</v>
      </c>
      <c r="BL15" s="49">
        <f t="shared" si="69"/>
        <v>300000</v>
      </c>
      <c r="BM15" s="49">
        <f t="shared" si="69"/>
        <v>300000</v>
      </c>
      <c r="BN15" s="49">
        <f t="shared" si="69"/>
        <v>300000</v>
      </c>
      <c r="BO15" s="49">
        <f t="shared" si="69"/>
        <v>300000</v>
      </c>
      <c r="BP15" s="49">
        <f t="shared" ref="BP15:CU15" si="70">BO15</f>
        <v>300000</v>
      </c>
      <c r="BQ15" s="49">
        <f t="shared" si="70"/>
        <v>300000</v>
      </c>
      <c r="BR15" s="49">
        <f t="shared" si="70"/>
        <v>300000</v>
      </c>
      <c r="BS15" s="49">
        <f t="shared" si="70"/>
        <v>300000</v>
      </c>
      <c r="BT15" s="49">
        <f t="shared" si="70"/>
        <v>300000</v>
      </c>
      <c r="BU15" s="49">
        <f t="shared" si="70"/>
        <v>300000</v>
      </c>
      <c r="BV15" s="49">
        <f t="shared" si="70"/>
        <v>300000</v>
      </c>
      <c r="BW15" s="49">
        <f t="shared" si="70"/>
        <v>300000</v>
      </c>
      <c r="BX15" s="49">
        <f t="shared" si="70"/>
        <v>300000</v>
      </c>
      <c r="BY15" s="49">
        <f t="shared" si="70"/>
        <v>300000</v>
      </c>
      <c r="BZ15" s="49">
        <f t="shared" si="70"/>
        <v>300000</v>
      </c>
      <c r="CA15" s="49">
        <f t="shared" si="70"/>
        <v>300000</v>
      </c>
      <c r="CB15" s="49">
        <f t="shared" si="70"/>
        <v>300000</v>
      </c>
      <c r="CC15" s="49">
        <f t="shared" si="70"/>
        <v>300000</v>
      </c>
      <c r="CD15" s="49">
        <f t="shared" si="70"/>
        <v>300000</v>
      </c>
      <c r="CE15" s="49">
        <f t="shared" si="70"/>
        <v>300000</v>
      </c>
      <c r="CF15" s="49">
        <f t="shared" si="70"/>
        <v>300000</v>
      </c>
      <c r="CG15" s="49">
        <f t="shared" si="70"/>
        <v>300000</v>
      </c>
      <c r="CH15" s="49">
        <f t="shared" si="70"/>
        <v>300000</v>
      </c>
      <c r="CI15" s="49">
        <f t="shared" si="70"/>
        <v>300000</v>
      </c>
      <c r="CJ15" s="49">
        <f t="shared" si="70"/>
        <v>300000</v>
      </c>
      <c r="CK15" s="49">
        <f t="shared" si="70"/>
        <v>300000</v>
      </c>
      <c r="CL15" s="49">
        <f t="shared" si="70"/>
        <v>300000</v>
      </c>
      <c r="CM15" s="49">
        <f t="shared" si="70"/>
        <v>300000</v>
      </c>
      <c r="CN15" s="49">
        <f t="shared" si="70"/>
        <v>300000</v>
      </c>
      <c r="CO15" s="49">
        <f t="shared" si="70"/>
        <v>300000</v>
      </c>
      <c r="CP15" s="49">
        <f t="shared" si="70"/>
        <v>300000</v>
      </c>
      <c r="CQ15" s="49">
        <f t="shared" si="70"/>
        <v>300000</v>
      </c>
      <c r="CR15" s="49">
        <f t="shared" si="70"/>
        <v>300000</v>
      </c>
      <c r="CS15" s="49">
        <f t="shared" si="70"/>
        <v>300000</v>
      </c>
      <c r="CT15" s="49">
        <f t="shared" si="70"/>
        <v>300000</v>
      </c>
      <c r="CU15" s="49">
        <f t="shared" si="70"/>
        <v>300000</v>
      </c>
      <c r="CV15" s="49">
        <f t="shared" ref="CV15:EA15" si="71">CU15</f>
        <v>300000</v>
      </c>
      <c r="CW15" s="49">
        <f t="shared" si="71"/>
        <v>300000</v>
      </c>
      <c r="CX15" s="49">
        <f t="shared" si="71"/>
        <v>300000</v>
      </c>
      <c r="CY15" s="49">
        <f t="shared" si="71"/>
        <v>300000</v>
      </c>
      <c r="CZ15" s="49">
        <f t="shared" si="71"/>
        <v>300000</v>
      </c>
      <c r="DA15" s="49">
        <f t="shared" si="71"/>
        <v>300000</v>
      </c>
      <c r="DB15" s="49">
        <f t="shared" si="71"/>
        <v>300000</v>
      </c>
      <c r="DC15" s="49">
        <f t="shared" si="71"/>
        <v>300000</v>
      </c>
      <c r="DD15" s="49">
        <f t="shared" si="71"/>
        <v>300000</v>
      </c>
      <c r="DE15" s="49">
        <f t="shared" si="71"/>
        <v>300000</v>
      </c>
      <c r="DF15" s="49">
        <f t="shared" si="71"/>
        <v>300000</v>
      </c>
      <c r="DG15" s="49">
        <f t="shared" si="71"/>
        <v>300000</v>
      </c>
      <c r="DH15" s="49">
        <f t="shared" si="71"/>
        <v>300000</v>
      </c>
      <c r="DI15" s="49">
        <f t="shared" si="71"/>
        <v>300000</v>
      </c>
      <c r="DJ15" s="49">
        <f t="shared" si="71"/>
        <v>300000</v>
      </c>
      <c r="DK15" s="49">
        <f t="shared" si="71"/>
        <v>300000</v>
      </c>
      <c r="DL15" s="49">
        <f t="shared" si="71"/>
        <v>300000</v>
      </c>
      <c r="DM15" s="49">
        <f t="shared" si="71"/>
        <v>300000</v>
      </c>
      <c r="DN15" s="49">
        <f t="shared" si="71"/>
        <v>300000</v>
      </c>
      <c r="DO15" s="49">
        <f t="shared" si="71"/>
        <v>300000</v>
      </c>
      <c r="DP15" s="49">
        <f t="shared" si="71"/>
        <v>300000</v>
      </c>
      <c r="DQ15" s="49">
        <f t="shared" si="71"/>
        <v>300000</v>
      </c>
      <c r="DR15" s="49">
        <f t="shared" si="71"/>
        <v>300000</v>
      </c>
      <c r="DS15" s="49">
        <f t="shared" si="71"/>
        <v>300000</v>
      </c>
      <c r="DT15" s="49">
        <f t="shared" si="71"/>
        <v>300000</v>
      </c>
      <c r="DU15" s="49">
        <f t="shared" si="71"/>
        <v>300000</v>
      </c>
      <c r="DV15" s="49">
        <f t="shared" si="71"/>
        <v>300000</v>
      </c>
      <c r="DW15" s="49">
        <f t="shared" si="71"/>
        <v>300000</v>
      </c>
      <c r="DX15" s="49">
        <f t="shared" si="71"/>
        <v>300000</v>
      </c>
      <c r="DY15" s="49">
        <f t="shared" si="71"/>
        <v>300000</v>
      </c>
      <c r="DZ15" s="49">
        <f t="shared" si="71"/>
        <v>300000</v>
      </c>
      <c r="EA15" s="49">
        <f t="shared" si="71"/>
        <v>300000</v>
      </c>
      <c r="EB15" s="49">
        <f t="shared" ref="EB15:FL15" si="72">EA15</f>
        <v>300000</v>
      </c>
      <c r="EC15" s="49">
        <f t="shared" si="72"/>
        <v>300000</v>
      </c>
      <c r="ED15" s="49">
        <f t="shared" si="72"/>
        <v>300000</v>
      </c>
      <c r="EE15" s="49">
        <f t="shared" si="72"/>
        <v>300000</v>
      </c>
      <c r="EF15" s="49">
        <f t="shared" si="72"/>
        <v>300000</v>
      </c>
      <c r="EG15" s="49">
        <f t="shared" si="72"/>
        <v>300000</v>
      </c>
      <c r="EH15" s="49">
        <f t="shared" si="72"/>
        <v>300000</v>
      </c>
      <c r="EI15" s="49">
        <f t="shared" si="72"/>
        <v>300000</v>
      </c>
      <c r="EJ15" s="49">
        <f t="shared" si="72"/>
        <v>300000</v>
      </c>
      <c r="EK15" s="49">
        <f t="shared" si="72"/>
        <v>300000</v>
      </c>
      <c r="EL15" s="49">
        <f t="shared" si="72"/>
        <v>300000</v>
      </c>
      <c r="EM15" s="49">
        <f t="shared" si="72"/>
        <v>300000</v>
      </c>
      <c r="EN15" s="49">
        <f t="shared" si="72"/>
        <v>300000</v>
      </c>
      <c r="EO15" s="49">
        <f t="shared" si="72"/>
        <v>300000</v>
      </c>
      <c r="EP15" s="49">
        <f t="shared" si="72"/>
        <v>300000</v>
      </c>
      <c r="EQ15" s="49">
        <f t="shared" si="72"/>
        <v>300000</v>
      </c>
      <c r="ER15" s="49">
        <f t="shared" si="72"/>
        <v>300000</v>
      </c>
      <c r="ES15" s="49">
        <f t="shared" si="72"/>
        <v>300000</v>
      </c>
      <c r="ET15" s="49">
        <f t="shared" si="72"/>
        <v>300000</v>
      </c>
      <c r="EU15" s="49">
        <f t="shared" si="72"/>
        <v>300000</v>
      </c>
      <c r="EV15" s="49">
        <f t="shared" si="72"/>
        <v>300000</v>
      </c>
      <c r="EW15" s="49">
        <f t="shared" si="72"/>
        <v>300000</v>
      </c>
      <c r="EX15" s="49">
        <f t="shared" si="72"/>
        <v>300000</v>
      </c>
      <c r="EY15" s="49">
        <f t="shared" si="72"/>
        <v>300000</v>
      </c>
      <c r="EZ15" s="49">
        <f t="shared" si="72"/>
        <v>300000</v>
      </c>
      <c r="FA15" s="49">
        <f t="shared" si="72"/>
        <v>300000</v>
      </c>
      <c r="FB15" s="49">
        <f t="shared" si="72"/>
        <v>300000</v>
      </c>
      <c r="FC15" s="49">
        <f t="shared" si="72"/>
        <v>300000</v>
      </c>
      <c r="FD15" s="49">
        <f t="shared" si="72"/>
        <v>300000</v>
      </c>
      <c r="FE15" s="49">
        <f t="shared" si="72"/>
        <v>300000</v>
      </c>
      <c r="FF15" s="49">
        <f t="shared" si="72"/>
        <v>300000</v>
      </c>
      <c r="FG15" s="49">
        <f t="shared" si="72"/>
        <v>300000</v>
      </c>
      <c r="FH15" s="49">
        <f t="shared" si="72"/>
        <v>300000</v>
      </c>
      <c r="FI15" s="49">
        <f t="shared" si="72"/>
        <v>300000</v>
      </c>
      <c r="FJ15" s="49">
        <f t="shared" si="72"/>
        <v>300000</v>
      </c>
      <c r="FK15" s="49">
        <f t="shared" si="72"/>
        <v>300000</v>
      </c>
      <c r="FL15" s="49">
        <f t="shared" si="72"/>
        <v>300000</v>
      </c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96"/>
      <c r="GB15" s="96"/>
      <c r="GC15" s="96"/>
      <c r="GD15" s="96"/>
      <c r="GE15" s="96"/>
      <c r="GF15" s="96"/>
      <c r="GG15" s="96"/>
      <c r="GH15" s="96"/>
      <c r="GI15" s="96"/>
      <c r="GJ15" s="96"/>
    </row>
    <row r="16" spans="1:192" x14ac:dyDescent="0.3">
      <c r="A16" s="92">
        <v>106029017</v>
      </c>
      <c r="B16" s="96" t="s">
        <v>74</v>
      </c>
      <c r="C16" s="1">
        <f>VLOOKUP(A16,FORECAST!D:W,4,FALSE)*2000</f>
        <v>300000</v>
      </c>
      <c r="D16" s="49">
        <f t="shared" ref="D16:AI16" si="73">C16</f>
        <v>300000</v>
      </c>
      <c r="E16" s="49">
        <f t="shared" si="73"/>
        <v>300000</v>
      </c>
      <c r="F16" s="49">
        <f t="shared" si="73"/>
        <v>300000</v>
      </c>
      <c r="G16" s="49">
        <f t="shared" si="73"/>
        <v>300000</v>
      </c>
      <c r="H16" s="49">
        <f t="shared" si="73"/>
        <v>300000</v>
      </c>
      <c r="I16" s="49">
        <f t="shared" si="73"/>
        <v>300000</v>
      </c>
      <c r="J16" s="49">
        <f t="shared" si="73"/>
        <v>300000</v>
      </c>
      <c r="K16" s="49">
        <f t="shared" si="73"/>
        <v>300000</v>
      </c>
      <c r="L16" s="49">
        <f t="shared" si="73"/>
        <v>300000</v>
      </c>
      <c r="M16" s="49">
        <f t="shared" si="73"/>
        <v>300000</v>
      </c>
      <c r="N16" s="49">
        <f t="shared" si="73"/>
        <v>300000</v>
      </c>
      <c r="O16" s="49">
        <f t="shared" si="73"/>
        <v>300000</v>
      </c>
      <c r="P16" s="49">
        <f t="shared" si="73"/>
        <v>300000</v>
      </c>
      <c r="Q16" s="49">
        <f t="shared" si="73"/>
        <v>300000</v>
      </c>
      <c r="R16" s="49">
        <f t="shared" si="73"/>
        <v>300000</v>
      </c>
      <c r="S16" s="49">
        <f t="shared" si="73"/>
        <v>300000</v>
      </c>
      <c r="T16" s="49">
        <f t="shared" si="73"/>
        <v>300000</v>
      </c>
      <c r="U16" s="49">
        <f t="shared" si="73"/>
        <v>300000</v>
      </c>
      <c r="V16" s="49">
        <f t="shared" si="73"/>
        <v>300000</v>
      </c>
      <c r="W16" s="49">
        <f t="shared" si="73"/>
        <v>300000</v>
      </c>
      <c r="X16" s="49">
        <f t="shared" si="73"/>
        <v>300000</v>
      </c>
      <c r="Y16" s="49">
        <f t="shared" si="73"/>
        <v>300000</v>
      </c>
      <c r="Z16" s="49">
        <f t="shared" si="73"/>
        <v>300000</v>
      </c>
      <c r="AA16" s="49">
        <f t="shared" si="73"/>
        <v>300000</v>
      </c>
      <c r="AB16" s="49">
        <f t="shared" si="73"/>
        <v>300000</v>
      </c>
      <c r="AC16" s="49">
        <f t="shared" si="73"/>
        <v>300000</v>
      </c>
      <c r="AD16" s="49">
        <f t="shared" si="73"/>
        <v>300000</v>
      </c>
      <c r="AE16" s="49">
        <f t="shared" si="73"/>
        <v>300000</v>
      </c>
      <c r="AF16" s="49">
        <f t="shared" si="73"/>
        <v>300000</v>
      </c>
      <c r="AG16" s="49">
        <f t="shared" si="73"/>
        <v>300000</v>
      </c>
      <c r="AH16" s="49">
        <f t="shared" si="73"/>
        <v>300000</v>
      </c>
      <c r="AI16" s="49">
        <f t="shared" si="73"/>
        <v>300000</v>
      </c>
      <c r="AJ16" s="49">
        <f t="shared" ref="AJ16:BO16" si="74">AI16</f>
        <v>300000</v>
      </c>
      <c r="AK16" s="49">
        <f t="shared" si="74"/>
        <v>300000</v>
      </c>
      <c r="AL16" s="49">
        <f t="shared" si="74"/>
        <v>300000</v>
      </c>
      <c r="AM16" s="49">
        <f t="shared" si="74"/>
        <v>300000</v>
      </c>
      <c r="AN16" s="49">
        <f t="shared" si="74"/>
        <v>300000</v>
      </c>
      <c r="AO16" s="49">
        <f t="shared" si="74"/>
        <v>300000</v>
      </c>
      <c r="AP16" s="49">
        <f t="shared" si="74"/>
        <v>300000</v>
      </c>
      <c r="AQ16" s="49">
        <f t="shared" si="74"/>
        <v>300000</v>
      </c>
      <c r="AR16" s="49">
        <f t="shared" si="74"/>
        <v>300000</v>
      </c>
      <c r="AS16" s="49">
        <f t="shared" si="74"/>
        <v>300000</v>
      </c>
      <c r="AT16" s="49">
        <f t="shared" si="74"/>
        <v>300000</v>
      </c>
      <c r="AU16" s="49">
        <f t="shared" si="74"/>
        <v>300000</v>
      </c>
      <c r="AV16" s="49">
        <f t="shared" si="74"/>
        <v>300000</v>
      </c>
      <c r="AW16" s="49">
        <f t="shared" si="74"/>
        <v>300000</v>
      </c>
      <c r="AX16" s="49">
        <f t="shared" si="74"/>
        <v>300000</v>
      </c>
      <c r="AY16" s="49">
        <f t="shared" si="74"/>
        <v>300000</v>
      </c>
      <c r="AZ16" s="49">
        <f t="shared" si="74"/>
        <v>300000</v>
      </c>
      <c r="BA16" s="49">
        <f t="shared" si="74"/>
        <v>300000</v>
      </c>
      <c r="BB16" s="49">
        <f t="shared" si="74"/>
        <v>300000</v>
      </c>
      <c r="BC16" s="49">
        <f t="shared" si="74"/>
        <v>300000</v>
      </c>
      <c r="BD16" s="49">
        <f t="shared" si="74"/>
        <v>300000</v>
      </c>
      <c r="BE16" s="49">
        <f t="shared" si="74"/>
        <v>300000</v>
      </c>
      <c r="BF16" s="49">
        <f t="shared" si="74"/>
        <v>300000</v>
      </c>
      <c r="BG16" s="49">
        <f t="shared" si="74"/>
        <v>300000</v>
      </c>
      <c r="BH16" s="49">
        <f t="shared" si="74"/>
        <v>300000</v>
      </c>
      <c r="BI16" s="49">
        <f t="shared" si="74"/>
        <v>300000</v>
      </c>
      <c r="BJ16" s="49">
        <f t="shared" si="74"/>
        <v>300000</v>
      </c>
      <c r="BK16" s="49">
        <f t="shared" si="74"/>
        <v>300000</v>
      </c>
      <c r="BL16" s="49">
        <f t="shared" si="74"/>
        <v>300000</v>
      </c>
      <c r="BM16" s="49">
        <f t="shared" si="74"/>
        <v>300000</v>
      </c>
      <c r="BN16" s="49">
        <f t="shared" si="74"/>
        <v>300000</v>
      </c>
      <c r="BO16" s="49">
        <f t="shared" si="74"/>
        <v>300000</v>
      </c>
      <c r="BP16" s="49">
        <f t="shared" ref="BP16:CU16" si="75">BO16</f>
        <v>300000</v>
      </c>
      <c r="BQ16" s="49">
        <f t="shared" si="75"/>
        <v>300000</v>
      </c>
      <c r="BR16" s="49">
        <f t="shared" si="75"/>
        <v>300000</v>
      </c>
      <c r="BS16" s="49">
        <f t="shared" si="75"/>
        <v>300000</v>
      </c>
      <c r="BT16" s="49">
        <f t="shared" si="75"/>
        <v>300000</v>
      </c>
      <c r="BU16" s="49">
        <f t="shared" si="75"/>
        <v>300000</v>
      </c>
      <c r="BV16" s="49">
        <f t="shared" si="75"/>
        <v>300000</v>
      </c>
      <c r="BW16" s="49">
        <f t="shared" si="75"/>
        <v>300000</v>
      </c>
      <c r="BX16" s="49">
        <f t="shared" si="75"/>
        <v>300000</v>
      </c>
      <c r="BY16" s="49">
        <f t="shared" si="75"/>
        <v>300000</v>
      </c>
      <c r="BZ16" s="49">
        <f t="shared" si="75"/>
        <v>300000</v>
      </c>
      <c r="CA16" s="49">
        <f t="shared" si="75"/>
        <v>300000</v>
      </c>
      <c r="CB16" s="49">
        <f t="shared" si="75"/>
        <v>300000</v>
      </c>
      <c r="CC16" s="49">
        <f t="shared" si="75"/>
        <v>300000</v>
      </c>
      <c r="CD16" s="49">
        <f t="shared" si="75"/>
        <v>300000</v>
      </c>
      <c r="CE16" s="49">
        <f t="shared" si="75"/>
        <v>300000</v>
      </c>
      <c r="CF16" s="49">
        <f t="shared" si="75"/>
        <v>300000</v>
      </c>
      <c r="CG16" s="49">
        <f t="shared" si="75"/>
        <v>300000</v>
      </c>
      <c r="CH16" s="49">
        <f t="shared" si="75"/>
        <v>300000</v>
      </c>
      <c r="CI16" s="49">
        <f t="shared" si="75"/>
        <v>300000</v>
      </c>
      <c r="CJ16" s="49">
        <f t="shared" si="75"/>
        <v>300000</v>
      </c>
      <c r="CK16" s="49">
        <f t="shared" si="75"/>
        <v>300000</v>
      </c>
      <c r="CL16" s="49">
        <f t="shared" si="75"/>
        <v>300000</v>
      </c>
      <c r="CM16" s="49">
        <f t="shared" si="75"/>
        <v>300000</v>
      </c>
      <c r="CN16" s="49">
        <f t="shared" si="75"/>
        <v>300000</v>
      </c>
      <c r="CO16" s="49">
        <f t="shared" si="75"/>
        <v>300000</v>
      </c>
      <c r="CP16" s="49">
        <f t="shared" si="75"/>
        <v>300000</v>
      </c>
      <c r="CQ16" s="49">
        <f t="shared" si="75"/>
        <v>300000</v>
      </c>
      <c r="CR16" s="49">
        <f t="shared" si="75"/>
        <v>300000</v>
      </c>
      <c r="CS16" s="49">
        <f t="shared" si="75"/>
        <v>300000</v>
      </c>
      <c r="CT16" s="49">
        <f t="shared" si="75"/>
        <v>300000</v>
      </c>
      <c r="CU16" s="49">
        <f t="shared" si="75"/>
        <v>300000</v>
      </c>
      <c r="CV16" s="49">
        <f t="shared" ref="CV16:EA16" si="76">CU16</f>
        <v>300000</v>
      </c>
      <c r="CW16" s="49">
        <f t="shared" si="76"/>
        <v>300000</v>
      </c>
      <c r="CX16" s="49">
        <f t="shared" si="76"/>
        <v>300000</v>
      </c>
      <c r="CY16" s="49">
        <f t="shared" si="76"/>
        <v>300000</v>
      </c>
      <c r="CZ16" s="49">
        <f t="shared" si="76"/>
        <v>300000</v>
      </c>
      <c r="DA16" s="49">
        <f t="shared" si="76"/>
        <v>300000</v>
      </c>
      <c r="DB16" s="49">
        <f t="shared" si="76"/>
        <v>300000</v>
      </c>
      <c r="DC16" s="49">
        <f t="shared" si="76"/>
        <v>300000</v>
      </c>
      <c r="DD16" s="49">
        <f t="shared" si="76"/>
        <v>300000</v>
      </c>
      <c r="DE16" s="49">
        <f t="shared" si="76"/>
        <v>300000</v>
      </c>
      <c r="DF16" s="49">
        <f t="shared" si="76"/>
        <v>300000</v>
      </c>
      <c r="DG16" s="49">
        <f t="shared" si="76"/>
        <v>300000</v>
      </c>
      <c r="DH16" s="49">
        <f t="shared" si="76"/>
        <v>300000</v>
      </c>
      <c r="DI16" s="49">
        <f t="shared" si="76"/>
        <v>300000</v>
      </c>
      <c r="DJ16" s="49">
        <f t="shared" si="76"/>
        <v>300000</v>
      </c>
      <c r="DK16" s="49">
        <f t="shared" si="76"/>
        <v>300000</v>
      </c>
      <c r="DL16" s="49">
        <f t="shared" si="76"/>
        <v>300000</v>
      </c>
      <c r="DM16" s="49">
        <f t="shared" si="76"/>
        <v>300000</v>
      </c>
      <c r="DN16" s="49">
        <f t="shared" si="76"/>
        <v>300000</v>
      </c>
      <c r="DO16" s="49">
        <f t="shared" si="76"/>
        <v>300000</v>
      </c>
      <c r="DP16" s="49">
        <f t="shared" si="76"/>
        <v>300000</v>
      </c>
      <c r="DQ16" s="49">
        <f t="shared" si="76"/>
        <v>300000</v>
      </c>
      <c r="DR16" s="49">
        <f t="shared" si="76"/>
        <v>300000</v>
      </c>
      <c r="DS16" s="49">
        <f t="shared" si="76"/>
        <v>300000</v>
      </c>
      <c r="DT16" s="49">
        <f t="shared" si="76"/>
        <v>300000</v>
      </c>
      <c r="DU16" s="49">
        <f t="shared" si="76"/>
        <v>300000</v>
      </c>
      <c r="DV16" s="49">
        <f t="shared" si="76"/>
        <v>300000</v>
      </c>
      <c r="DW16" s="49">
        <f t="shared" si="76"/>
        <v>300000</v>
      </c>
      <c r="DX16" s="49">
        <f t="shared" si="76"/>
        <v>300000</v>
      </c>
      <c r="DY16" s="49">
        <f t="shared" si="76"/>
        <v>300000</v>
      </c>
      <c r="DZ16" s="49">
        <f t="shared" si="76"/>
        <v>300000</v>
      </c>
      <c r="EA16" s="49">
        <f t="shared" si="76"/>
        <v>300000</v>
      </c>
      <c r="EB16" s="49">
        <f t="shared" ref="EB16:FL16" si="77">EA16</f>
        <v>300000</v>
      </c>
      <c r="EC16" s="49">
        <f t="shared" si="77"/>
        <v>300000</v>
      </c>
      <c r="ED16" s="49">
        <f t="shared" si="77"/>
        <v>300000</v>
      </c>
      <c r="EE16" s="49">
        <f t="shared" si="77"/>
        <v>300000</v>
      </c>
      <c r="EF16" s="49">
        <f t="shared" si="77"/>
        <v>300000</v>
      </c>
      <c r="EG16" s="49">
        <f t="shared" si="77"/>
        <v>300000</v>
      </c>
      <c r="EH16" s="49">
        <f t="shared" si="77"/>
        <v>300000</v>
      </c>
      <c r="EI16" s="49">
        <f t="shared" si="77"/>
        <v>300000</v>
      </c>
      <c r="EJ16" s="49">
        <f t="shared" si="77"/>
        <v>300000</v>
      </c>
      <c r="EK16" s="49">
        <f t="shared" si="77"/>
        <v>300000</v>
      </c>
      <c r="EL16" s="49">
        <f t="shared" si="77"/>
        <v>300000</v>
      </c>
      <c r="EM16" s="49">
        <f t="shared" si="77"/>
        <v>300000</v>
      </c>
      <c r="EN16" s="49">
        <f t="shared" si="77"/>
        <v>300000</v>
      </c>
      <c r="EO16" s="49">
        <f t="shared" si="77"/>
        <v>300000</v>
      </c>
      <c r="EP16" s="49">
        <f t="shared" si="77"/>
        <v>300000</v>
      </c>
      <c r="EQ16" s="49">
        <f t="shared" si="77"/>
        <v>300000</v>
      </c>
      <c r="ER16" s="49">
        <f t="shared" si="77"/>
        <v>300000</v>
      </c>
      <c r="ES16" s="49">
        <f t="shared" si="77"/>
        <v>300000</v>
      </c>
      <c r="ET16" s="49">
        <f t="shared" si="77"/>
        <v>300000</v>
      </c>
      <c r="EU16" s="49">
        <f t="shared" si="77"/>
        <v>300000</v>
      </c>
      <c r="EV16" s="49">
        <f t="shared" si="77"/>
        <v>300000</v>
      </c>
      <c r="EW16" s="49">
        <f t="shared" si="77"/>
        <v>300000</v>
      </c>
      <c r="EX16" s="49">
        <f t="shared" si="77"/>
        <v>300000</v>
      </c>
      <c r="EY16" s="49">
        <f t="shared" si="77"/>
        <v>300000</v>
      </c>
      <c r="EZ16" s="49">
        <f t="shared" si="77"/>
        <v>300000</v>
      </c>
      <c r="FA16" s="49">
        <f t="shared" si="77"/>
        <v>300000</v>
      </c>
      <c r="FB16" s="49">
        <f t="shared" si="77"/>
        <v>300000</v>
      </c>
      <c r="FC16" s="49">
        <f t="shared" si="77"/>
        <v>300000</v>
      </c>
      <c r="FD16" s="49">
        <f t="shared" si="77"/>
        <v>300000</v>
      </c>
      <c r="FE16" s="49">
        <f t="shared" si="77"/>
        <v>300000</v>
      </c>
      <c r="FF16" s="49">
        <f t="shared" si="77"/>
        <v>300000</v>
      </c>
      <c r="FG16" s="49">
        <f t="shared" si="77"/>
        <v>300000</v>
      </c>
      <c r="FH16" s="49">
        <f t="shared" si="77"/>
        <v>300000</v>
      </c>
      <c r="FI16" s="49">
        <f t="shared" si="77"/>
        <v>300000</v>
      </c>
      <c r="FJ16" s="49">
        <f t="shared" si="77"/>
        <v>300000</v>
      </c>
      <c r="FK16" s="49">
        <f t="shared" si="77"/>
        <v>300000</v>
      </c>
      <c r="FL16" s="49">
        <f t="shared" si="77"/>
        <v>300000</v>
      </c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96"/>
      <c r="GB16" s="96"/>
      <c r="GC16" s="96"/>
      <c r="GD16" s="96"/>
      <c r="GE16" s="96"/>
      <c r="GF16" s="96"/>
      <c r="GG16" s="96"/>
      <c r="GH16" s="96"/>
      <c r="GI16" s="96"/>
      <c r="GJ16" s="96"/>
    </row>
    <row r="17" spans="1:182" x14ac:dyDescent="0.3">
      <c r="A17" s="92">
        <v>106029036</v>
      </c>
      <c r="B17" s="96" t="s">
        <v>74</v>
      </c>
      <c r="C17" s="1">
        <f>VLOOKUP(A17,FORECAST!D:W,4,FALSE)*2000</f>
        <v>200000</v>
      </c>
      <c r="D17" s="49">
        <f t="shared" ref="D17:AI17" si="78">C17</f>
        <v>200000</v>
      </c>
      <c r="E17" s="49">
        <f t="shared" si="78"/>
        <v>200000</v>
      </c>
      <c r="F17" s="49">
        <f t="shared" si="78"/>
        <v>200000</v>
      </c>
      <c r="G17" s="49">
        <f t="shared" si="78"/>
        <v>200000</v>
      </c>
      <c r="H17" s="49">
        <f t="shared" si="78"/>
        <v>200000</v>
      </c>
      <c r="I17" s="49">
        <f t="shared" si="78"/>
        <v>200000</v>
      </c>
      <c r="J17" s="49">
        <f t="shared" si="78"/>
        <v>200000</v>
      </c>
      <c r="K17" s="49">
        <f t="shared" si="78"/>
        <v>200000</v>
      </c>
      <c r="L17" s="49">
        <f t="shared" si="78"/>
        <v>200000</v>
      </c>
      <c r="M17" s="49">
        <f t="shared" si="78"/>
        <v>200000</v>
      </c>
      <c r="N17" s="49">
        <f t="shared" si="78"/>
        <v>200000</v>
      </c>
      <c r="O17" s="49">
        <f t="shared" si="78"/>
        <v>200000</v>
      </c>
      <c r="P17" s="49">
        <f t="shared" si="78"/>
        <v>200000</v>
      </c>
      <c r="Q17" s="49">
        <f t="shared" si="78"/>
        <v>200000</v>
      </c>
      <c r="R17" s="49">
        <f t="shared" si="78"/>
        <v>200000</v>
      </c>
      <c r="S17" s="49">
        <f t="shared" si="78"/>
        <v>200000</v>
      </c>
      <c r="T17" s="49">
        <f t="shared" si="78"/>
        <v>200000</v>
      </c>
      <c r="U17" s="49">
        <f t="shared" si="78"/>
        <v>200000</v>
      </c>
      <c r="V17" s="49">
        <f t="shared" si="78"/>
        <v>200000</v>
      </c>
      <c r="W17" s="49">
        <f t="shared" si="78"/>
        <v>200000</v>
      </c>
      <c r="X17" s="49">
        <f t="shared" si="78"/>
        <v>200000</v>
      </c>
      <c r="Y17" s="49">
        <f t="shared" si="78"/>
        <v>200000</v>
      </c>
      <c r="Z17" s="49">
        <f t="shared" si="78"/>
        <v>200000</v>
      </c>
      <c r="AA17" s="49">
        <f t="shared" si="78"/>
        <v>200000</v>
      </c>
      <c r="AB17" s="49">
        <f t="shared" si="78"/>
        <v>200000</v>
      </c>
      <c r="AC17" s="49">
        <f t="shared" si="78"/>
        <v>200000</v>
      </c>
      <c r="AD17" s="49">
        <f t="shared" si="78"/>
        <v>200000</v>
      </c>
      <c r="AE17" s="49">
        <f t="shared" si="78"/>
        <v>200000</v>
      </c>
      <c r="AF17" s="49">
        <f t="shared" si="78"/>
        <v>200000</v>
      </c>
      <c r="AG17" s="49">
        <f t="shared" si="78"/>
        <v>200000</v>
      </c>
      <c r="AH17" s="49">
        <f t="shared" si="78"/>
        <v>200000</v>
      </c>
      <c r="AI17" s="49">
        <f t="shared" si="78"/>
        <v>200000</v>
      </c>
      <c r="AJ17" s="49">
        <f t="shared" ref="AJ17:BO17" si="79">AI17</f>
        <v>200000</v>
      </c>
      <c r="AK17" s="49">
        <f t="shared" si="79"/>
        <v>200000</v>
      </c>
      <c r="AL17" s="49">
        <f t="shared" si="79"/>
        <v>200000</v>
      </c>
      <c r="AM17" s="49">
        <f t="shared" si="79"/>
        <v>200000</v>
      </c>
      <c r="AN17" s="49">
        <f t="shared" si="79"/>
        <v>200000</v>
      </c>
      <c r="AO17" s="49">
        <f t="shared" si="79"/>
        <v>200000</v>
      </c>
      <c r="AP17" s="49">
        <f t="shared" si="79"/>
        <v>200000</v>
      </c>
      <c r="AQ17" s="49">
        <f t="shared" si="79"/>
        <v>200000</v>
      </c>
      <c r="AR17" s="49">
        <f t="shared" si="79"/>
        <v>200000</v>
      </c>
      <c r="AS17" s="49">
        <f t="shared" si="79"/>
        <v>200000</v>
      </c>
      <c r="AT17" s="49">
        <f t="shared" si="79"/>
        <v>200000</v>
      </c>
      <c r="AU17" s="49">
        <f t="shared" si="79"/>
        <v>200000</v>
      </c>
      <c r="AV17" s="49">
        <f t="shared" si="79"/>
        <v>200000</v>
      </c>
      <c r="AW17" s="49">
        <f t="shared" si="79"/>
        <v>200000</v>
      </c>
      <c r="AX17" s="49">
        <f t="shared" si="79"/>
        <v>200000</v>
      </c>
      <c r="AY17" s="49">
        <f t="shared" si="79"/>
        <v>200000</v>
      </c>
      <c r="AZ17" s="49">
        <f t="shared" si="79"/>
        <v>200000</v>
      </c>
      <c r="BA17" s="49">
        <f t="shared" si="79"/>
        <v>200000</v>
      </c>
      <c r="BB17" s="49">
        <f t="shared" si="79"/>
        <v>200000</v>
      </c>
      <c r="BC17" s="49">
        <f t="shared" si="79"/>
        <v>200000</v>
      </c>
      <c r="BD17" s="49">
        <f t="shared" si="79"/>
        <v>200000</v>
      </c>
      <c r="BE17" s="49">
        <f t="shared" si="79"/>
        <v>200000</v>
      </c>
      <c r="BF17" s="49">
        <f t="shared" si="79"/>
        <v>200000</v>
      </c>
      <c r="BG17" s="49">
        <f t="shared" si="79"/>
        <v>200000</v>
      </c>
      <c r="BH17" s="49">
        <f t="shared" si="79"/>
        <v>200000</v>
      </c>
      <c r="BI17" s="49">
        <f t="shared" si="79"/>
        <v>200000</v>
      </c>
      <c r="BJ17" s="49">
        <f t="shared" si="79"/>
        <v>200000</v>
      </c>
      <c r="BK17" s="49">
        <f t="shared" si="79"/>
        <v>200000</v>
      </c>
      <c r="BL17" s="49">
        <f t="shared" si="79"/>
        <v>200000</v>
      </c>
      <c r="BM17" s="49">
        <f t="shared" si="79"/>
        <v>200000</v>
      </c>
      <c r="BN17" s="49">
        <f t="shared" si="79"/>
        <v>200000</v>
      </c>
      <c r="BO17" s="49">
        <f t="shared" si="79"/>
        <v>200000</v>
      </c>
      <c r="BP17" s="49">
        <f t="shared" ref="BP17:CU17" si="80">BO17</f>
        <v>200000</v>
      </c>
      <c r="BQ17" s="49">
        <f t="shared" si="80"/>
        <v>200000</v>
      </c>
      <c r="BR17" s="49">
        <f t="shared" si="80"/>
        <v>200000</v>
      </c>
      <c r="BS17" s="49">
        <f t="shared" si="80"/>
        <v>200000</v>
      </c>
      <c r="BT17" s="49">
        <f t="shared" si="80"/>
        <v>200000</v>
      </c>
      <c r="BU17" s="49">
        <f t="shared" si="80"/>
        <v>200000</v>
      </c>
      <c r="BV17" s="49">
        <f t="shared" si="80"/>
        <v>200000</v>
      </c>
      <c r="BW17" s="49">
        <f t="shared" si="80"/>
        <v>200000</v>
      </c>
      <c r="BX17" s="49">
        <f t="shared" si="80"/>
        <v>200000</v>
      </c>
      <c r="BY17" s="49">
        <f t="shared" si="80"/>
        <v>200000</v>
      </c>
      <c r="BZ17" s="49">
        <f t="shared" si="80"/>
        <v>200000</v>
      </c>
      <c r="CA17" s="49">
        <f t="shared" si="80"/>
        <v>200000</v>
      </c>
      <c r="CB17" s="49">
        <f t="shared" si="80"/>
        <v>200000</v>
      </c>
      <c r="CC17" s="49">
        <f t="shared" si="80"/>
        <v>200000</v>
      </c>
      <c r="CD17" s="49">
        <f t="shared" si="80"/>
        <v>200000</v>
      </c>
      <c r="CE17" s="49">
        <f t="shared" si="80"/>
        <v>200000</v>
      </c>
      <c r="CF17" s="49">
        <f t="shared" si="80"/>
        <v>200000</v>
      </c>
      <c r="CG17" s="49">
        <f t="shared" si="80"/>
        <v>200000</v>
      </c>
      <c r="CH17" s="49">
        <f t="shared" si="80"/>
        <v>200000</v>
      </c>
      <c r="CI17" s="49">
        <f t="shared" si="80"/>
        <v>200000</v>
      </c>
      <c r="CJ17" s="49">
        <f t="shared" si="80"/>
        <v>200000</v>
      </c>
      <c r="CK17" s="49">
        <f t="shared" si="80"/>
        <v>200000</v>
      </c>
      <c r="CL17" s="49">
        <f t="shared" si="80"/>
        <v>200000</v>
      </c>
      <c r="CM17" s="49">
        <f t="shared" si="80"/>
        <v>200000</v>
      </c>
      <c r="CN17" s="49">
        <f t="shared" si="80"/>
        <v>200000</v>
      </c>
      <c r="CO17" s="49">
        <f t="shared" si="80"/>
        <v>200000</v>
      </c>
      <c r="CP17" s="49">
        <f t="shared" si="80"/>
        <v>200000</v>
      </c>
      <c r="CQ17" s="49">
        <f t="shared" si="80"/>
        <v>200000</v>
      </c>
      <c r="CR17" s="49">
        <f t="shared" si="80"/>
        <v>200000</v>
      </c>
      <c r="CS17" s="49">
        <f t="shared" si="80"/>
        <v>200000</v>
      </c>
      <c r="CT17" s="49">
        <f t="shared" si="80"/>
        <v>200000</v>
      </c>
      <c r="CU17" s="49">
        <f t="shared" si="80"/>
        <v>200000</v>
      </c>
      <c r="CV17" s="49">
        <f t="shared" ref="CV17:EA17" si="81">CU17</f>
        <v>200000</v>
      </c>
      <c r="CW17" s="49">
        <f t="shared" si="81"/>
        <v>200000</v>
      </c>
      <c r="CX17" s="49">
        <f t="shared" si="81"/>
        <v>200000</v>
      </c>
      <c r="CY17" s="49">
        <f t="shared" si="81"/>
        <v>200000</v>
      </c>
      <c r="CZ17" s="49">
        <f t="shared" si="81"/>
        <v>200000</v>
      </c>
      <c r="DA17" s="49">
        <f t="shared" si="81"/>
        <v>200000</v>
      </c>
      <c r="DB17" s="49">
        <f t="shared" si="81"/>
        <v>200000</v>
      </c>
      <c r="DC17" s="49">
        <f t="shared" si="81"/>
        <v>200000</v>
      </c>
      <c r="DD17" s="49">
        <f t="shared" si="81"/>
        <v>200000</v>
      </c>
      <c r="DE17" s="49">
        <f t="shared" si="81"/>
        <v>200000</v>
      </c>
      <c r="DF17" s="49">
        <f t="shared" si="81"/>
        <v>200000</v>
      </c>
      <c r="DG17" s="49">
        <f t="shared" si="81"/>
        <v>200000</v>
      </c>
      <c r="DH17" s="49">
        <f t="shared" si="81"/>
        <v>200000</v>
      </c>
      <c r="DI17" s="49">
        <f t="shared" si="81"/>
        <v>200000</v>
      </c>
      <c r="DJ17" s="49">
        <f t="shared" si="81"/>
        <v>200000</v>
      </c>
      <c r="DK17" s="49">
        <f t="shared" si="81"/>
        <v>200000</v>
      </c>
      <c r="DL17" s="49">
        <f t="shared" si="81"/>
        <v>200000</v>
      </c>
      <c r="DM17" s="49">
        <f t="shared" si="81"/>
        <v>200000</v>
      </c>
      <c r="DN17" s="49">
        <f t="shared" si="81"/>
        <v>200000</v>
      </c>
      <c r="DO17" s="49">
        <f t="shared" si="81"/>
        <v>200000</v>
      </c>
      <c r="DP17" s="49">
        <f t="shared" si="81"/>
        <v>200000</v>
      </c>
      <c r="DQ17" s="49">
        <f t="shared" si="81"/>
        <v>200000</v>
      </c>
      <c r="DR17" s="49">
        <f t="shared" si="81"/>
        <v>200000</v>
      </c>
      <c r="DS17" s="49">
        <f t="shared" si="81"/>
        <v>200000</v>
      </c>
      <c r="DT17" s="49">
        <f t="shared" si="81"/>
        <v>200000</v>
      </c>
      <c r="DU17" s="49">
        <f t="shared" si="81"/>
        <v>200000</v>
      </c>
      <c r="DV17" s="49">
        <f t="shared" si="81"/>
        <v>200000</v>
      </c>
      <c r="DW17" s="49">
        <f t="shared" si="81"/>
        <v>200000</v>
      </c>
      <c r="DX17" s="49">
        <f t="shared" si="81"/>
        <v>200000</v>
      </c>
      <c r="DY17" s="49">
        <f t="shared" si="81"/>
        <v>200000</v>
      </c>
      <c r="DZ17" s="49">
        <f t="shared" si="81"/>
        <v>200000</v>
      </c>
      <c r="EA17" s="49">
        <f t="shared" si="81"/>
        <v>200000</v>
      </c>
      <c r="EB17" s="49">
        <f t="shared" ref="EB17:FL17" si="82">EA17</f>
        <v>200000</v>
      </c>
      <c r="EC17" s="49">
        <f t="shared" si="82"/>
        <v>200000</v>
      </c>
      <c r="ED17" s="49">
        <f t="shared" si="82"/>
        <v>200000</v>
      </c>
      <c r="EE17" s="49">
        <f t="shared" si="82"/>
        <v>200000</v>
      </c>
      <c r="EF17" s="49">
        <f t="shared" si="82"/>
        <v>200000</v>
      </c>
      <c r="EG17" s="49">
        <f t="shared" si="82"/>
        <v>200000</v>
      </c>
      <c r="EH17" s="49">
        <f t="shared" si="82"/>
        <v>200000</v>
      </c>
      <c r="EI17" s="49">
        <f t="shared" si="82"/>
        <v>200000</v>
      </c>
      <c r="EJ17" s="49">
        <f t="shared" si="82"/>
        <v>200000</v>
      </c>
      <c r="EK17" s="49">
        <f t="shared" si="82"/>
        <v>200000</v>
      </c>
      <c r="EL17" s="49">
        <f t="shared" si="82"/>
        <v>200000</v>
      </c>
      <c r="EM17" s="49">
        <f t="shared" si="82"/>
        <v>200000</v>
      </c>
      <c r="EN17" s="49">
        <f t="shared" si="82"/>
        <v>200000</v>
      </c>
      <c r="EO17" s="49">
        <f t="shared" si="82"/>
        <v>200000</v>
      </c>
      <c r="EP17" s="49">
        <f t="shared" si="82"/>
        <v>200000</v>
      </c>
      <c r="EQ17" s="49">
        <f t="shared" si="82"/>
        <v>200000</v>
      </c>
      <c r="ER17" s="49">
        <f t="shared" si="82"/>
        <v>200000</v>
      </c>
      <c r="ES17" s="49">
        <f t="shared" si="82"/>
        <v>200000</v>
      </c>
      <c r="ET17" s="49">
        <f t="shared" si="82"/>
        <v>200000</v>
      </c>
      <c r="EU17" s="49">
        <f t="shared" si="82"/>
        <v>200000</v>
      </c>
      <c r="EV17" s="49">
        <f t="shared" si="82"/>
        <v>200000</v>
      </c>
      <c r="EW17" s="49">
        <f t="shared" si="82"/>
        <v>200000</v>
      </c>
      <c r="EX17" s="49">
        <f t="shared" si="82"/>
        <v>200000</v>
      </c>
      <c r="EY17" s="49">
        <f t="shared" si="82"/>
        <v>200000</v>
      </c>
      <c r="EZ17" s="49">
        <f t="shared" si="82"/>
        <v>200000</v>
      </c>
      <c r="FA17" s="49">
        <f t="shared" si="82"/>
        <v>200000</v>
      </c>
      <c r="FB17" s="49">
        <f t="shared" si="82"/>
        <v>200000</v>
      </c>
      <c r="FC17" s="49">
        <f t="shared" si="82"/>
        <v>200000</v>
      </c>
      <c r="FD17" s="49">
        <f t="shared" si="82"/>
        <v>200000</v>
      </c>
      <c r="FE17" s="49">
        <f t="shared" si="82"/>
        <v>200000</v>
      </c>
      <c r="FF17" s="49">
        <f t="shared" si="82"/>
        <v>200000</v>
      </c>
      <c r="FG17" s="49">
        <f t="shared" si="82"/>
        <v>200000</v>
      </c>
      <c r="FH17" s="49">
        <f t="shared" si="82"/>
        <v>200000</v>
      </c>
      <c r="FI17" s="49">
        <f t="shared" si="82"/>
        <v>200000</v>
      </c>
      <c r="FJ17" s="49">
        <f t="shared" si="82"/>
        <v>200000</v>
      </c>
      <c r="FK17" s="49">
        <f t="shared" si="82"/>
        <v>200000</v>
      </c>
      <c r="FL17" s="49">
        <f t="shared" si="82"/>
        <v>200000</v>
      </c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</row>
    <row r="18" spans="1:182" x14ac:dyDescent="0.3">
      <c r="A18" s="92">
        <v>106029553</v>
      </c>
      <c r="B18" s="96" t="s">
        <v>74</v>
      </c>
      <c r="C18" s="1">
        <f>VLOOKUP(A18,FORECAST!D:W,4,FALSE)*2000</f>
        <v>200000</v>
      </c>
      <c r="D18" s="49">
        <f t="shared" ref="D18:AI18" si="83">C18</f>
        <v>200000</v>
      </c>
      <c r="E18" s="49">
        <f t="shared" si="83"/>
        <v>200000</v>
      </c>
      <c r="F18" s="49">
        <f t="shared" si="83"/>
        <v>200000</v>
      </c>
      <c r="G18" s="49">
        <f t="shared" si="83"/>
        <v>200000</v>
      </c>
      <c r="H18" s="49">
        <f t="shared" si="83"/>
        <v>200000</v>
      </c>
      <c r="I18" s="49">
        <f t="shared" si="83"/>
        <v>200000</v>
      </c>
      <c r="J18" s="49">
        <f t="shared" si="83"/>
        <v>200000</v>
      </c>
      <c r="K18" s="49">
        <f t="shared" si="83"/>
        <v>200000</v>
      </c>
      <c r="L18" s="49">
        <f t="shared" si="83"/>
        <v>200000</v>
      </c>
      <c r="M18" s="49">
        <f t="shared" si="83"/>
        <v>200000</v>
      </c>
      <c r="N18" s="49">
        <f t="shared" si="83"/>
        <v>200000</v>
      </c>
      <c r="O18" s="49">
        <f t="shared" si="83"/>
        <v>200000</v>
      </c>
      <c r="P18" s="49">
        <f t="shared" si="83"/>
        <v>200000</v>
      </c>
      <c r="Q18" s="49">
        <f t="shared" si="83"/>
        <v>200000</v>
      </c>
      <c r="R18" s="49">
        <f t="shared" si="83"/>
        <v>200000</v>
      </c>
      <c r="S18" s="49">
        <f t="shared" si="83"/>
        <v>200000</v>
      </c>
      <c r="T18" s="49">
        <f t="shared" si="83"/>
        <v>200000</v>
      </c>
      <c r="U18" s="49">
        <f t="shared" si="83"/>
        <v>200000</v>
      </c>
      <c r="V18" s="49">
        <f t="shared" si="83"/>
        <v>200000</v>
      </c>
      <c r="W18" s="49">
        <f t="shared" si="83"/>
        <v>200000</v>
      </c>
      <c r="X18" s="49">
        <f t="shared" si="83"/>
        <v>200000</v>
      </c>
      <c r="Y18" s="49">
        <f t="shared" si="83"/>
        <v>200000</v>
      </c>
      <c r="Z18" s="49">
        <f t="shared" si="83"/>
        <v>200000</v>
      </c>
      <c r="AA18" s="49">
        <f t="shared" si="83"/>
        <v>200000</v>
      </c>
      <c r="AB18" s="49">
        <f t="shared" si="83"/>
        <v>200000</v>
      </c>
      <c r="AC18" s="49">
        <f t="shared" si="83"/>
        <v>200000</v>
      </c>
      <c r="AD18" s="49">
        <f t="shared" si="83"/>
        <v>200000</v>
      </c>
      <c r="AE18" s="49">
        <f t="shared" si="83"/>
        <v>200000</v>
      </c>
      <c r="AF18" s="49">
        <f t="shared" si="83"/>
        <v>200000</v>
      </c>
      <c r="AG18" s="49">
        <f t="shared" si="83"/>
        <v>200000</v>
      </c>
      <c r="AH18" s="49">
        <f t="shared" si="83"/>
        <v>200000</v>
      </c>
      <c r="AI18" s="49">
        <f t="shared" si="83"/>
        <v>200000</v>
      </c>
      <c r="AJ18" s="49">
        <f t="shared" ref="AJ18:BO18" si="84">AI18</f>
        <v>200000</v>
      </c>
      <c r="AK18" s="49">
        <f t="shared" si="84"/>
        <v>200000</v>
      </c>
      <c r="AL18" s="49">
        <f t="shared" si="84"/>
        <v>200000</v>
      </c>
      <c r="AM18" s="49">
        <f t="shared" si="84"/>
        <v>200000</v>
      </c>
      <c r="AN18" s="49">
        <f t="shared" si="84"/>
        <v>200000</v>
      </c>
      <c r="AO18" s="49">
        <f t="shared" si="84"/>
        <v>200000</v>
      </c>
      <c r="AP18" s="49">
        <f t="shared" si="84"/>
        <v>200000</v>
      </c>
      <c r="AQ18" s="49">
        <f t="shared" si="84"/>
        <v>200000</v>
      </c>
      <c r="AR18" s="49">
        <f t="shared" si="84"/>
        <v>200000</v>
      </c>
      <c r="AS18" s="49">
        <f t="shared" si="84"/>
        <v>200000</v>
      </c>
      <c r="AT18" s="49">
        <f t="shared" si="84"/>
        <v>200000</v>
      </c>
      <c r="AU18" s="49">
        <f t="shared" si="84"/>
        <v>200000</v>
      </c>
      <c r="AV18" s="49">
        <f t="shared" si="84"/>
        <v>200000</v>
      </c>
      <c r="AW18" s="49">
        <f t="shared" si="84"/>
        <v>200000</v>
      </c>
      <c r="AX18" s="49">
        <f t="shared" si="84"/>
        <v>200000</v>
      </c>
      <c r="AY18" s="49">
        <f t="shared" si="84"/>
        <v>200000</v>
      </c>
      <c r="AZ18" s="49">
        <f t="shared" si="84"/>
        <v>200000</v>
      </c>
      <c r="BA18" s="49">
        <f t="shared" si="84"/>
        <v>200000</v>
      </c>
      <c r="BB18" s="49">
        <f t="shared" si="84"/>
        <v>200000</v>
      </c>
      <c r="BC18" s="49">
        <f t="shared" si="84"/>
        <v>200000</v>
      </c>
      <c r="BD18" s="49">
        <f t="shared" si="84"/>
        <v>200000</v>
      </c>
      <c r="BE18" s="49">
        <f t="shared" si="84"/>
        <v>200000</v>
      </c>
      <c r="BF18" s="49">
        <f t="shared" si="84"/>
        <v>200000</v>
      </c>
      <c r="BG18" s="49">
        <f t="shared" si="84"/>
        <v>200000</v>
      </c>
      <c r="BH18" s="49">
        <f t="shared" si="84"/>
        <v>200000</v>
      </c>
      <c r="BI18" s="49">
        <f t="shared" si="84"/>
        <v>200000</v>
      </c>
      <c r="BJ18" s="49">
        <f t="shared" si="84"/>
        <v>200000</v>
      </c>
      <c r="BK18" s="49">
        <f t="shared" si="84"/>
        <v>200000</v>
      </c>
      <c r="BL18" s="49">
        <f t="shared" si="84"/>
        <v>200000</v>
      </c>
      <c r="BM18" s="49">
        <f t="shared" si="84"/>
        <v>200000</v>
      </c>
      <c r="BN18" s="49">
        <f t="shared" si="84"/>
        <v>200000</v>
      </c>
      <c r="BO18" s="49">
        <f t="shared" si="84"/>
        <v>200000</v>
      </c>
      <c r="BP18" s="49">
        <f t="shared" ref="BP18:CU18" si="85">BO18</f>
        <v>200000</v>
      </c>
      <c r="BQ18" s="49">
        <f t="shared" si="85"/>
        <v>200000</v>
      </c>
      <c r="BR18" s="49">
        <f t="shared" si="85"/>
        <v>200000</v>
      </c>
      <c r="BS18" s="49">
        <f t="shared" si="85"/>
        <v>200000</v>
      </c>
      <c r="BT18" s="49">
        <f t="shared" si="85"/>
        <v>200000</v>
      </c>
      <c r="BU18" s="49">
        <f t="shared" si="85"/>
        <v>200000</v>
      </c>
      <c r="BV18" s="49">
        <f t="shared" si="85"/>
        <v>200000</v>
      </c>
      <c r="BW18" s="49">
        <f t="shared" si="85"/>
        <v>200000</v>
      </c>
      <c r="BX18" s="49">
        <f t="shared" si="85"/>
        <v>200000</v>
      </c>
      <c r="BY18" s="49">
        <f t="shared" si="85"/>
        <v>200000</v>
      </c>
      <c r="BZ18" s="49">
        <f t="shared" si="85"/>
        <v>200000</v>
      </c>
      <c r="CA18" s="49">
        <f t="shared" si="85"/>
        <v>200000</v>
      </c>
      <c r="CB18" s="49">
        <f t="shared" si="85"/>
        <v>200000</v>
      </c>
      <c r="CC18" s="49">
        <f t="shared" si="85"/>
        <v>200000</v>
      </c>
      <c r="CD18" s="49">
        <f t="shared" si="85"/>
        <v>200000</v>
      </c>
      <c r="CE18" s="49">
        <f t="shared" si="85"/>
        <v>200000</v>
      </c>
      <c r="CF18" s="49">
        <f t="shared" si="85"/>
        <v>200000</v>
      </c>
      <c r="CG18" s="49">
        <f t="shared" si="85"/>
        <v>200000</v>
      </c>
      <c r="CH18" s="49">
        <f t="shared" si="85"/>
        <v>200000</v>
      </c>
      <c r="CI18" s="49">
        <f t="shared" si="85"/>
        <v>200000</v>
      </c>
      <c r="CJ18" s="49">
        <f t="shared" si="85"/>
        <v>200000</v>
      </c>
      <c r="CK18" s="49">
        <f t="shared" si="85"/>
        <v>200000</v>
      </c>
      <c r="CL18" s="49">
        <f t="shared" si="85"/>
        <v>200000</v>
      </c>
      <c r="CM18" s="49">
        <f t="shared" si="85"/>
        <v>200000</v>
      </c>
      <c r="CN18" s="49">
        <f t="shared" si="85"/>
        <v>200000</v>
      </c>
      <c r="CO18" s="49">
        <f t="shared" si="85"/>
        <v>200000</v>
      </c>
      <c r="CP18" s="49">
        <f t="shared" si="85"/>
        <v>200000</v>
      </c>
      <c r="CQ18" s="49">
        <f t="shared" si="85"/>
        <v>200000</v>
      </c>
      <c r="CR18" s="49">
        <f t="shared" si="85"/>
        <v>200000</v>
      </c>
      <c r="CS18" s="49">
        <f t="shared" si="85"/>
        <v>200000</v>
      </c>
      <c r="CT18" s="49">
        <f t="shared" si="85"/>
        <v>200000</v>
      </c>
      <c r="CU18" s="49">
        <f t="shared" si="85"/>
        <v>200000</v>
      </c>
      <c r="CV18" s="49">
        <f t="shared" ref="CV18:EA18" si="86">CU18</f>
        <v>200000</v>
      </c>
      <c r="CW18" s="49">
        <f t="shared" si="86"/>
        <v>200000</v>
      </c>
      <c r="CX18" s="49">
        <f t="shared" si="86"/>
        <v>200000</v>
      </c>
      <c r="CY18" s="49">
        <f t="shared" si="86"/>
        <v>200000</v>
      </c>
      <c r="CZ18" s="49">
        <f t="shared" si="86"/>
        <v>200000</v>
      </c>
      <c r="DA18" s="49">
        <f t="shared" si="86"/>
        <v>200000</v>
      </c>
      <c r="DB18" s="49">
        <f t="shared" si="86"/>
        <v>200000</v>
      </c>
      <c r="DC18" s="49">
        <f t="shared" si="86"/>
        <v>200000</v>
      </c>
      <c r="DD18" s="49">
        <f t="shared" si="86"/>
        <v>200000</v>
      </c>
      <c r="DE18" s="49">
        <f t="shared" si="86"/>
        <v>200000</v>
      </c>
      <c r="DF18" s="49">
        <f t="shared" si="86"/>
        <v>200000</v>
      </c>
      <c r="DG18" s="49">
        <f t="shared" si="86"/>
        <v>200000</v>
      </c>
      <c r="DH18" s="49">
        <f t="shared" si="86"/>
        <v>200000</v>
      </c>
      <c r="DI18" s="49">
        <f t="shared" si="86"/>
        <v>200000</v>
      </c>
      <c r="DJ18" s="49">
        <f t="shared" si="86"/>
        <v>200000</v>
      </c>
      <c r="DK18" s="49">
        <f t="shared" si="86"/>
        <v>200000</v>
      </c>
      <c r="DL18" s="49">
        <f t="shared" si="86"/>
        <v>200000</v>
      </c>
      <c r="DM18" s="49">
        <f t="shared" si="86"/>
        <v>200000</v>
      </c>
      <c r="DN18" s="49">
        <f t="shared" si="86"/>
        <v>200000</v>
      </c>
      <c r="DO18" s="49">
        <f t="shared" si="86"/>
        <v>200000</v>
      </c>
      <c r="DP18" s="49">
        <f t="shared" si="86"/>
        <v>200000</v>
      </c>
      <c r="DQ18" s="49">
        <f t="shared" si="86"/>
        <v>200000</v>
      </c>
      <c r="DR18" s="49">
        <f t="shared" si="86"/>
        <v>200000</v>
      </c>
      <c r="DS18" s="49">
        <f t="shared" si="86"/>
        <v>200000</v>
      </c>
      <c r="DT18" s="49">
        <f t="shared" si="86"/>
        <v>200000</v>
      </c>
      <c r="DU18" s="49">
        <f t="shared" si="86"/>
        <v>200000</v>
      </c>
      <c r="DV18" s="49">
        <f t="shared" si="86"/>
        <v>200000</v>
      </c>
      <c r="DW18" s="49">
        <f t="shared" si="86"/>
        <v>200000</v>
      </c>
      <c r="DX18" s="49">
        <f t="shared" si="86"/>
        <v>200000</v>
      </c>
      <c r="DY18" s="49">
        <f t="shared" si="86"/>
        <v>200000</v>
      </c>
      <c r="DZ18" s="49">
        <f t="shared" si="86"/>
        <v>200000</v>
      </c>
      <c r="EA18" s="49">
        <f t="shared" si="86"/>
        <v>200000</v>
      </c>
      <c r="EB18" s="49">
        <f t="shared" ref="EB18:FL18" si="87">EA18</f>
        <v>200000</v>
      </c>
      <c r="EC18" s="49">
        <f t="shared" si="87"/>
        <v>200000</v>
      </c>
      <c r="ED18" s="49">
        <f t="shared" si="87"/>
        <v>200000</v>
      </c>
      <c r="EE18" s="49">
        <f t="shared" si="87"/>
        <v>200000</v>
      </c>
      <c r="EF18" s="49">
        <f t="shared" si="87"/>
        <v>200000</v>
      </c>
      <c r="EG18" s="49">
        <f t="shared" si="87"/>
        <v>200000</v>
      </c>
      <c r="EH18" s="49">
        <f t="shared" si="87"/>
        <v>200000</v>
      </c>
      <c r="EI18" s="49">
        <f t="shared" si="87"/>
        <v>200000</v>
      </c>
      <c r="EJ18" s="49">
        <f t="shared" si="87"/>
        <v>200000</v>
      </c>
      <c r="EK18" s="49">
        <f t="shared" si="87"/>
        <v>200000</v>
      </c>
      <c r="EL18" s="49">
        <f t="shared" si="87"/>
        <v>200000</v>
      </c>
      <c r="EM18" s="49">
        <f t="shared" si="87"/>
        <v>200000</v>
      </c>
      <c r="EN18" s="49">
        <f t="shared" si="87"/>
        <v>200000</v>
      </c>
      <c r="EO18" s="49">
        <f t="shared" si="87"/>
        <v>200000</v>
      </c>
      <c r="EP18" s="49">
        <f t="shared" si="87"/>
        <v>200000</v>
      </c>
      <c r="EQ18" s="49">
        <f t="shared" si="87"/>
        <v>200000</v>
      </c>
      <c r="ER18" s="49">
        <f t="shared" si="87"/>
        <v>200000</v>
      </c>
      <c r="ES18" s="49">
        <f t="shared" si="87"/>
        <v>200000</v>
      </c>
      <c r="ET18" s="49">
        <f t="shared" si="87"/>
        <v>200000</v>
      </c>
      <c r="EU18" s="49">
        <f t="shared" si="87"/>
        <v>200000</v>
      </c>
      <c r="EV18" s="49">
        <f t="shared" si="87"/>
        <v>200000</v>
      </c>
      <c r="EW18" s="49">
        <f t="shared" si="87"/>
        <v>200000</v>
      </c>
      <c r="EX18" s="49">
        <f t="shared" si="87"/>
        <v>200000</v>
      </c>
      <c r="EY18" s="49">
        <f t="shared" si="87"/>
        <v>200000</v>
      </c>
      <c r="EZ18" s="49">
        <f t="shared" si="87"/>
        <v>200000</v>
      </c>
      <c r="FA18" s="49">
        <f t="shared" si="87"/>
        <v>200000</v>
      </c>
      <c r="FB18" s="49">
        <f t="shared" si="87"/>
        <v>200000</v>
      </c>
      <c r="FC18" s="49">
        <f t="shared" si="87"/>
        <v>200000</v>
      </c>
      <c r="FD18" s="49">
        <f t="shared" si="87"/>
        <v>200000</v>
      </c>
      <c r="FE18" s="49">
        <f t="shared" si="87"/>
        <v>200000</v>
      </c>
      <c r="FF18" s="49">
        <f t="shared" si="87"/>
        <v>200000</v>
      </c>
      <c r="FG18" s="49">
        <f t="shared" si="87"/>
        <v>200000</v>
      </c>
      <c r="FH18" s="49">
        <f t="shared" si="87"/>
        <v>200000</v>
      </c>
      <c r="FI18" s="49">
        <f t="shared" si="87"/>
        <v>200000</v>
      </c>
      <c r="FJ18" s="49">
        <f t="shared" si="87"/>
        <v>200000</v>
      </c>
      <c r="FK18" s="49">
        <f t="shared" si="87"/>
        <v>200000</v>
      </c>
      <c r="FL18" s="49">
        <f t="shared" si="87"/>
        <v>200000</v>
      </c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</row>
    <row r="19" spans="1:182" x14ac:dyDescent="0.3">
      <c r="A19" s="92">
        <v>106030251</v>
      </c>
      <c r="B19" s="96" t="s">
        <v>74</v>
      </c>
      <c r="C19" s="1">
        <f>VLOOKUP(A19,FORECAST!D:W,4,FALSE)*2000</f>
        <v>200000</v>
      </c>
      <c r="D19" s="49">
        <f t="shared" ref="D19:AI19" si="88">C19</f>
        <v>200000</v>
      </c>
      <c r="E19" s="49">
        <f t="shared" si="88"/>
        <v>200000</v>
      </c>
      <c r="F19" s="49">
        <f t="shared" si="88"/>
        <v>200000</v>
      </c>
      <c r="G19" s="49">
        <f t="shared" si="88"/>
        <v>200000</v>
      </c>
      <c r="H19" s="49">
        <f t="shared" si="88"/>
        <v>200000</v>
      </c>
      <c r="I19" s="49">
        <f t="shared" si="88"/>
        <v>200000</v>
      </c>
      <c r="J19" s="49">
        <f t="shared" si="88"/>
        <v>200000</v>
      </c>
      <c r="K19" s="49">
        <f t="shared" si="88"/>
        <v>200000</v>
      </c>
      <c r="L19" s="49">
        <f t="shared" si="88"/>
        <v>200000</v>
      </c>
      <c r="M19" s="49">
        <f t="shared" si="88"/>
        <v>200000</v>
      </c>
      <c r="N19" s="49">
        <f t="shared" si="88"/>
        <v>200000</v>
      </c>
      <c r="O19" s="49">
        <f t="shared" si="88"/>
        <v>200000</v>
      </c>
      <c r="P19" s="49">
        <f t="shared" si="88"/>
        <v>200000</v>
      </c>
      <c r="Q19" s="49">
        <f t="shared" si="88"/>
        <v>200000</v>
      </c>
      <c r="R19" s="49">
        <f t="shared" si="88"/>
        <v>200000</v>
      </c>
      <c r="S19" s="49">
        <f t="shared" si="88"/>
        <v>200000</v>
      </c>
      <c r="T19" s="49">
        <f t="shared" si="88"/>
        <v>200000</v>
      </c>
      <c r="U19" s="49">
        <f t="shared" si="88"/>
        <v>200000</v>
      </c>
      <c r="V19" s="49">
        <f t="shared" si="88"/>
        <v>200000</v>
      </c>
      <c r="W19" s="49">
        <f t="shared" si="88"/>
        <v>200000</v>
      </c>
      <c r="X19" s="49">
        <f t="shared" si="88"/>
        <v>200000</v>
      </c>
      <c r="Y19" s="49">
        <f t="shared" si="88"/>
        <v>200000</v>
      </c>
      <c r="Z19" s="49">
        <f t="shared" si="88"/>
        <v>200000</v>
      </c>
      <c r="AA19" s="49">
        <f t="shared" si="88"/>
        <v>200000</v>
      </c>
      <c r="AB19" s="49">
        <f t="shared" si="88"/>
        <v>200000</v>
      </c>
      <c r="AC19" s="49">
        <f t="shared" si="88"/>
        <v>200000</v>
      </c>
      <c r="AD19" s="49">
        <f t="shared" si="88"/>
        <v>200000</v>
      </c>
      <c r="AE19" s="49">
        <f t="shared" si="88"/>
        <v>200000</v>
      </c>
      <c r="AF19" s="49">
        <f t="shared" si="88"/>
        <v>200000</v>
      </c>
      <c r="AG19" s="49">
        <f t="shared" si="88"/>
        <v>200000</v>
      </c>
      <c r="AH19" s="49">
        <f t="shared" si="88"/>
        <v>200000</v>
      </c>
      <c r="AI19" s="49">
        <f t="shared" si="88"/>
        <v>200000</v>
      </c>
      <c r="AJ19" s="49">
        <f t="shared" ref="AJ19:BO19" si="89">AI19</f>
        <v>200000</v>
      </c>
      <c r="AK19" s="49">
        <f t="shared" si="89"/>
        <v>200000</v>
      </c>
      <c r="AL19" s="49">
        <f t="shared" si="89"/>
        <v>200000</v>
      </c>
      <c r="AM19" s="49">
        <f t="shared" si="89"/>
        <v>200000</v>
      </c>
      <c r="AN19" s="49">
        <f t="shared" si="89"/>
        <v>200000</v>
      </c>
      <c r="AO19" s="49">
        <f t="shared" si="89"/>
        <v>200000</v>
      </c>
      <c r="AP19" s="49">
        <f t="shared" si="89"/>
        <v>200000</v>
      </c>
      <c r="AQ19" s="49">
        <f t="shared" si="89"/>
        <v>200000</v>
      </c>
      <c r="AR19" s="49">
        <f t="shared" si="89"/>
        <v>200000</v>
      </c>
      <c r="AS19" s="49">
        <f t="shared" si="89"/>
        <v>200000</v>
      </c>
      <c r="AT19" s="49">
        <f t="shared" si="89"/>
        <v>200000</v>
      </c>
      <c r="AU19" s="49">
        <f t="shared" si="89"/>
        <v>200000</v>
      </c>
      <c r="AV19" s="49">
        <f t="shared" si="89"/>
        <v>200000</v>
      </c>
      <c r="AW19" s="49">
        <f t="shared" si="89"/>
        <v>200000</v>
      </c>
      <c r="AX19" s="49">
        <f t="shared" si="89"/>
        <v>200000</v>
      </c>
      <c r="AY19" s="49">
        <f t="shared" si="89"/>
        <v>200000</v>
      </c>
      <c r="AZ19" s="49">
        <f t="shared" si="89"/>
        <v>200000</v>
      </c>
      <c r="BA19" s="49">
        <f t="shared" si="89"/>
        <v>200000</v>
      </c>
      <c r="BB19" s="49">
        <f t="shared" si="89"/>
        <v>200000</v>
      </c>
      <c r="BC19" s="49">
        <f t="shared" si="89"/>
        <v>200000</v>
      </c>
      <c r="BD19" s="49">
        <f t="shared" si="89"/>
        <v>200000</v>
      </c>
      <c r="BE19" s="49">
        <f t="shared" si="89"/>
        <v>200000</v>
      </c>
      <c r="BF19" s="49">
        <f t="shared" si="89"/>
        <v>200000</v>
      </c>
      <c r="BG19" s="49">
        <f t="shared" si="89"/>
        <v>200000</v>
      </c>
      <c r="BH19" s="49">
        <f t="shared" si="89"/>
        <v>200000</v>
      </c>
      <c r="BI19" s="49">
        <f t="shared" si="89"/>
        <v>200000</v>
      </c>
      <c r="BJ19" s="49">
        <f t="shared" si="89"/>
        <v>200000</v>
      </c>
      <c r="BK19" s="49">
        <f t="shared" si="89"/>
        <v>200000</v>
      </c>
      <c r="BL19" s="49">
        <f t="shared" si="89"/>
        <v>200000</v>
      </c>
      <c r="BM19" s="49">
        <f t="shared" si="89"/>
        <v>200000</v>
      </c>
      <c r="BN19" s="49">
        <f t="shared" si="89"/>
        <v>200000</v>
      </c>
      <c r="BO19" s="49">
        <f t="shared" si="89"/>
        <v>200000</v>
      </c>
      <c r="BP19" s="49">
        <f t="shared" ref="BP19:CU19" si="90">BO19</f>
        <v>200000</v>
      </c>
      <c r="BQ19" s="49">
        <f t="shared" si="90"/>
        <v>200000</v>
      </c>
      <c r="BR19" s="49">
        <f t="shared" si="90"/>
        <v>200000</v>
      </c>
      <c r="BS19" s="49">
        <f t="shared" si="90"/>
        <v>200000</v>
      </c>
      <c r="BT19" s="49">
        <f t="shared" si="90"/>
        <v>200000</v>
      </c>
      <c r="BU19" s="49">
        <f t="shared" si="90"/>
        <v>200000</v>
      </c>
      <c r="BV19" s="49">
        <f t="shared" si="90"/>
        <v>200000</v>
      </c>
      <c r="BW19" s="49">
        <f t="shared" si="90"/>
        <v>200000</v>
      </c>
      <c r="BX19" s="49">
        <f t="shared" si="90"/>
        <v>200000</v>
      </c>
      <c r="BY19" s="49">
        <f t="shared" si="90"/>
        <v>200000</v>
      </c>
      <c r="BZ19" s="49">
        <f t="shared" si="90"/>
        <v>200000</v>
      </c>
      <c r="CA19" s="49">
        <f t="shared" si="90"/>
        <v>200000</v>
      </c>
      <c r="CB19" s="49">
        <f t="shared" si="90"/>
        <v>200000</v>
      </c>
      <c r="CC19" s="49">
        <f t="shared" si="90"/>
        <v>200000</v>
      </c>
      <c r="CD19" s="49">
        <f t="shared" si="90"/>
        <v>200000</v>
      </c>
      <c r="CE19" s="49">
        <f t="shared" si="90"/>
        <v>200000</v>
      </c>
      <c r="CF19" s="49">
        <f t="shared" si="90"/>
        <v>200000</v>
      </c>
      <c r="CG19" s="49">
        <f t="shared" si="90"/>
        <v>200000</v>
      </c>
      <c r="CH19" s="49">
        <f t="shared" si="90"/>
        <v>200000</v>
      </c>
      <c r="CI19" s="49">
        <f t="shared" si="90"/>
        <v>200000</v>
      </c>
      <c r="CJ19" s="49">
        <f t="shared" si="90"/>
        <v>200000</v>
      </c>
      <c r="CK19" s="49">
        <f t="shared" si="90"/>
        <v>200000</v>
      </c>
      <c r="CL19" s="49">
        <f t="shared" si="90"/>
        <v>200000</v>
      </c>
      <c r="CM19" s="49">
        <f t="shared" si="90"/>
        <v>200000</v>
      </c>
      <c r="CN19" s="49">
        <f t="shared" si="90"/>
        <v>200000</v>
      </c>
      <c r="CO19" s="49">
        <f t="shared" si="90"/>
        <v>200000</v>
      </c>
      <c r="CP19" s="49">
        <f t="shared" si="90"/>
        <v>200000</v>
      </c>
      <c r="CQ19" s="49">
        <f t="shared" si="90"/>
        <v>200000</v>
      </c>
      <c r="CR19" s="49">
        <f t="shared" si="90"/>
        <v>200000</v>
      </c>
      <c r="CS19" s="49">
        <f t="shared" si="90"/>
        <v>200000</v>
      </c>
      <c r="CT19" s="49">
        <f t="shared" si="90"/>
        <v>200000</v>
      </c>
      <c r="CU19" s="49">
        <f t="shared" si="90"/>
        <v>200000</v>
      </c>
      <c r="CV19" s="49">
        <f t="shared" ref="CV19:EA19" si="91">CU19</f>
        <v>200000</v>
      </c>
      <c r="CW19" s="49">
        <f t="shared" si="91"/>
        <v>200000</v>
      </c>
      <c r="CX19" s="49">
        <f t="shared" si="91"/>
        <v>200000</v>
      </c>
      <c r="CY19" s="49">
        <f t="shared" si="91"/>
        <v>200000</v>
      </c>
      <c r="CZ19" s="49">
        <f t="shared" si="91"/>
        <v>200000</v>
      </c>
      <c r="DA19" s="49">
        <f t="shared" si="91"/>
        <v>200000</v>
      </c>
      <c r="DB19" s="49">
        <f t="shared" si="91"/>
        <v>200000</v>
      </c>
      <c r="DC19" s="49">
        <f t="shared" si="91"/>
        <v>200000</v>
      </c>
      <c r="DD19" s="49">
        <f t="shared" si="91"/>
        <v>200000</v>
      </c>
      <c r="DE19" s="49">
        <f t="shared" si="91"/>
        <v>200000</v>
      </c>
      <c r="DF19" s="49">
        <f t="shared" si="91"/>
        <v>200000</v>
      </c>
      <c r="DG19" s="49">
        <f t="shared" si="91"/>
        <v>200000</v>
      </c>
      <c r="DH19" s="49">
        <f t="shared" si="91"/>
        <v>200000</v>
      </c>
      <c r="DI19" s="49">
        <f t="shared" si="91"/>
        <v>200000</v>
      </c>
      <c r="DJ19" s="49">
        <f t="shared" si="91"/>
        <v>200000</v>
      </c>
      <c r="DK19" s="49">
        <f t="shared" si="91"/>
        <v>200000</v>
      </c>
      <c r="DL19" s="49">
        <f t="shared" si="91"/>
        <v>200000</v>
      </c>
      <c r="DM19" s="49">
        <f t="shared" si="91"/>
        <v>200000</v>
      </c>
      <c r="DN19" s="49">
        <f t="shared" si="91"/>
        <v>200000</v>
      </c>
      <c r="DO19" s="49">
        <f t="shared" si="91"/>
        <v>200000</v>
      </c>
      <c r="DP19" s="49">
        <f t="shared" si="91"/>
        <v>200000</v>
      </c>
      <c r="DQ19" s="49">
        <f t="shared" si="91"/>
        <v>200000</v>
      </c>
      <c r="DR19" s="49">
        <f t="shared" si="91"/>
        <v>200000</v>
      </c>
      <c r="DS19" s="49">
        <f t="shared" si="91"/>
        <v>200000</v>
      </c>
      <c r="DT19" s="49">
        <f t="shared" si="91"/>
        <v>200000</v>
      </c>
      <c r="DU19" s="49">
        <f t="shared" si="91"/>
        <v>200000</v>
      </c>
      <c r="DV19" s="49">
        <f t="shared" si="91"/>
        <v>200000</v>
      </c>
      <c r="DW19" s="49">
        <f t="shared" si="91"/>
        <v>200000</v>
      </c>
      <c r="DX19" s="49">
        <f t="shared" si="91"/>
        <v>200000</v>
      </c>
      <c r="DY19" s="49">
        <f t="shared" si="91"/>
        <v>200000</v>
      </c>
      <c r="DZ19" s="49">
        <f t="shared" si="91"/>
        <v>200000</v>
      </c>
      <c r="EA19" s="49">
        <f t="shared" si="91"/>
        <v>200000</v>
      </c>
      <c r="EB19" s="49">
        <f t="shared" ref="EB19:FL19" si="92">EA19</f>
        <v>200000</v>
      </c>
      <c r="EC19" s="49">
        <f t="shared" si="92"/>
        <v>200000</v>
      </c>
      <c r="ED19" s="49">
        <f t="shared" si="92"/>
        <v>200000</v>
      </c>
      <c r="EE19" s="49">
        <f t="shared" si="92"/>
        <v>200000</v>
      </c>
      <c r="EF19" s="49">
        <f t="shared" si="92"/>
        <v>200000</v>
      </c>
      <c r="EG19" s="49">
        <f t="shared" si="92"/>
        <v>200000</v>
      </c>
      <c r="EH19" s="49">
        <f t="shared" si="92"/>
        <v>200000</v>
      </c>
      <c r="EI19" s="49">
        <f t="shared" si="92"/>
        <v>200000</v>
      </c>
      <c r="EJ19" s="49">
        <f t="shared" si="92"/>
        <v>200000</v>
      </c>
      <c r="EK19" s="49">
        <f t="shared" si="92"/>
        <v>200000</v>
      </c>
      <c r="EL19" s="49">
        <f t="shared" si="92"/>
        <v>200000</v>
      </c>
      <c r="EM19" s="49">
        <f t="shared" si="92"/>
        <v>200000</v>
      </c>
      <c r="EN19" s="49">
        <f t="shared" si="92"/>
        <v>200000</v>
      </c>
      <c r="EO19" s="49">
        <f t="shared" si="92"/>
        <v>200000</v>
      </c>
      <c r="EP19" s="49">
        <f t="shared" si="92"/>
        <v>200000</v>
      </c>
      <c r="EQ19" s="49">
        <f t="shared" si="92"/>
        <v>200000</v>
      </c>
      <c r="ER19" s="49">
        <f t="shared" si="92"/>
        <v>200000</v>
      </c>
      <c r="ES19" s="49">
        <f t="shared" si="92"/>
        <v>200000</v>
      </c>
      <c r="ET19" s="49">
        <f t="shared" si="92"/>
        <v>200000</v>
      </c>
      <c r="EU19" s="49">
        <f t="shared" si="92"/>
        <v>200000</v>
      </c>
      <c r="EV19" s="49">
        <f t="shared" si="92"/>
        <v>200000</v>
      </c>
      <c r="EW19" s="49">
        <f t="shared" si="92"/>
        <v>200000</v>
      </c>
      <c r="EX19" s="49">
        <f t="shared" si="92"/>
        <v>200000</v>
      </c>
      <c r="EY19" s="49">
        <f t="shared" si="92"/>
        <v>200000</v>
      </c>
      <c r="EZ19" s="49">
        <f t="shared" si="92"/>
        <v>200000</v>
      </c>
      <c r="FA19" s="49">
        <f t="shared" si="92"/>
        <v>200000</v>
      </c>
      <c r="FB19" s="49">
        <f t="shared" si="92"/>
        <v>200000</v>
      </c>
      <c r="FC19" s="49">
        <f t="shared" si="92"/>
        <v>200000</v>
      </c>
      <c r="FD19" s="49">
        <f t="shared" si="92"/>
        <v>200000</v>
      </c>
      <c r="FE19" s="49">
        <f t="shared" si="92"/>
        <v>200000</v>
      </c>
      <c r="FF19" s="49">
        <f t="shared" si="92"/>
        <v>200000</v>
      </c>
      <c r="FG19" s="49">
        <f t="shared" si="92"/>
        <v>200000</v>
      </c>
      <c r="FH19" s="49">
        <f t="shared" si="92"/>
        <v>200000</v>
      </c>
      <c r="FI19" s="49">
        <f t="shared" si="92"/>
        <v>200000</v>
      </c>
      <c r="FJ19" s="49">
        <f t="shared" si="92"/>
        <v>200000</v>
      </c>
      <c r="FK19" s="49">
        <f t="shared" si="92"/>
        <v>200000</v>
      </c>
      <c r="FL19" s="49">
        <f t="shared" si="92"/>
        <v>200000</v>
      </c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</row>
  </sheetData>
  <autoFilter ref="A1:FZ19" xr:uid="{184DBC6A-F19A-4224-A308-2CD2589AE56F}">
    <sortState xmlns:xlrd2="http://schemas.microsoft.com/office/spreadsheetml/2017/richdata2" ref="A2:FZ19">
      <sortCondition ref="B1:B1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C12D-F479-4D82-8CEB-266AFBF9BA76}">
  <sheetPr codeName="Sheet5"/>
  <dimension ref="A1:P35"/>
  <sheetViews>
    <sheetView tabSelected="1" workbookViewId="0">
      <selection activeCell="B3" sqref="B3"/>
    </sheetView>
  </sheetViews>
  <sheetFormatPr defaultRowHeight="14.4" x14ac:dyDescent="0.3"/>
  <cols>
    <col min="1" max="1" width="26.44140625" customWidth="1"/>
    <col min="3" max="3" width="12.88671875" customWidth="1"/>
    <col min="4" max="4" width="21.5546875" style="22" customWidth="1"/>
    <col min="6" max="6" width="12.5546875" customWidth="1"/>
    <col min="7" max="7" width="15.109375" customWidth="1"/>
    <col min="8" max="9" width="15.5546875" customWidth="1"/>
    <col min="10" max="10" width="13.5546875" customWidth="1"/>
    <col min="13" max="13" width="9.109375" style="62"/>
  </cols>
  <sheetData>
    <row r="1" spans="1:16" x14ac:dyDescent="0.3">
      <c r="A1" s="96" t="s">
        <v>158</v>
      </c>
      <c r="B1" s="29" t="s">
        <v>97</v>
      </c>
      <c r="C1" s="29" t="s">
        <v>98</v>
      </c>
      <c r="D1" s="30" t="s">
        <v>46</v>
      </c>
      <c r="E1" s="29" t="s">
        <v>159</v>
      </c>
      <c r="F1" s="29" t="s">
        <v>51</v>
      </c>
      <c r="G1" s="29" t="s">
        <v>160</v>
      </c>
      <c r="H1" s="29" t="s">
        <v>161</v>
      </c>
      <c r="I1" s="29" t="s">
        <v>162</v>
      </c>
      <c r="J1" s="29" t="s">
        <v>163</v>
      </c>
      <c r="K1" s="29" t="s">
        <v>164</v>
      </c>
      <c r="L1" s="29" t="s">
        <v>165</v>
      </c>
      <c r="M1" s="29" t="s">
        <v>166</v>
      </c>
      <c r="N1" s="96"/>
      <c r="O1" s="29" t="s">
        <v>97</v>
      </c>
      <c r="P1" s="29" t="s">
        <v>164</v>
      </c>
    </row>
    <row r="2" spans="1:16" x14ac:dyDescent="0.3">
      <c r="A2" s="96" t="str">
        <f>CONCATENATE(B2,C2,J2)</f>
        <v>13021-1/2" ANG43969</v>
      </c>
      <c r="B2" s="96">
        <v>1302</v>
      </c>
      <c r="C2" s="23" t="s">
        <v>108</v>
      </c>
      <c r="D2" s="21">
        <v>43950</v>
      </c>
      <c r="E2" s="26">
        <f>WEEKDAY(D2,2)</f>
        <v>3</v>
      </c>
      <c r="F2" s="26" t="str">
        <f>TEXT(D2,"ddd")</f>
        <v>Wed</v>
      </c>
      <c r="G2" s="28">
        <f>IF(WEEKDAY(D2,3)=0,D2,D2+7-WEEKDAY(D2,3))</f>
        <v>43955</v>
      </c>
      <c r="H2" s="26" t="str">
        <f>TEXT(G2,"ddd")</f>
        <v>Mon</v>
      </c>
      <c r="I2" s="26">
        <v>14</v>
      </c>
      <c r="J2" s="63">
        <f>G2+I2</f>
        <v>43969</v>
      </c>
      <c r="K2" s="96" t="str">
        <f t="shared" ref="K2" si="0">IF(C2=C1,G2-G1,"")</f>
        <v/>
      </c>
      <c r="L2" s="96"/>
      <c r="M2" s="96">
        <v>1</v>
      </c>
      <c r="N2" s="96"/>
      <c r="O2" s="96">
        <v>1321</v>
      </c>
      <c r="P2" s="96">
        <v>63</v>
      </c>
    </row>
    <row r="3" spans="1:16" x14ac:dyDescent="0.3">
      <c r="A3" s="96" t="str">
        <f t="shared" ref="A3:A34" si="1">CONCATENATE(B3,C3,J3)</f>
        <v>13211-1/2" ANG44025</v>
      </c>
      <c r="B3" s="96">
        <v>1321</v>
      </c>
      <c r="C3" s="23" t="s">
        <v>108</v>
      </c>
      <c r="D3" s="21">
        <v>44007</v>
      </c>
      <c r="E3" s="26">
        <f>WEEKDAY(D3,2)</f>
        <v>4</v>
      </c>
      <c r="F3" s="26" t="str">
        <f>TEXT(D3,"ddd")</f>
        <v>Thu</v>
      </c>
      <c r="G3" s="28">
        <f t="shared" ref="G3:G13" si="2">IF(WEEKDAY(D3,3)=0,D3,D3+7-WEEKDAY(D3,3))</f>
        <v>44011</v>
      </c>
      <c r="H3" s="26" t="str">
        <f t="shared" ref="H3:H35" si="3">TEXT(G3,"ddd")</f>
        <v>Mon</v>
      </c>
      <c r="I3" s="26">
        <v>14</v>
      </c>
      <c r="J3" s="63">
        <f t="shared" ref="J3:J35" si="4">G3+I3</f>
        <v>44025</v>
      </c>
      <c r="K3" s="96">
        <f>IF(C3=C2,D3-D2,"")</f>
        <v>57</v>
      </c>
      <c r="L3" s="96">
        <f>IF(C3=C2,G3-G2,"")</f>
        <v>56</v>
      </c>
      <c r="M3" s="96">
        <v>2</v>
      </c>
      <c r="N3" s="96"/>
      <c r="O3" s="96">
        <v>1333</v>
      </c>
      <c r="P3" s="96">
        <v>65</v>
      </c>
    </row>
    <row r="4" spans="1:16" x14ac:dyDescent="0.3">
      <c r="A4" s="96" t="str">
        <f t="shared" si="1"/>
        <v>13211-1/2" ANG44088</v>
      </c>
      <c r="B4" s="26">
        <f>B3</f>
        <v>1321</v>
      </c>
      <c r="C4" s="27" t="str">
        <f>C3</f>
        <v>1-1/2" ANG</v>
      </c>
      <c r="D4" s="31">
        <v>44070</v>
      </c>
      <c r="E4" s="26">
        <f t="shared" ref="E4:E35" si="5">WEEKDAY(D4,2)</f>
        <v>4</v>
      </c>
      <c r="F4" s="26" t="str">
        <f t="shared" ref="F4:F5" si="6">TEXT(D4,"ddd")</f>
        <v>Thu</v>
      </c>
      <c r="G4" s="28">
        <f t="shared" si="2"/>
        <v>44074</v>
      </c>
      <c r="H4" s="26" t="str">
        <f t="shared" si="3"/>
        <v>Mon</v>
      </c>
      <c r="I4" s="26">
        <v>14</v>
      </c>
      <c r="J4" s="63">
        <f t="shared" si="4"/>
        <v>44088</v>
      </c>
      <c r="K4" s="96">
        <f t="shared" ref="K4:K35" si="7">IF(C4=C3,D4-D3,"")</f>
        <v>63</v>
      </c>
      <c r="L4" s="96">
        <f t="shared" ref="L4:L35" si="8">IF(C4=C3,G4-G3,"")</f>
        <v>63</v>
      </c>
      <c r="M4" s="96">
        <v>3</v>
      </c>
      <c r="N4" s="96"/>
      <c r="O4" s="96">
        <v>1323</v>
      </c>
      <c r="P4" s="96">
        <v>65</v>
      </c>
    </row>
    <row r="5" spans="1:16" x14ac:dyDescent="0.3">
      <c r="A5" s="96" t="str">
        <f t="shared" si="1"/>
        <v>13211-1/2" ANG44151</v>
      </c>
      <c r="B5" s="26">
        <f t="shared" ref="B5:B6" si="9">B4</f>
        <v>1321</v>
      </c>
      <c r="C5" s="27" t="str">
        <f t="shared" ref="C5:C6" si="10">C4</f>
        <v>1-1/2" ANG</v>
      </c>
      <c r="D5" s="31">
        <v>44131</v>
      </c>
      <c r="E5" s="26">
        <f t="shared" si="5"/>
        <v>2</v>
      </c>
      <c r="F5" s="26" t="str">
        <f t="shared" si="6"/>
        <v>Tue</v>
      </c>
      <c r="G5" s="28">
        <f t="shared" si="2"/>
        <v>44137</v>
      </c>
      <c r="H5" s="26" t="str">
        <f t="shared" si="3"/>
        <v>Mon</v>
      </c>
      <c r="I5" s="26">
        <v>14</v>
      </c>
      <c r="J5" s="63">
        <f t="shared" si="4"/>
        <v>44151</v>
      </c>
      <c r="K5" s="96">
        <f t="shared" si="7"/>
        <v>61</v>
      </c>
      <c r="L5" s="96">
        <f t="shared" si="8"/>
        <v>63</v>
      </c>
      <c r="M5" s="96">
        <v>4</v>
      </c>
      <c r="N5" s="96"/>
      <c r="O5" s="96">
        <v>1334</v>
      </c>
      <c r="P5" s="96">
        <v>60</v>
      </c>
    </row>
    <row r="6" spans="1:16" x14ac:dyDescent="0.3">
      <c r="A6" s="96" t="str">
        <f t="shared" si="1"/>
        <v>13211-1/2" ANG44214</v>
      </c>
      <c r="B6" s="26">
        <f t="shared" si="9"/>
        <v>1321</v>
      </c>
      <c r="C6" s="27" t="str">
        <f t="shared" si="10"/>
        <v>1-1/2" ANG</v>
      </c>
      <c r="D6" s="31">
        <f>D5+VLOOKUP(B6,O:P,2,FALSE)</f>
        <v>44194</v>
      </c>
      <c r="E6" s="26">
        <f t="shared" si="5"/>
        <v>2</v>
      </c>
      <c r="F6" s="26" t="str">
        <f t="shared" ref="F6" si="11">TEXT(D6,"ddd")</f>
        <v>Tue</v>
      </c>
      <c r="G6" s="28">
        <f t="shared" si="2"/>
        <v>44200</v>
      </c>
      <c r="H6" s="26" t="str">
        <f t="shared" si="3"/>
        <v>Mon</v>
      </c>
      <c r="I6" s="26">
        <v>14</v>
      </c>
      <c r="J6" s="63">
        <f t="shared" si="4"/>
        <v>44214</v>
      </c>
      <c r="K6" s="96">
        <f t="shared" si="7"/>
        <v>63</v>
      </c>
      <c r="L6" s="96">
        <f t="shared" si="8"/>
        <v>63</v>
      </c>
      <c r="M6" s="96">
        <v>5</v>
      </c>
      <c r="N6" s="96"/>
      <c r="O6" s="96"/>
      <c r="P6" s="96"/>
    </row>
    <row r="7" spans="1:16" x14ac:dyDescent="0.3">
      <c r="A7" s="96" t="str">
        <f t="shared" si="1"/>
        <v>13342" ANG43983</v>
      </c>
      <c r="B7" s="96">
        <v>1334</v>
      </c>
      <c r="C7" s="24" t="s">
        <v>113</v>
      </c>
      <c r="D7" s="21">
        <v>43969</v>
      </c>
      <c r="E7" s="26">
        <f t="shared" si="5"/>
        <v>1</v>
      </c>
      <c r="F7" s="26" t="str">
        <f t="shared" ref="F7:F14" si="12">TEXT(D7,"ddd")</f>
        <v>Mon</v>
      </c>
      <c r="G7" s="28">
        <f t="shared" si="2"/>
        <v>43969</v>
      </c>
      <c r="H7" s="26" t="str">
        <f t="shared" si="3"/>
        <v>Mon</v>
      </c>
      <c r="I7" s="26">
        <v>14</v>
      </c>
      <c r="J7" s="63">
        <f t="shared" si="4"/>
        <v>43983</v>
      </c>
      <c r="K7" s="96" t="str">
        <f t="shared" si="7"/>
        <v/>
      </c>
      <c r="L7" s="96" t="str">
        <f t="shared" si="8"/>
        <v/>
      </c>
      <c r="M7" s="96">
        <v>1</v>
      </c>
      <c r="N7" s="96"/>
      <c r="O7" s="96"/>
      <c r="P7" s="96"/>
    </row>
    <row r="8" spans="1:16" x14ac:dyDescent="0.3">
      <c r="A8" s="96" t="str">
        <f t="shared" si="1"/>
        <v>13342" ANG44053</v>
      </c>
      <c r="B8" s="96">
        <v>1334</v>
      </c>
      <c r="C8" s="24" t="s">
        <v>113</v>
      </c>
      <c r="D8" s="21">
        <v>44037</v>
      </c>
      <c r="E8" s="26">
        <f t="shared" si="5"/>
        <v>6</v>
      </c>
      <c r="F8" s="26" t="str">
        <f t="shared" si="12"/>
        <v>Sat</v>
      </c>
      <c r="G8" s="28">
        <f t="shared" si="2"/>
        <v>44039</v>
      </c>
      <c r="H8" s="26" t="str">
        <f t="shared" si="3"/>
        <v>Mon</v>
      </c>
      <c r="I8" s="26">
        <v>14</v>
      </c>
      <c r="J8" s="63">
        <f t="shared" si="4"/>
        <v>44053</v>
      </c>
      <c r="K8" s="96">
        <f t="shared" si="7"/>
        <v>68</v>
      </c>
      <c r="L8" s="96">
        <f t="shared" si="8"/>
        <v>70</v>
      </c>
      <c r="M8" s="96">
        <v>2</v>
      </c>
      <c r="N8" s="96"/>
      <c r="O8" s="96"/>
      <c r="P8" s="96"/>
    </row>
    <row r="9" spans="1:16" x14ac:dyDescent="0.3">
      <c r="A9" s="96" t="str">
        <f t="shared" si="1"/>
        <v>13342" ANG44116</v>
      </c>
      <c r="B9" s="26">
        <v>1334</v>
      </c>
      <c r="C9" s="27" t="str">
        <f>C8</f>
        <v>2" ANG</v>
      </c>
      <c r="D9" s="31">
        <v>44096</v>
      </c>
      <c r="E9" s="26">
        <f t="shared" si="5"/>
        <v>2</v>
      </c>
      <c r="F9" s="26" t="str">
        <f t="shared" ref="F9" si="13">TEXT(D9,"ddd")</f>
        <v>Tue</v>
      </c>
      <c r="G9" s="28">
        <f t="shared" ref="G9" si="14">IF(WEEKDAY(D9,3)=0,D9,D9+7-WEEKDAY(D9,3))</f>
        <v>44102</v>
      </c>
      <c r="H9" s="26" t="str">
        <f t="shared" si="3"/>
        <v>Mon</v>
      </c>
      <c r="I9" s="26">
        <v>14</v>
      </c>
      <c r="J9" s="63">
        <f t="shared" si="4"/>
        <v>44116</v>
      </c>
      <c r="K9" s="96">
        <f t="shared" si="7"/>
        <v>59</v>
      </c>
      <c r="L9" s="96">
        <f t="shared" si="8"/>
        <v>63</v>
      </c>
      <c r="M9" s="96">
        <v>3</v>
      </c>
      <c r="N9" s="96"/>
      <c r="O9" s="96"/>
      <c r="P9" s="96"/>
    </row>
    <row r="10" spans="1:16" x14ac:dyDescent="0.3">
      <c r="A10" s="96" t="str">
        <f t="shared" si="1"/>
        <v>13342" ANG44172</v>
      </c>
      <c r="B10" s="26">
        <v>1334</v>
      </c>
      <c r="C10" s="27" t="str">
        <f t="shared" ref="C10:C11" si="15">C9</f>
        <v>2" ANG</v>
      </c>
      <c r="D10" s="31">
        <f>D9+VLOOKUP(B10,O:P,2,FALSE)</f>
        <v>44156</v>
      </c>
      <c r="E10" s="26">
        <f t="shared" si="5"/>
        <v>6</v>
      </c>
      <c r="F10" s="26" t="str">
        <f t="shared" ref="F10:F11" si="16">TEXT(D10,"ddd")</f>
        <v>Sat</v>
      </c>
      <c r="G10" s="28">
        <f t="shared" ref="G10:G11" si="17">IF(WEEKDAY(D10,3)=0,D10,D10+7-WEEKDAY(D10,3))</f>
        <v>44158</v>
      </c>
      <c r="H10" s="26" t="str">
        <f t="shared" si="3"/>
        <v>Mon</v>
      </c>
      <c r="I10" s="26">
        <v>14</v>
      </c>
      <c r="J10" s="63">
        <f t="shared" si="4"/>
        <v>44172</v>
      </c>
      <c r="K10" s="96">
        <f t="shared" si="7"/>
        <v>60</v>
      </c>
      <c r="L10" s="96">
        <f t="shared" si="8"/>
        <v>56</v>
      </c>
      <c r="M10" s="96">
        <v>4</v>
      </c>
      <c r="N10" s="96"/>
      <c r="O10" s="96"/>
      <c r="P10" s="96"/>
    </row>
    <row r="11" spans="1:16" x14ac:dyDescent="0.3">
      <c r="A11" s="96" t="str">
        <f t="shared" si="1"/>
        <v>13342" ANG44235</v>
      </c>
      <c r="B11" s="26">
        <v>1334</v>
      </c>
      <c r="C11" s="27" t="str">
        <f t="shared" si="15"/>
        <v>2" ANG</v>
      </c>
      <c r="D11" s="31">
        <f>D10+VLOOKUP(B11,O:P,2,FALSE)</f>
        <v>44216</v>
      </c>
      <c r="E11" s="26">
        <f t="shared" si="5"/>
        <v>3</v>
      </c>
      <c r="F11" s="26" t="str">
        <f t="shared" si="16"/>
        <v>Wed</v>
      </c>
      <c r="G11" s="28">
        <f t="shared" si="17"/>
        <v>44221</v>
      </c>
      <c r="H11" s="26" t="str">
        <f t="shared" si="3"/>
        <v>Mon</v>
      </c>
      <c r="I11" s="26">
        <v>14</v>
      </c>
      <c r="J11" s="63">
        <f t="shared" si="4"/>
        <v>44235</v>
      </c>
      <c r="K11" s="96">
        <f t="shared" si="7"/>
        <v>60</v>
      </c>
      <c r="L11" s="96">
        <f t="shared" si="8"/>
        <v>63</v>
      </c>
      <c r="M11" s="96">
        <v>5</v>
      </c>
      <c r="N11" s="96"/>
      <c r="O11" s="96"/>
      <c r="P11" s="96"/>
    </row>
    <row r="12" spans="1:16" x14ac:dyDescent="0.3">
      <c r="A12" s="96" t="str">
        <f t="shared" si="1"/>
        <v>13332-1/2" ANG43969</v>
      </c>
      <c r="B12" s="96">
        <v>1333</v>
      </c>
      <c r="C12" s="25" t="s">
        <v>111</v>
      </c>
      <c r="D12" s="21">
        <v>43951</v>
      </c>
      <c r="E12" s="26">
        <f t="shared" si="5"/>
        <v>4</v>
      </c>
      <c r="F12" s="26" t="str">
        <f t="shared" si="12"/>
        <v>Thu</v>
      </c>
      <c r="G12" s="28">
        <f t="shared" si="2"/>
        <v>43955</v>
      </c>
      <c r="H12" s="26" t="str">
        <f t="shared" si="3"/>
        <v>Mon</v>
      </c>
      <c r="I12" s="26">
        <v>14</v>
      </c>
      <c r="J12" s="63">
        <f t="shared" si="4"/>
        <v>43969</v>
      </c>
      <c r="K12" s="96" t="str">
        <f t="shared" si="7"/>
        <v/>
      </c>
      <c r="L12" s="96" t="str">
        <f t="shared" si="8"/>
        <v/>
      </c>
      <c r="M12" s="96">
        <v>1</v>
      </c>
      <c r="N12" s="96"/>
      <c r="O12" s="96"/>
      <c r="P12" s="96"/>
    </row>
    <row r="13" spans="1:16" x14ac:dyDescent="0.3">
      <c r="A13" s="96" t="str">
        <f t="shared" si="1"/>
        <v>13332-1/2" ANG44032</v>
      </c>
      <c r="B13" s="96">
        <v>1333</v>
      </c>
      <c r="C13" s="25" t="s">
        <v>111</v>
      </c>
      <c r="D13" s="21">
        <v>44012</v>
      </c>
      <c r="E13" s="26">
        <f t="shared" si="5"/>
        <v>2</v>
      </c>
      <c r="F13" s="26" t="str">
        <f t="shared" si="12"/>
        <v>Tue</v>
      </c>
      <c r="G13" s="28">
        <f t="shared" si="2"/>
        <v>44018</v>
      </c>
      <c r="H13" s="26" t="str">
        <f t="shared" si="3"/>
        <v>Mon</v>
      </c>
      <c r="I13" s="26">
        <v>14</v>
      </c>
      <c r="J13" s="63">
        <f t="shared" si="4"/>
        <v>44032</v>
      </c>
      <c r="K13" s="96">
        <f t="shared" si="7"/>
        <v>61</v>
      </c>
      <c r="L13" s="96">
        <f t="shared" si="8"/>
        <v>63</v>
      </c>
      <c r="M13" s="96">
        <v>2</v>
      </c>
      <c r="N13" s="96"/>
      <c r="O13" s="96"/>
      <c r="P13" s="96"/>
    </row>
    <row r="14" spans="1:16" x14ac:dyDescent="0.3">
      <c r="A14" s="96" t="str">
        <f t="shared" si="1"/>
        <v>13332-1/2" ANG44095</v>
      </c>
      <c r="B14" s="96">
        <v>1333</v>
      </c>
      <c r="C14" s="25" t="s">
        <v>111</v>
      </c>
      <c r="D14" s="21">
        <v>44075</v>
      </c>
      <c r="E14" s="26">
        <f t="shared" si="5"/>
        <v>2</v>
      </c>
      <c r="F14" s="26" t="str">
        <f t="shared" si="12"/>
        <v>Tue</v>
      </c>
      <c r="G14" s="28">
        <f t="shared" ref="G14:G15" si="18">IF(WEEKDAY(D14,3)=0,D14,D14+7-WEEKDAY(D14,3))</f>
        <v>44081</v>
      </c>
      <c r="H14" s="26" t="str">
        <f t="shared" si="3"/>
        <v>Mon</v>
      </c>
      <c r="I14" s="26">
        <v>14</v>
      </c>
      <c r="J14" s="63">
        <f t="shared" si="4"/>
        <v>44095</v>
      </c>
      <c r="K14" s="96">
        <f t="shared" si="7"/>
        <v>63</v>
      </c>
      <c r="L14" s="96">
        <f t="shared" si="8"/>
        <v>63</v>
      </c>
      <c r="M14" s="96">
        <v>3</v>
      </c>
      <c r="N14" s="96"/>
      <c r="O14" s="96"/>
      <c r="P14" s="96"/>
    </row>
    <row r="15" spans="1:16" x14ac:dyDescent="0.3">
      <c r="A15" s="96" t="str">
        <f t="shared" si="1"/>
        <v>13332-1/2" ANG44158</v>
      </c>
      <c r="B15" s="26">
        <f>B14</f>
        <v>1333</v>
      </c>
      <c r="C15" s="27" t="str">
        <f>C14</f>
        <v>2-1/2" ANG</v>
      </c>
      <c r="D15" s="31">
        <f>D14+VLOOKUP(B15,O:P,2,FALSE)</f>
        <v>44140</v>
      </c>
      <c r="E15" s="26">
        <f t="shared" si="5"/>
        <v>4</v>
      </c>
      <c r="F15" s="26" t="str">
        <f t="shared" ref="F15:F35" si="19">TEXT(D15,"ddd")</f>
        <v>Thu</v>
      </c>
      <c r="G15" s="28">
        <f t="shared" si="18"/>
        <v>44144</v>
      </c>
      <c r="H15" s="26" t="str">
        <f t="shared" si="3"/>
        <v>Mon</v>
      </c>
      <c r="I15" s="26">
        <v>14</v>
      </c>
      <c r="J15" s="63">
        <f t="shared" si="4"/>
        <v>44158</v>
      </c>
      <c r="K15" s="96">
        <f t="shared" si="7"/>
        <v>65</v>
      </c>
      <c r="L15" s="96">
        <f t="shared" si="8"/>
        <v>63</v>
      </c>
      <c r="M15" s="96">
        <v>4</v>
      </c>
      <c r="N15" s="96"/>
      <c r="O15" s="96"/>
      <c r="P15" s="96"/>
    </row>
    <row r="16" spans="1:16" x14ac:dyDescent="0.3">
      <c r="A16" s="96" t="str">
        <f t="shared" si="1"/>
        <v>13332-1/2" ANG44221</v>
      </c>
      <c r="B16" s="26">
        <f t="shared" ref="B16:B17" si="20">B15</f>
        <v>1333</v>
      </c>
      <c r="C16" s="27" t="str">
        <f t="shared" ref="C16:C17" si="21">C15</f>
        <v>2-1/2" ANG</v>
      </c>
      <c r="D16" s="31">
        <f>D15+VLOOKUP(B16,O:P,2,FALSE)</f>
        <v>44205</v>
      </c>
      <c r="E16" s="26">
        <f t="shared" si="5"/>
        <v>6</v>
      </c>
      <c r="F16" s="26" t="str">
        <f t="shared" si="19"/>
        <v>Sat</v>
      </c>
      <c r="G16" s="28">
        <f t="shared" ref="G16:G35" si="22">IF(WEEKDAY(D16,3)=0,D16,D16+7-WEEKDAY(D16,3))</f>
        <v>44207</v>
      </c>
      <c r="H16" s="26" t="str">
        <f t="shared" si="3"/>
        <v>Mon</v>
      </c>
      <c r="I16" s="26">
        <v>14</v>
      </c>
      <c r="J16" s="63">
        <f t="shared" si="4"/>
        <v>44221</v>
      </c>
      <c r="K16" s="96">
        <f t="shared" si="7"/>
        <v>65</v>
      </c>
      <c r="L16" s="96">
        <f t="shared" si="8"/>
        <v>63</v>
      </c>
      <c r="M16" s="96">
        <v>5</v>
      </c>
      <c r="N16" s="96"/>
      <c r="O16" s="96"/>
      <c r="P16" s="96"/>
    </row>
    <row r="17" spans="1:13" x14ac:dyDescent="0.3">
      <c r="A17" s="96" t="str">
        <f t="shared" si="1"/>
        <v>13332-1/2" ANG44284</v>
      </c>
      <c r="B17" s="26">
        <f t="shared" si="20"/>
        <v>1333</v>
      </c>
      <c r="C17" s="27" t="str">
        <f t="shared" si="21"/>
        <v>2-1/2" ANG</v>
      </c>
      <c r="D17" s="31">
        <f>D16+VLOOKUP(B17,O:P,2,FALSE)</f>
        <v>44270</v>
      </c>
      <c r="E17" s="26">
        <f t="shared" si="5"/>
        <v>1</v>
      </c>
      <c r="F17" s="26" t="str">
        <f t="shared" si="19"/>
        <v>Mon</v>
      </c>
      <c r="G17" s="28">
        <f t="shared" si="22"/>
        <v>44270</v>
      </c>
      <c r="H17" s="26" t="str">
        <f t="shared" si="3"/>
        <v>Mon</v>
      </c>
      <c r="I17" s="26">
        <v>14</v>
      </c>
      <c r="J17" s="63">
        <f t="shared" si="4"/>
        <v>44284</v>
      </c>
      <c r="K17" s="96">
        <f t="shared" si="7"/>
        <v>65</v>
      </c>
      <c r="L17" s="96">
        <f t="shared" si="8"/>
        <v>63</v>
      </c>
      <c r="M17" s="96">
        <v>6</v>
      </c>
    </row>
    <row r="18" spans="1:13" x14ac:dyDescent="0.3">
      <c r="A18" s="96" t="str">
        <f t="shared" si="1"/>
        <v>13333" ANG43962</v>
      </c>
      <c r="B18" s="96">
        <v>1333</v>
      </c>
      <c r="C18" s="8" t="s">
        <v>118</v>
      </c>
      <c r="D18" s="21">
        <v>43943</v>
      </c>
      <c r="E18" s="26">
        <f t="shared" si="5"/>
        <v>3</v>
      </c>
      <c r="F18" s="26" t="str">
        <f t="shared" si="19"/>
        <v>Wed</v>
      </c>
      <c r="G18" s="28">
        <f t="shared" si="22"/>
        <v>43948</v>
      </c>
      <c r="H18" s="26" t="str">
        <f t="shared" si="3"/>
        <v>Mon</v>
      </c>
      <c r="I18" s="26">
        <v>14</v>
      </c>
      <c r="J18" s="63">
        <f t="shared" si="4"/>
        <v>43962</v>
      </c>
      <c r="K18" s="96" t="str">
        <f t="shared" si="7"/>
        <v/>
      </c>
      <c r="L18" s="96" t="str">
        <f t="shared" si="8"/>
        <v/>
      </c>
      <c r="M18" s="96">
        <v>1</v>
      </c>
    </row>
    <row r="19" spans="1:13" x14ac:dyDescent="0.3">
      <c r="A19" s="96" t="str">
        <f t="shared" si="1"/>
        <v>13333" ANG43997</v>
      </c>
      <c r="B19" s="96">
        <v>1333</v>
      </c>
      <c r="C19" s="8" t="s">
        <v>118</v>
      </c>
      <c r="D19" s="21">
        <v>43981</v>
      </c>
      <c r="E19" s="26">
        <f t="shared" si="5"/>
        <v>6</v>
      </c>
      <c r="F19" s="26" t="str">
        <f t="shared" si="19"/>
        <v>Sat</v>
      </c>
      <c r="G19" s="28">
        <f t="shared" si="22"/>
        <v>43983</v>
      </c>
      <c r="H19" s="26" t="str">
        <f t="shared" si="3"/>
        <v>Mon</v>
      </c>
      <c r="I19" s="26">
        <v>14</v>
      </c>
      <c r="J19" s="63">
        <f t="shared" si="4"/>
        <v>43997</v>
      </c>
      <c r="K19" s="96">
        <f t="shared" si="7"/>
        <v>38</v>
      </c>
      <c r="L19" s="96">
        <f t="shared" si="8"/>
        <v>35</v>
      </c>
      <c r="M19" s="96">
        <v>2</v>
      </c>
    </row>
    <row r="20" spans="1:13" x14ac:dyDescent="0.3">
      <c r="A20" s="96" t="str">
        <f t="shared" si="1"/>
        <v>13333" ANG44025</v>
      </c>
      <c r="B20" s="96">
        <v>1333</v>
      </c>
      <c r="C20" s="8" t="s">
        <v>118</v>
      </c>
      <c r="D20" s="21">
        <v>44007</v>
      </c>
      <c r="E20" s="26">
        <f t="shared" si="5"/>
        <v>4</v>
      </c>
      <c r="F20" s="26" t="str">
        <f t="shared" si="19"/>
        <v>Thu</v>
      </c>
      <c r="G20" s="28">
        <f t="shared" si="22"/>
        <v>44011</v>
      </c>
      <c r="H20" s="26" t="str">
        <f t="shared" si="3"/>
        <v>Mon</v>
      </c>
      <c r="I20" s="26">
        <v>14</v>
      </c>
      <c r="J20" s="63">
        <f t="shared" si="4"/>
        <v>44025</v>
      </c>
      <c r="K20" s="96">
        <f t="shared" si="7"/>
        <v>26</v>
      </c>
      <c r="L20" s="96">
        <f t="shared" si="8"/>
        <v>28</v>
      </c>
      <c r="M20" s="96">
        <v>3</v>
      </c>
    </row>
    <row r="21" spans="1:13" x14ac:dyDescent="0.3">
      <c r="A21" s="96" t="str">
        <f t="shared" si="1"/>
        <v>13333" ANG44053</v>
      </c>
      <c r="B21" s="26">
        <f>B20</f>
        <v>1333</v>
      </c>
      <c r="C21" s="27" t="str">
        <f>C20</f>
        <v>3" ANG</v>
      </c>
      <c r="D21" s="31">
        <v>44034</v>
      </c>
      <c r="E21" s="26">
        <f t="shared" si="5"/>
        <v>3</v>
      </c>
      <c r="F21" s="26" t="str">
        <f t="shared" si="19"/>
        <v>Wed</v>
      </c>
      <c r="G21" s="28">
        <f t="shared" si="22"/>
        <v>44039</v>
      </c>
      <c r="H21" s="26" t="str">
        <f t="shared" si="3"/>
        <v>Mon</v>
      </c>
      <c r="I21" s="26">
        <v>14</v>
      </c>
      <c r="J21" s="63">
        <f t="shared" si="4"/>
        <v>44053</v>
      </c>
      <c r="K21" s="96">
        <f t="shared" si="7"/>
        <v>27</v>
      </c>
      <c r="L21" s="96">
        <f t="shared" si="8"/>
        <v>28</v>
      </c>
      <c r="M21" s="96">
        <v>4</v>
      </c>
    </row>
    <row r="22" spans="1:13" x14ac:dyDescent="0.3">
      <c r="A22" s="96" t="str">
        <f t="shared" si="1"/>
        <v>13333" ANG44088</v>
      </c>
      <c r="B22" s="26">
        <f t="shared" ref="B22:B23" si="23">B21</f>
        <v>1333</v>
      </c>
      <c r="C22" s="27" t="str">
        <f t="shared" ref="C22:C23" si="24">C21</f>
        <v>3" ANG</v>
      </c>
      <c r="D22" s="31">
        <v>44069</v>
      </c>
      <c r="E22" s="26">
        <f t="shared" si="5"/>
        <v>3</v>
      </c>
      <c r="F22" s="26" t="str">
        <f t="shared" si="19"/>
        <v>Wed</v>
      </c>
      <c r="G22" s="28">
        <f t="shared" si="22"/>
        <v>44074</v>
      </c>
      <c r="H22" s="26" t="str">
        <f t="shared" si="3"/>
        <v>Mon</v>
      </c>
      <c r="I22" s="26">
        <v>14</v>
      </c>
      <c r="J22" s="63">
        <f t="shared" si="4"/>
        <v>44088</v>
      </c>
      <c r="K22" s="96">
        <f t="shared" si="7"/>
        <v>35</v>
      </c>
      <c r="L22" s="96">
        <f t="shared" si="8"/>
        <v>35</v>
      </c>
      <c r="M22" s="96">
        <v>5</v>
      </c>
    </row>
    <row r="23" spans="1:13" x14ac:dyDescent="0.3">
      <c r="A23" s="96" t="str">
        <f t="shared" si="1"/>
        <v>13333" ANG44151</v>
      </c>
      <c r="B23" s="26">
        <f t="shared" si="23"/>
        <v>1333</v>
      </c>
      <c r="C23" s="27" t="str">
        <f t="shared" si="24"/>
        <v>3" ANG</v>
      </c>
      <c r="D23" s="31">
        <v>44135</v>
      </c>
      <c r="E23" s="26">
        <f t="shared" si="5"/>
        <v>6</v>
      </c>
      <c r="F23" s="26" t="str">
        <f t="shared" si="19"/>
        <v>Sat</v>
      </c>
      <c r="G23" s="28">
        <f t="shared" si="22"/>
        <v>44137</v>
      </c>
      <c r="H23" s="26" t="str">
        <f t="shared" si="3"/>
        <v>Mon</v>
      </c>
      <c r="I23" s="26">
        <v>14</v>
      </c>
      <c r="J23" s="63">
        <f t="shared" si="4"/>
        <v>44151</v>
      </c>
      <c r="K23" s="96">
        <f t="shared" si="7"/>
        <v>66</v>
      </c>
      <c r="L23" s="96">
        <f t="shared" si="8"/>
        <v>63</v>
      </c>
      <c r="M23" s="96">
        <v>6</v>
      </c>
    </row>
    <row r="24" spans="1:13" x14ac:dyDescent="0.3">
      <c r="A24" s="96" t="str">
        <f t="shared" si="1"/>
        <v>13235" ANG44004</v>
      </c>
      <c r="B24" s="96">
        <v>1323</v>
      </c>
      <c r="C24" s="8" t="s">
        <v>124</v>
      </c>
      <c r="D24" s="21">
        <v>43989</v>
      </c>
      <c r="E24" s="26">
        <f t="shared" si="5"/>
        <v>7</v>
      </c>
      <c r="F24" s="26" t="str">
        <f t="shared" si="19"/>
        <v>Sun</v>
      </c>
      <c r="G24" s="28">
        <f t="shared" si="22"/>
        <v>43990</v>
      </c>
      <c r="H24" s="26" t="str">
        <f t="shared" si="3"/>
        <v>Mon</v>
      </c>
      <c r="I24" s="26">
        <v>14</v>
      </c>
      <c r="J24" s="63">
        <f t="shared" si="4"/>
        <v>44004</v>
      </c>
      <c r="K24" s="96" t="str">
        <f t="shared" si="7"/>
        <v/>
      </c>
      <c r="L24" s="96" t="str">
        <f t="shared" si="8"/>
        <v/>
      </c>
      <c r="M24" s="96">
        <v>1</v>
      </c>
    </row>
    <row r="25" spans="1:13" x14ac:dyDescent="0.3">
      <c r="A25" s="96" t="str">
        <f t="shared" si="1"/>
        <v>13235" ANG44067</v>
      </c>
      <c r="B25" s="96">
        <v>1323</v>
      </c>
      <c r="C25" s="8" t="s">
        <v>124</v>
      </c>
      <c r="D25" s="21">
        <v>44049</v>
      </c>
      <c r="E25" s="26">
        <f t="shared" si="5"/>
        <v>4</v>
      </c>
      <c r="F25" s="26" t="str">
        <f t="shared" si="19"/>
        <v>Thu</v>
      </c>
      <c r="G25" s="28">
        <f t="shared" si="22"/>
        <v>44053</v>
      </c>
      <c r="H25" s="26" t="str">
        <f t="shared" si="3"/>
        <v>Mon</v>
      </c>
      <c r="I25" s="26">
        <v>14</v>
      </c>
      <c r="J25" s="63">
        <f t="shared" si="4"/>
        <v>44067</v>
      </c>
      <c r="K25" s="96">
        <f t="shared" si="7"/>
        <v>60</v>
      </c>
      <c r="L25" s="96">
        <f t="shared" si="8"/>
        <v>63</v>
      </c>
      <c r="M25" s="96">
        <v>2</v>
      </c>
    </row>
    <row r="26" spans="1:13" x14ac:dyDescent="0.3">
      <c r="A26" s="96" t="str">
        <f t="shared" si="1"/>
        <v>13235" ANG44116</v>
      </c>
      <c r="B26" s="96">
        <v>1323</v>
      </c>
      <c r="C26" s="8" t="s">
        <v>124</v>
      </c>
      <c r="D26" s="21">
        <v>44098</v>
      </c>
      <c r="E26" s="26">
        <f t="shared" si="5"/>
        <v>4</v>
      </c>
      <c r="F26" s="26" t="str">
        <f t="shared" si="19"/>
        <v>Thu</v>
      </c>
      <c r="G26" s="28">
        <f t="shared" si="22"/>
        <v>44102</v>
      </c>
      <c r="H26" s="26" t="str">
        <f t="shared" si="3"/>
        <v>Mon</v>
      </c>
      <c r="I26" s="26">
        <v>14</v>
      </c>
      <c r="J26" s="63">
        <f t="shared" si="4"/>
        <v>44116</v>
      </c>
      <c r="K26" s="96">
        <f t="shared" si="7"/>
        <v>49</v>
      </c>
      <c r="L26" s="96">
        <f t="shared" si="8"/>
        <v>49</v>
      </c>
      <c r="M26" s="96">
        <v>3</v>
      </c>
    </row>
    <row r="27" spans="1:13" x14ac:dyDescent="0.3">
      <c r="A27" s="96" t="str">
        <f t="shared" si="1"/>
        <v>13235" ANG44179</v>
      </c>
      <c r="B27" s="26">
        <f>B26</f>
        <v>1323</v>
      </c>
      <c r="C27" s="27" t="str">
        <f>C26</f>
        <v>5" ANG</v>
      </c>
      <c r="D27" s="31">
        <f>D26+VLOOKUP(B27,O:P,2,FALSE)</f>
        <v>44163</v>
      </c>
      <c r="E27" s="26">
        <f t="shared" si="5"/>
        <v>6</v>
      </c>
      <c r="F27" s="26" t="str">
        <f t="shared" si="19"/>
        <v>Sat</v>
      </c>
      <c r="G27" s="28">
        <f t="shared" si="22"/>
        <v>44165</v>
      </c>
      <c r="H27" s="26" t="str">
        <f t="shared" si="3"/>
        <v>Mon</v>
      </c>
      <c r="I27" s="26">
        <v>14</v>
      </c>
      <c r="J27" s="63">
        <f t="shared" si="4"/>
        <v>44179</v>
      </c>
      <c r="K27" s="96">
        <f t="shared" si="7"/>
        <v>65</v>
      </c>
      <c r="L27" s="96">
        <f t="shared" si="8"/>
        <v>63</v>
      </c>
      <c r="M27" s="96">
        <v>4</v>
      </c>
    </row>
    <row r="28" spans="1:13" x14ac:dyDescent="0.3">
      <c r="A28" s="96" t="str">
        <f t="shared" si="1"/>
        <v>13235" ANG44242</v>
      </c>
      <c r="B28" s="26">
        <f t="shared" ref="B28:B29" si="25">B27</f>
        <v>1323</v>
      </c>
      <c r="C28" s="27" t="str">
        <f t="shared" ref="C28:C29" si="26">C27</f>
        <v>5" ANG</v>
      </c>
      <c r="D28" s="31">
        <f>D27+VLOOKUP(B28,O:P,2,FALSE)</f>
        <v>44228</v>
      </c>
      <c r="E28" s="26">
        <f t="shared" si="5"/>
        <v>1</v>
      </c>
      <c r="F28" s="26" t="str">
        <f t="shared" si="19"/>
        <v>Mon</v>
      </c>
      <c r="G28" s="28">
        <f t="shared" si="22"/>
        <v>44228</v>
      </c>
      <c r="H28" s="26" t="str">
        <f t="shared" si="3"/>
        <v>Mon</v>
      </c>
      <c r="I28" s="26">
        <v>14</v>
      </c>
      <c r="J28" s="63">
        <f t="shared" si="4"/>
        <v>44242</v>
      </c>
      <c r="K28" s="96">
        <f t="shared" si="7"/>
        <v>65</v>
      </c>
      <c r="L28" s="96">
        <f t="shared" si="8"/>
        <v>63</v>
      </c>
      <c r="M28" s="96">
        <v>5</v>
      </c>
    </row>
    <row r="29" spans="1:13" x14ac:dyDescent="0.3">
      <c r="A29" s="96" t="str">
        <f t="shared" si="1"/>
        <v>13235" ANG44312</v>
      </c>
      <c r="B29" s="26">
        <f t="shared" si="25"/>
        <v>1323</v>
      </c>
      <c r="C29" s="27" t="str">
        <f t="shared" si="26"/>
        <v>5" ANG</v>
      </c>
      <c r="D29" s="31">
        <f>D28+VLOOKUP(B29,O:P,2,FALSE)</f>
        <v>44293</v>
      </c>
      <c r="E29" s="26">
        <f t="shared" si="5"/>
        <v>3</v>
      </c>
      <c r="F29" s="26" t="str">
        <f t="shared" si="19"/>
        <v>Wed</v>
      </c>
      <c r="G29" s="28">
        <f t="shared" si="22"/>
        <v>44298</v>
      </c>
      <c r="H29" s="26" t="str">
        <f t="shared" si="3"/>
        <v>Mon</v>
      </c>
      <c r="I29" s="26">
        <v>14</v>
      </c>
      <c r="J29" s="63">
        <f t="shared" si="4"/>
        <v>44312</v>
      </c>
      <c r="K29" s="96">
        <f t="shared" si="7"/>
        <v>65</v>
      </c>
      <c r="L29" s="96">
        <f t="shared" si="8"/>
        <v>70</v>
      </c>
      <c r="M29" s="96">
        <v>6</v>
      </c>
    </row>
    <row r="30" spans="1:13" x14ac:dyDescent="0.3">
      <c r="A30" s="96" t="str">
        <f t="shared" si="1"/>
        <v>13334" ANG44011</v>
      </c>
      <c r="B30" s="96">
        <v>1333</v>
      </c>
      <c r="C30" s="23" t="s">
        <v>121</v>
      </c>
      <c r="D30" s="21">
        <v>43994</v>
      </c>
      <c r="E30" s="26">
        <f t="shared" si="5"/>
        <v>5</v>
      </c>
      <c r="F30" s="26" t="str">
        <f t="shared" si="19"/>
        <v>Fri</v>
      </c>
      <c r="G30" s="28">
        <f t="shared" si="22"/>
        <v>43997</v>
      </c>
      <c r="H30" s="26" t="str">
        <f t="shared" si="3"/>
        <v>Mon</v>
      </c>
      <c r="I30" s="26">
        <v>14</v>
      </c>
      <c r="J30" s="63">
        <f t="shared" si="4"/>
        <v>44011</v>
      </c>
      <c r="K30" s="96" t="str">
        <f t="shared" si="7"/>
        <v/>
      </c>
      <c r="L30" s="96" t="str">
        <f t="shared" si="8"/>
        <v/>
      </c>
      <c r="M30" s="96">
        <v>1</v>
      </c>
    </row>
    <row r="31" spans="1:13" x14ac:dyDescent="0.3">
      <c r="A31" s="96" t="str">
        <f t="shared" si="1"/>
        <v>13334" ANG44074</v>
      </c>
      <c r="B31" s="96">
        <v>1333</v>
      </c>
      <c r="C31" s="23" t="s">
        <v>121</v>
      </c>
      <c r="D31" s="21">
        <v>44058</v>
      </c>
      <c r="E31" s="26">
        <f t="shared" si="5"/>
        <v>6</v>
      </c>
      <c r="F31" s="26" t="str">
        <f t="shared" si="19"/>
        <v>Sat</v>
      </c>
      <c r="G31" s="28">
        <f t="shared" si="22"/>
        <v>44060</v>
      </c>
      <c r="H31" s="26" t="str">
        <f t="shared" si="3"/>
        <v>Mon</v>
      </c>
      <c r="I31" s="26">
        <v>14</v>
      </c>
      <c r="J31" s="63">
        <f t="shared" si="4"/>
        <v>44074</v>
      </c>
      <c r="K31" s="96">
        <f t="shared" si="7"/>
        <v>64</v>
      </c>
      <c r="L31" s="96">
        <f t="shared" si="8"/>
        <v>63</v>
      </c>
      <c r="M31" s="96">
        <v>2</v>
      </c>
    </row>
    <row r="32" spans="1:13" x14ac:dyDescent="0.3">
      <c r="A32" s="96" t="str">
        <f t="shared" si="1"/>
        <v>13334" ANG44144</v>
      </c>
      <c r="B32" s="96">
        <v>1333</v>
      </c>
      <c r="C32" s="23" t="s">
        <v>121</v>
      </c>
      <c r="D32" s="21">
        <v>44125</v>
      </c>
      <c r="E32" s="26">
        <f t="shared" si="5"/>
        <v>3</v>
      </c>
      <c r="F32" s="26" t="str">
        <f t="shared" si="19"/>
        <v>Wed</v>
      </c>
      <c r="G32" s="28">
        <f t="shared" si="22"/>
        <v>44130</v>
      </c>
      <c r="H32" s="26" t="str">
        <f t="shared" si="3"/>
        <v>Mon</v>
      </c>
      <c r="I32" s="26">
        <v>14</v>
      </c>
      <c r="J32" s="63">
        <f t="shared" si="4"/>
        <v>44144</v>
      </c>
      <c r="K32" s="96">
        <f t="shared" si="7"/>
        <v>67</v>
      </c>
      <c r="L32" s="96">
        <f t="shared" si="8"/>
        <v>70</v>
      </c>
      <c r="M32" s="96">
        <v>3</v>
      </c>
    </row>
    <row r="33" spans="1:13" x14ac:dyDescent="0.3">
      <c r="A33" s="96" t="str">
        <f t="shared" si="1"/>
        <v>13334" ANG44207</v>
      </c>
      <c r="B33" s="26">
        <f>B32</f>
        <v>1333</v>
      </c>
      <c r="C33" s="27" t="str">
        <f>C32</f>
        <v>4" ANG</v>
      </c>
      <c r="D33" s="31">
        <f>D32+VLOOKUP(B33,O:P,2,FALSE)</f>
        <v>44190</v>
      </c>
      <c r="E33" s="26">
        <f t="shared" si="5"/>
        <v>5</v>
      </c>
      <c r="F33" s="26" t="str">
        <f t="shared" si="19"/>
        <v>Fri</v>
      </c>
      <c r="G33" s="28">
        <f t="shared" si="22"/>
        <v>44193</v>
      </c>
      <c r="H33" s="26" t="str">
        <f t="shared" si="3"/>
        <v>Mon</v>
      </c>
      <c r="I33" s="26">
        <v>14</v>
      </c>
      <c r="J33" s="63">
        <f t="shared" si="4"/>
        <v>44207</v>
      </c>
      <c r="K33" s="96">
        <f t="shared" si="7"/>
        <v>65</v>
      </c>
      <c r="L33" s="96">
        <f t="shared" si="8"/>
        <v>63</v>
      </c>
      <c r="M33" s="96">
        <v>4</v>
      </c>
    </row>
    <row r="34" spans="1:13" x14ac:dyDescent="0.3">
      <c r="A34" s="96" t="str">
        <f t="shared" si="1"/>
        <v>13334" ANG44270</v>
      </c>
      <c r="B34" s="26">
        <f t="shared" ref="B34:B35" si="27">B33</f>
        <v>1333</v>
      </c>
      <c r="C34" s="27" t="str">
        <f t="shared" ref="C34:C35" si="28">C33</f>
        <v>4" ANG</v>
      </c>
      <c r="D34" s="31">
        <f>D33+VLOOKUP(B34,O:P,2,FALSE)</f>
        <v>44255</v>
      </c>
      <c r="E34" s="26">
        <f t="shared" si="5"/>
        <v>7</v>
      </c>
      <c r="F34" s="26" t="str">
        <f t="shared" si="19"/>
        <v>Sun</v>
      </c>
      <c r="G34" s="28">
        <f t="shared" si="22"/>
        <v>44256</v>
      </c>
      <c r="H34" s="26" t="str">
        <f t="shared" si="3"/>
        <v>Mon</v>
      </c>
      <c r="I34" s="26">
        <v>14</v>
      </c>
      <c r="J34" s="63">
        <f t="shared" si="4"/>
        <v>44270</v>
      </c>
      <c r="K34" s="96">
        <f t="shared" si="7"/>
        <v>65</v>
      </c>
      <c r="L34" s="96">
        <f t="shared" si="8"/>
        <v>63</v>
      </c>
      <c r="M34" s="96">
        <v>5</v>
      </c>
    </row>
    <row r="35" spans="1:13" x14ac:dyDescent="0.3">
      <c r="A35" s="96" t="str">
        <f>CONCATENATE(B35,C35,J35)</f>
        <v>13334" ANG44340</v>
      </c>
      <c r="B35" s="26">
        <f t="shared" si="27"/>
        <v>1333</v>
      </c>
      <c r="C35" s="27" t="str">
        <f t="shared" si="28"/>
        <v>4" ANG</v>
      </c>
      <c r="D35" s="31">
        <f>D34+VLOOKUP(B35,O:P,2,FALSE)</f>
        <v>44320</v>
      </c>
      <c r="E35" s="26">
        <f t="shared" si="5"/>
        <v>2</v>
      </c>
      <c r="F35" s="26" t="str">
        <f t="shared" si="19"/>
        <v>Tue</v>
      </c>
      <c r="G35" s="28">
        <f t="shared" si="22"/>
        <v>44326</v>
      </c>
      <c r="H35" s="26" t="str">
        <f t="shared" si="3"/>
        <v>Mon</v>
      </c>
      <c r="I35" s="26">
        <v>14</v>
      </c>
      <c r="J35" s="63">
        <f t="shared" si="4"/>
        <v>44340</v>
      </c>
      <c r="K35" s="96">
        <f t="shared" si="7"/>
        <v>65</v>
      </c>
      <c r="L35" s="96">
        <f t="shared" si="8"/>
        <v>70</v>
      </c>
      <c r="M35" s="96">
        <v>6</v>
      </c>
    </row>
  </sheetData>
  <autoFilter ref="A1:M35" xr:uid="{8B2758B1-6404-4B93-9099-C7D3CAABFBE7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5304-F28A-485F-8A2A-728C2C771157}">
  <sheetPr>
    <tabColor rgb="FF92D050"/>
  </sheetPr>
  <dimension ref="A1:M26"/>
  <sheetViews>
    <sheetView topLeftCell="A7" workbookViewId="0">
      <selection activeCell="F21" sqref="F21"/>
    </sheetView>
  </sheetViews>
  <sheetFormatPr defaultRowHeight="14.4" outlineLevelCol="1" x14ac:dyDescent="0.3"/>
  <cols>
    <col min="1" max="1" width="13.44140625" customWidth="1"/>
    <col min="2" max="2" width="13.44140625" style="52" hidden="1" customWidth="1" outlineLevel="1"/>
    <col min="3" max="3" width="33.88671875" customWidth="1" collapsed="1"/>
    <col min="5" max="5" width="12.6640625" customWidth="1"/>
    <col min="6" max="8" width="12.6640625" style="63" customWidth="1"/>
    <col min="9" max="9" width="17.109375" customWidth="1"/>
    <col min="10" max="10" width="17.109375" style="52" customWidth="1"/>
    <col min="11" max="11" width="59.109375" customWidth="1"/>
    <col min="13" max="13" width="13.88671875" customWidth="1"/>
  </cols>
  <sheetData>
    <row r="1" spans="1:13" x14ac:dyDescent="0.3">
      <c r="A1" s="69" t="s">
        <v>167</v>
      </c>
      <c r="B1" s="69"/>
      <c r="C1" s="69" t="s">
        <v>55</v>
      </c>
      <c r="D1" s="69" t="s">
        <v>168</v>
      </c>
      <c r="E1" s="69" t="s">
        <v>98</v>
      </c>
      <c r="F1" s="74" t="s">
        <v>169</v>
      </c>
      <c r="G1" s="74" t="s">
        <v>170</v>
      </c>
      <c r="H1" s="74" t="s">
        <v>164</v>
      </c>
      <c r="I1" s="69" t="s">
        <v>171</v>
      </c>
      <c r="J1" s="69" t="s">
        <v>172</v>
      </c>
      <c r="K1" s="69" t="s">
        <v>173</v>
      </c>
      <c r="L1" s="69" t="s">
        <v>225</v>
      </c>
      <c r="M1" s="69"/>
    </row>
    <row r="2" spans="1:13" x14ac:dyDescent="0.3">
      <c r="A2" s="54">
        <v>106022341</v>
      </c>
      <c r="B2" s="92"/>
      <c r="C2" s="56" t="s">
        <v>58</v>
      </c>
      <c r="D2" s="54">
        <v>1321</v>
      </c>
      <c r="E2" s="54" t="s">
        <v>108</v>
      </c>
      <c r="F2" s="58">
        <v>43819</v>
      </c>
      <c r="G2" s="58">
        <v>43843</v>
      </c>
      <c r="H2" s="58" t="s">
        <v>174</v>
      </c>
      <c r="I2" s="55">
        <v>96</v>
      </c>
      <c r="J2" s="57">
        <v>43843</v>
      </c>
      <c r="K2" s="55" t="s">
        <v>175</v>
      </c>
      <c r="L2" s="55" t="s">
        <v>226</v>
      </c>
      <c r="M2" s="96">
        <f>A2</f>
        <v>106022341</v>
      </c>
    </row>
    <row r="3" spans="1:13" s="62" customFormat="1" x14ac:dyDescent="0.3">
      <c r="A3" s="54">
        <v>106022341</v>
      </c>
      <c r="B3" s="92"/>
      <c r="C3" s="56" t="s">
        <v>58</v>
      </c>
      <c r="D3" s="54">
        <v>1334</v>
      </c>
      <c r="E3" s="54" t="s">
        <v>108</v>
      </c>
      <c r="F3" s="58">
        <v>43819</v>
      </c>
      <c r="G3" s="58">
        <v>43843</v>
      </c>
      <c r="H3" s="58" t="s">
        <v>174</v>
      </c>
      <c r="I3" s="55">
        <v>48</v>
      </c>
      <c r="J3" s="57"/>
      <c r="K3" s="55" t="s">
        <v>176</v>
      </c>
      <c r="L3" s="55" t="s">
        <v>226</v>
      </c>
      <c r="M3" s="96"/>
    </row>
    <row r="4" spans="1:13" x14ac:dyDescent="0.3">
      <c r="A4" s="32">
        <v>106028776</v>
      </c>
      <c r="B4" s="59"/>
      <c r="C4" s="60" t="s">
        <v>60</v>
      </c>
      <c r="D4" s="70">
        <v>1333</v>
      </c>
      <c r="E4" s="70" t="s">
        <v>111</v>
      </c>
      <c r="F4" s="71">
        <v>43847</v>
      </c>
      <c r="G4" s="71">
        <v>43867</v>
      </c>
      <c r="H4" s="71" t="s">
        <v>174</v>
      </c>
      <c r="I4" s="72">
        <v>387</v>
      </c>
      <c r="J4" s="89"/>
      <c r="K4" s="96" t="s">
        <v>177</v>
      </c>
      <c r="L4" s="55" t="s">
        <v>226</v>
      </c>
      <c r="M4" s="96">
        <f t="shared" ref="M4:M11" si="0">A4</f>
        <v>106028776</v>
      </c>
    </row>
    <row r="5" spans="1:13" x14ac:dyDescent="0.3">
      <c r="A5" s="53">
        <v>106029036</v>
      </c>
      <c r="B5" s="92"/>
      <c r="C5" s="53" t="s">
        <v>61</v>
      </c>
      <c r="D5" s="70">
        <v>1333</v>
      </c>
      <c r="E5" s="70" t="s">
        <v>113</v>
      </c>
      <c r="F5" s="71">
        <v>43854</v>
      </c>
      <c r="G5" s="71">
        <v>43889</v>
      </c>
      <c r="H5" s="71" t="s">
        <v>174</v>
      </c>
      <c r="I5" s="73">
        <v>330.75000000000017</v>
      </c>
      <c r="J5" s="96"/>
      <c r="K5" s="96" t="s">
        <v>178</v>
      </c>
      <c r="L5" s="55" t="s">
        <v>226</v>
      </c>
      <c r="M5" s="96">
        <f t="shared" si="0"/>
        <v>106029036</v>
      </c>
    </row>
    <row r="6" spans="1:13" x14ac:dyDescent="0.3">
      <c r="A6" s="53">
        <v>106029015</v>
      </c>
      <c r="B6" s="92"/>
      <c r="C6" s="53" t="s">
        <v>62</v>
      </c>
      <c r="D6" s="70">
        <v>1333</v>
      </c>
      <c r="E6" s="70" t="s">
        <v>113</v>
      </c>
      <c r="F6" s="71">
        <v>43854</v>
      </c>
      <c r="G6" s="71">
        <v>43889</v>
      </c>
      <c r="H6" s="71" t="s">
        <v>174</v>
      </c>
      <c r="I6" s="73">
        <v>503</v>
      </c>
      <c r="J6" s="96"/>
      <c r="K6" s="96" t="s">
        <v>179</v>
      </c>
      <c r="L6" s="55" t="s">
        <v>226</v>
      </c>
      <c r="M6" s="96">
        <f t="shared" si="0"/>
        <v>106029015</v>
      </c>
    </row>
    <row r="7" spans="1:13" x14ac:dyDescent="0.3">
      <c r="A7" s="53">
        <v>106029012</v>
      </c>
      <c r="B7" s="92"/>
      <c r="C7" s="53" t="s">
        <v>63</v>
      </c>
      <c r="D7" s="70">
        <v>1333</v>
      </c>
      <c r="E7" s="70" t="s">
        <v>113</v>
      </c>
      <c r="F7" s="71">
        <v>43854</v>
      </c>
      <c r="G7" s="71">
        <v>43889</v>
      </c>
      <c r="H7" s="71" t="s">
        <v>174</v>
      </c>
      <c r="I7" s="73">
        <v>304.20000000000005</v>
      </c>
      <c r="J7" s="96"/>
      <c r="K7" s="96" t="s">
        <v>178</v>
      </c>
      <c r="L7" s="55" t="s">
        <v>226</v>
      </c>
      <c r="M7" s="96">
        <f t="shared" si="0"/>
        <v>106029012</v>
      </c>
    </row>
    <row r="8" spans="1:13" x14ac:dyDescent="0.3">
      <c r="A8" s="53">
        <v>106029017</v>
      </c>
      <c r="B8" s="92"/>
      <c r="C8" s="53" t="s">
        <v>64</v>
      </c>
      <c r="D8" s="70">
        <v>1333</v>
      </c>
      <c r="E8" s="70" t="s">
        <v>113</v>
      </c>
      <c r="F8" s="71">
        <v>43854</v>
      </c>
      <c r="G8" s="71">
        <v>43889</v>
      </c>
      <c r="H8" s="71" t="s">
        <v>174</v>
      </c>
      <c r="I8" s="73">
        <v>339.46111111111117</v>
      </c>
      <c r="J8" s="96"/>
      <c r="K8" s="96" t="s">
        <v>180</v>
      </c>
      <c r="L8" s="55" t="s">
        <v>226</v>
      </c>
      <c r="M8" s="96">
        <f t="shared" si="0"/>
        <v>106029017</v>
      </c>
    </row>
    <row r="9" spans="1:13" x14ac:dyDescent="0.3">
      <c r="A9" s="60">
        <v>106028578</v>
      </c>
      <c r="B9" s="59"/>
      <c r="C9" s="60" t="s">
        <v>65</v>
      </c>
      <c r="D9" s="54">
        <v>1333</v>
      </c>
      <c r="E9" s="54" t="s">
        <v>118</v>
      </c>
      <c r="F9" s="58">
        <v>43841</v>
      </c>
      <c r="G9" s="58">
        <v>43862</v>
      </c>
      <c r="H9" s="58" t="s">
        <v>174</v>
      </c>
      <c r="I9" s="54">
        <v>176</v>
      </c>
      <c r="J9" s="58">
        <v>43857</v>
      </c>
      <c r="K9" s="55" t="s">
        <v>181</v>
      </c>
      <c r="L9" s="55" t="s">
        <v>226</v>
      </c>
      <c r="M9" s="96">
        <f t="shared" si="0"/>
        <v>106028578</v>
      </c>
    </row>
    <row r="10" spans="1:13" x14ac:dyDescent="0.3">
      <c r="A10" s="60">
        <v>106030251</v>
      </c>
      <c r="B10" s="59"/>
      <c r="C10" s="60" t="s">
        <v>66</v>
      </c>
      <c r="D10" s="54">
        <v>1333</v>
      </c>
      <c r="E10" s="54" t="s">
        <v>121</v>
      </c>
      <c r="F10" s="58">
        <v>43831</v>
      </c>
      <c r="G10" s="58">
        <v>43855</v>
      </c>
      <c r="H10" s="58" t="s">
        <v>174</v>
      </c>
      <c r="I10" s="55">
        <v>293</v>
      </c>
      <c r="J10" s="57">
        <v>43845</v>
      </c>
      <c r="K10" s="55" t="s">
        <v>182</v>
      </c>
      <c r="L10" s="55" t="s">
        <v>226</v>
      </c>
      <c r="M10" s="96">
        <f t="shared" si="0"/>
        <v>106030251</v>
      </c>
    </row>
    <row r="11" spans="1:13" x14ac:dyDescent="0.3">
      <c r="A11" s="60">
        <v>106029553</v>
      </c>
      <c r="B11" s="59"/>
      <c r="C11" s="60" t="s">
        <v>67</v>
      </c>
      <c r="D11" s="53">
        <v>1323</v>
      </c>
      <c r="E11" s="53" t="s">
        <v>124</v>
      </c>
      <c r="F11" s="65">
        <v>43871</v>
      </c>
      <c r="G11" s="65">
        <v>43890</v>
      </c>
      <c r="H11" s="65" t="s">
        <v>183</v>
      </c>
      <c r="I11" s="96">
        <v>175</v>
      </c>
      <c r="J11" s="96"/>
      <c r="K11" s="96" t="s">
        <v>184</v>
      </c>
      <c r="L11" s="55" t="s">
        <v>226</v>
      </c>
      <c r="M11" s="96">
        <f t="shared" si="0"/>
        <v>106029553</v>
      </c>
    </row>
    <row r="12" spans="1:13" s="96" customFormat="1" x14ac:dyDescent="0.3">
      <c r="A12" s="60">
        <v>106030251</v>
      </c>
      <c r="B12" s="59"/>
      <c r="C12" s="60" t="s">
        <v>66</v>
      </c>
      <c r="D12" s="54">
        <v>1333</v>
      </c>
      <c r="E12" s="54" t="s">
        <v>121</v>
      </c>
      <c r="F12" s="58"/>
      <c r="G12" s="58"/>
      <c r="H12" s="58" t="s">
        <v>174</v>
      </c>
      <c r="I12" s="55">
        <v>65</v>
      </c>
      <c r="J12" s="57">
        <v>43892</v>
      </c>
      <c r="K12" s="55" t="s">
        <v>185</v>
      </c>
      <c r="L12" s="55" t="s">
        <v>226</v>
      </c>
      <c r="M12" s="96">
        <f t="shared" ref="M12" si="1">A12</f>
        <v>106030251</v>
      </c>
    </row>
    <row r="13" spans="1:13" x14ac:dyDescent="0.3">
      <c r="A13" s="54">
        <v>106022502</v>
      </c>
      <c r="B13" s="92"/>
      <c r="C13" s="56" t="s">
        <v>186</v>
      </c>
      <c r="D13" s="54">
        <v>1321</v>
      </c>
      <c r="E13" s="54" t="s">
        <v>113</v>
      </c>
      <c r="G13" s="63">
        <v>43891</v>
      </c>
      <c r="I13" s="96">
        <v>196</v>
      </c>
      <c r="J13" s="96"/>
      <c r="K13" s="55" t="s">
        <v>187</v>
      </c>
      <c r="L13" s="55" t="s">
        <v>226</v>
      </c>
      <c r="M13" s="96"/>
    </row>
    <row r="14" spans="1:13" x14ac:dyDescent="0.3">
      <c r="A14" s="96">
        <v>106022484</v>
      </c>
      <c r="B14" s="96"/>
      <c r="C14" s="96" t="s">
        <v>188</v>
      </c>
      <c r="D14" s="54">
        <v>1321</v>
      </c>
      <c r="E14" s="54" t="s">
        <v>113</v>
      </c>
      <c r="I14" s="96">
        <v>87</v>
      </c>
      <c r="J14" s="49"/>
      <c r="K14" s="55" t="s">
        <v>187</v>
      </c>
      <c r="L14" s="55" t="s">
        <v>226</v>
      </c>
      <c r="M14" s="96"/>
    </row>
    <row r="15" spans="1:13" x14ac:dyDescent="0.3">
      <c r="A15" s="53">
        <v>106029036</v>
      </c>
      <c r="B15" s="92"/>
      <c r="C15" s="53" t="s">
        <v>61</v>
      </c>
      <c r="D15" s="70">
        <v>1334</v>
      </c>
      <c r="E15" s="70" t="s">
        <v>113</v>
      </c>
      <c r="F15" s="63">
        <v>43927</v>
      </c>
      <c r="G15" s="63">
        <v>43949</v>
      </c>
      <c r="I15" s="96"/>
      <c r="J15" s="96"/>
      <c r="K15" s="8" t="s">
        <v>189</v>
      </c>
      <c r="L15" s="96"/>
      <c r="M15" s="96"/>
    </row>
    <row r="16" spans="1:13" x14ac:dyDescent="0.3">
      <c r="A16" s="53">
        <v>106029015</v>
      </c>
      <c r="B16" s="92"/>
      <c r="C16" s="53" t="s">
        <v>62</v>
      </c>
      <c r="D16" s="70">
        <v>1334</v>
      </c>
      <c r="E16" s="70" t="s">
        <v>113</v>
      </c>
      <c r="F16" s="63">
        <v>43927</v>
      </c>
      <c r="G16" s="63">
        <v>43949</v>
      </c>
      <c r="I16" s="96"/>
      <c r="J16" s="96"/>
      <c r="K16" s="8" t="s">
        <v>190</v>
      </c>
      <c r="L16" s="96"/>
      <c r="M16" s="96"/>
    </row>
    <row r="17" spans="1:11" x14ac:dyDescent="0.3">
      <c r="A17" s="53">
        <v>106029012</v>
      </c>
      <c r="B17" s="92"/>
      <c r="C17" s="53" t="s">
        <v>63</v>
      </c>
      <c r="D17" s="70">
        <v>1334</v>
      </c>
      <c r="E17" s="70" t="s">
        <v>113</v>
      </c>
      <c r="F17" s="63">
        <v>43927</v>
      </c>
      <c r="G17" s="63">
        <v>43949</v>
      </c>
      <c r="I17" s="96"/>
      <c r="J17" s="96"/>
      <c r="K17" s="8" t="s">
        <v>191</v>
      </c>
    </row>
    <row r="18" spans="1:11" x14ac:dyDescent="0.3">
      <c r="A18" s="53">
        <v>106029017</v>
      </c>
      <c r="B18" s="92"/>
      <c r="C18" s="53" t="s">
        <v>64</v>
      </c>
      <c r="D18" s="70">
        <v>1334</v>
      </c>
      <c r="E18" s="70" t="s">
        <v>113</v>
      </c>
      <c r="F18" s="63">
        <v>43927</v>
      </c>
      <c r="G18" s="63">
        <v>43949</v>
      </c>
      <c r="I18" s="96"/>
      <c r="J18" s="96"/>
      <c r="K18" s="8" t="s">
        <v>192</v>
      </c>
    </row>
    <row r="19" spans="1:11" x14ac:dyDescent="0.3">
      <c r="A19" s="96">
        <v>106022341</v>
      </c>
      <c r="B19" s="96"/>
      <c r="C19" s="96" t="s">
        <v>58</v>
      </c>
      <c r="D19" s="96">
        <v>1321</v>
      </c>
      <c r="E19" s="96" t="s">
        <v>108</v>
      </c>
      <c r="F19" s="63">
        <v>43914</v>
      </c>
      <c r="G19" s="63">
        <v>43934</v>
      </c>
      <c r="I19" s="96"/>
      <c r="J19" s="96"/>
      <c r="K19" s="8" t="s">
        <v>193</v>
      </c>
    </row>
    <row r="20" spans="1:11" x14ac:dyDescent="0.3">
      <c r="A20" s="96">
        <v>106028776</v>
      </c>
      <c r="B20" s="96"/>
      <c r="C20" s="96" t="s">
        <v>60</v>
      </c>
      <c r="D20" s="96">
        <v>1333</v>
      </c>
      <c r="E20" s="96" t="s">
        <v>111</v>
      </c>
      <c r="F20" s="63">
        <v>43914</v>
      </c>
      <c r="G20" s="63">
        <v>43933</v>
      </c>
      <c r="I20" s="96"/>
      <c r="J20" s="96"/>
      <c r="K20" s="8" t="s">
        <v>191</v>
      </c>
    </row>
    <row r="21" spans="1:11" x14ac:dyDescent="0.3">
      <c r="A21" s="96">
        <v>106028578</v>
      </c>
      <c r="B21" s="96"/>
      <c r="C21" s="96" t="s">
        <v>65</v>
      </c>
      <c r="D21" s="96">
        <v>1333</v>
      </c>
      <c r="E21" s="96" t="s">
        <v>118</v>
      </c>
      <c r="F21" s="63">
        <v>43906</v>
      </c>
      <c r="G21" s="63">
        <v>43927</v>
      </c>
      <c r="I21" s="1">
        <v>143</v>
      </c>
      <c r="J21" s="96"/>
      <c r="K21" s="8" t="s">
        <v>194</v>
      </c>
    </row>
    <row r="22" spans="1:11" x14ac:dyDescent="0.3">
      <c r="A22" s="96">
        <v>106030251</v>
      </c>
      <c r="B22" s="96"/>
      <c r="C22" s="96" t="s">
        <v>66</v>
      </c>
      <c r="D22" s="96">
        <v>1333</v>
      </c>
      <c r="E22" s="96" t="s">
        <v>121</v>
      </c>
      <c r="F22" s="63">
        <v>43893</v>
      </c>
      <c r="G22" s="63">
        <v>43909</v>
      </c>
      <c r="I22" s="96"/>
      <c r="J22" s="96"/>
      <c r="K22" s="8" t="s">
        <v>195</v>
      </c>
    </row>
    <row r="23" spans="1:11" x14ac:dyDescent="0.3">
      <c r="A23" s="53">
        <v>106029036</v>
      </c>
      <c r="B23" s="102"/>
      <c r="C23" s="53" t="s">
        <v>61</v>
      </c>
      <c r="D23" s="70">
        <v>1333</v>
      </c>
      <c r="E23" s="70" t="s">
        <v>113</v>
      </c>
      <c r="F23" s="63">
        <v>43942</v>
      </c>
      <c r="G23" s="105">
        <v>43952</v>
      </c>
      <c r="K23" s="104" t="s">
        <v>228</v>
      </c>
    </row>
    <row r="24" spans="1:11" x14ac:dyDescent="0.3">
      <c r="A24" s="53">
        <v>106029015</v>
      </c>
      <c r="B24" s="102"/>
      <c r="C24" s="53" t="s">
        <v>62</v>
      </c>
      <c r="D24" s="70">
        <v>1333</v>
      </c>
      <c r="E24" s="70" t="s">
        <v>113</v>
      </c>
      <c r="F24" s="103">
        <v>43942</v>
      </c>
      <c r="G24" s="105">
        <v>43952</v>
      </c>
      <c r="K24" s="8" t="s">
        <v>230</v>
      </c>
    </row>
    <row r="25" spans="1:11" x14ac:dyDescent="0.3">
      <c r="A25" s="53">
        <v>106029012</v>
      </c>
      <c r="B25" s="102"/>
      <c r="C25" s="53" t="s">
        <v>63</v>
      </c>
      <c r="D25" s="70">
        <v>1333</v>
      </c>
      <c r="E25" s="70" t="s">
        <v>113</v>
      </c>
      <c r="F25" s="103">
        <v>43942</v>
      </c>
      <c r="G25" s="105">
        <v>43952</v>
      </c>
      <c r="K25" s="104" t="s">
        <v>229</v>
      </c>
    </row>
    <row r="26" spans="1:11" x14ac:dyDescent="0.3">
      <c r="A26" s="53">
        <v>106029017</v>
      </c>
      <c r="B26" s="102"/>
      <c r="C26" s="53" t="s">
        <v>64</v>
      </c>
      <c r="D26" s="70">
        <v>1333</v>
      </c>
      <c r="E26" s="70" t="s">
        <v>113</v>
      </c>
      <c r="F26" s="103">
        <v>43942</v>
      </c>
      <c r="G26" s="105">
        <v>43952</v>
      </c>
      <c r="K26" s="8" t="s">
        <v>230</v>
      </c>
    </row>
  </sheetData>
  <autoFilter ref="C1:K22" xr:uid="{674B2874-2210-4AE0-A292-AFFA54ECDD58}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0F88-D831-4D01-A221-06776F983DC8}">
  <sheetPr codeName="Sheet4">
    <tabColor rgb="FF92D050"/>
  </sheetPr>
  <dimension ref="A1:DW75"/>
  <sheetViews>
    <sheetView topLeftCell="D1" zoomScale="85" zoomScaleNormal="85" workbookViewId="0">
      <pane ySplit="1" topLeftCell="A2" activePane="bottomLeft" state="frozen"/>
      <selection activeCell="B1" sqref="B1"/>
      <selection pane="bottomLeft" activeCell="F11" sqref="F11"/>
    </sheetView>
  </sheetViews>
  <sheetFormatPr defaultColWidth="6.88671875" defaultRowHeight="14.4" outlineLevelRow="1" outlineLevelCol="1" x14ac:dyDescent="0.3"/>
  <cols>
    <col min="1" max="1" width="48" hidden="1" customWidth="1" outlineLevel="1"/>
    <col min="2" max="2" width="10.88671875" hidden="1" customWidth="1" collapsed="1"/>
    <col min="3" max="3" width="30.5546875" hidden="1" customWidth="1"/>
    <col min="4" max="4" width="5.5546875" customWidth="1"/>
    <col min="5" max="5" width="11.109375" customWidth="1"/>
    <col min="6" max="6" width="33.109375" customWidth="1"/>
    <col min="7" max="7" width="9.44140625" style="1" customWidth="1"/>
    <col min="8" max="10" width="7.44140625" customWidth="1"/>
    <col min="11" max="11" width="8.109375" style="115" customWidth="1"/>
    <col min="12" max="18" width="7.44140625" style="115" customWidth="1"/>
    <col min="19" max="27" width="7.44140625" style="119" customWidth="1"/>
    <col min="28" max="127" width="7.44140625" customWidth="1"/>
  </cols>
  <sheetData>
    <row r="1" spans="1:127" ht="92.1" customHeight="1" x14ac:dyDescent="0.3">
      <c r="A1" s="96" t="s">
        <v>158</v>
      </c>
      <c r="B1" s="2" t="s">
        <v>196</v>
      </c>
      <c r="C1" s="2" t="s">
        <v>197</v>
      </c>
      <c r="D1" s="2" t="s">
        <v>97</v>
      </c>
      <c r="E1" s="2" t="s">
        <v>98</v>
      </c>
      <c r="F1" s="2" t="s">
        <v>198</v>
      </c>
      <c r="G1" s="10" t="s">
        <v>199</v>
      </c>
      <c r="H1" s="44">
        <v>43948</v>
      </c>
      <c r="I1" s="45">
        <f t="shared" ref="I1:AN1" si="0">H1+7</f>
        <v>43955</v>
      </c>
      <c r="J1" s="45">
        <f t="shared" ref="J1" si="1">I1+7</f>
        <v>43962</v>
      </c>
      <c r="K1" s="45">
        <f t="shared" ref="K1" si="2">J1+7</f>
        <v>43969</v>
      </c>
      <c r="L1" s="45">
        <f t="shared" ref="L1" si="3">K1+7</f>
        <v>43976</v>
      </c>
      <c r="M1" s="45">
        <f t="shared" ref="M1" si="4">L1+7</f>
        <v>43983</v>
      </c>
      <c r="N1" s="45">
        <f t="shared" ref="N1" si="5">M1+7</f>
        <v>43990</v>
      </c>
      <c r="O1" s="45">
        <f t="shared" ref="O1" si="6">N1+7</f>
        <v>43997</v>
      </c>
      <c r="P1" s="45">
        <f t="shared" ref="P1" si="7">O1+7</f>
        <v>44004</v>
      </c>
      <c r="Q1" s="45">
        <f t="shared" ref="Q1" si="8">P1+7</f>
        <v>44011</v>
      </c>
      <c r="R1" s="45">
        <f t="shared" ref="R1" si="9">Q1+7</f>
        <v>44018</v>
      </c>
      <c r="S1" s="45">
        <f t="shared" ref="S1" si="10">R1+7</f>
        <v>44025</v>
      </c>
      <c r="T1" s="45">
        <f t="shared" ref="T1" si="11">S1+7</f>
        <v>44032</v>
      </c>
      <c r="U1" s="45">
        <f t="shared" ref="U1" si="12">T1+7</f>
        <v>44039</v>
      </c>
      <c r="V1" s="45">
        <f t="shared" ref="V1" si="13">U1+7</f>
        <v>44046</v>
      </c>
      <c r="W1" s="45">
        <f t="shared" ref="W1" si="14">V1+7</f>
        <v>44053</v>
      </c>
      <c r="X1" s="45">
        <f t="shared" ref="X1" si="15">W1+7</f>
        <v>44060</v>
      </c>
      <c r="Y1" s="45">
        <f t="shared" ref="Y1" si="16">X1+7</f>
        <v>44067</v>
      </c>
      <c r="Z1" s="45">
        <f t="shared" ref="Z1" si="17">Y1+7</f>
        <v>44074</v>
      </c>
      <c r="AA1" s="45">
        <f t="shared" ref="AA1" si="18">Z1+7</f>
        <v>44081</v>
      </c>
      <c r="AB1" s="45">
        <f t="shared" ref="AB1" si="19">AA1+7</f>
        <v>44088</v>
      </c>
      <c r="AC1" s="45">
        <f t="shared" ref="AC1" si="20">AB1+7</f>
        <v>44095</v>
      </c>
      <c r="AD1" s="45">
        <f t="shared" ref="AD1" si="21">AC1+7</f>
        <v>44102</v>
      </c>
      <c r="AE1" s="45">
        <f t="shared" ref="AE1" si="22">AD1+7</f>
        <v>44109</v>
      </c>
      <c r="AF1" s="45">
        <f t="shared" ref="AF1" si="23">AE1+7</f>
        <v>44116</v>
      </c>
      <c r="AG1" s="45">
        <f t="shared" ref="AG1" si="24">AF1+7</f>
        <v>44123</v>
      </c>
      <c r="AH1" s="45">
        <f t="shared" ref="AH1" si="25">AG1+7</f>
        <v>44130</v>
      </c>
      <c r="AI1" s="45">
        <f t="shared" ref="AI1" si="26">AH1+7</f>
        <v>44137</v>
      </c>
      <c r="AJ1" s="45">
        <f t="shared" ref="AJ1" si="27">AI1+7</f>
        <v>44144</v>
      </c>
      <c r="AK1" s="45">
        <f t="shared" ref="AK1" si="28">AJ1+7</f>
        <v>44151</v>
      </c>
      <c r="AL1" s="45">
        <f t="shared" ref="AL1" si="29">AK1+7</f>
        <v>44158</v>
      </c>
      <c r="AM1" s="45">
        <f t="shared" ref="AM1" si="30">AL1+7</f>
        <v>44165</v>
      </c>
      <c r="AN1" s="45">
        <f t="shared" ref="AN1" si="31">AM1+7</f>
        <v>44172</v>
      </c>
      <c r="AO1" s="45">
        <f t="shared" ref="AO1" si="32">AN1+7</f>
        <v>44179</v>
      </c>
      <c r="AP1" s="45">
        <f t="shared" ref="AP1" si="33">AO1+7</f>
        <v>44186</v>
      </c>
      <c r="AQ1" s="45">
        <f t="shared" ref="AQ1" si="34">AP1+7</f>
        <v>44193</v>
      </c>
      <c r="AR1" s="45">
        <f t="shared" ref="AR1" si="35">AQ1+7</f>
        <v>44200</v>
      </c>
      <c r="AS1" s="45">
        <f t="shared" ref="AS1" si="36">AR1+7</f>
        <v>44207</v>
      </c>
      <c r="AT1" s="45">
        <f t="shared" ref="AT1" si="37">AS1+7</f>
        <v>44214</v>
      </c>
      <c r="AU1" s="45">
        <f t="shared" ref="AU1" si="38">AT1+7</f>
        <v>44221</v>
      </c>
      <c r="AV1" s="45">
        <f t="shared" ref="AV1" si="39">AU1+7</f>
        <v>44228</v>
      </c>
      <c r="AW1" s="45">
        <f t="shared" ref="AW1" si="40">AV1+7</f>
        <v>44235</v>
      </c>
      <c r="AX1" s="45">
        <f t="shared" ref="AX1" si="41">AW1+7</f>
        <v>44242</v>
      </c>
      <c r="AY1" s="45">
        <f t="shared" ref="AY1" si="42">AX1+7</f>
        <v>44249</v>
      </c>
      <c r="AZ1" s="45">
        <f t="shared" ref="AZ1" si="43">AY1+7</f>
        <v>44256</v>
      </c>
      <c r="BA1" s="45">
        <f t="shared" ref="BA1" si="44">AZ1+7</f>
        <v>44263</v>
      </c>
      <c r="BB1" s="45">
        <f t="shared" ref="BB1" si="45">BA1+7</f>
        <v>44270</v>
      </c>
      <c r="BC1" s="45">
        <f t="shared" ref="BC1" si="46">BB1+7</f>
        <v>44277</v>
      </c>
      <c r="BD1" s="45">
        <f t="shared" ref="BD1" si="47">BC1+7</f>
        <v>44284</v>
      </c>
      <c r="BE1" s="45">
        <f t="shared" ref="BE1" si="48">BD1+7</f>
        <v>44291</v>
      </c>
      <c r="BF1" s="45">
        <f t="shared" ref="BF1" si="49">BE1+7</f>
        <v>44298</v>
      </c>
      <c r="BG1" s="45">
        <f t="shared" ref="BG1" si="50">BF1+7</f>
        <v>44305</v>
      </c>
      <c r="BH1" s="45">
        <f t="shared" ref="BH1" si="51">BG1+7</f>
        <v>44312</v>
      </c>
      <c r="BI1" s="45">
        <f t="shared" ref="BI1" si="52">BH1+7</f>
        <v>44319</v>
      </c>
      <c r="BJ1" s="45">
        <f t="shared" ref="BJ1" si="53">BI1+7</f>
        <v>44326</v>
      </c>
      <c r="BK1" s="45">
        <f t="shared" ref="BK1" si="54">BJ1+7</f>
        <v>44333</v>
      </c>
      <c r="BL1" s="45">
        <f t="shared" ref="BL1" si="55">BK1+7</f>
        <v>44340</v>
      </c>
      <c r="BM1" s="45">
        <f t="shared" ref="BM1" si="56">BL1+7</f>
        <v>44347</v>
      </c>
      <c r="BN1" s="45">
        <f t="shared" ref="BN1" si="57">BM1+7</f>
        <v>44354</v>
      </c>
      <c r="BO1" s="45">
        <f t="shared" ref="BO1" si="58">BN1+7</f>
        <v>44361</v>
      </c>
      <c r="BP1" s="45">
        <f t="shared" ref="BP1" si="59">BO1+7</f>
        <v>44368</v>
      </c>
      <c r="BQ1" s="45">
        <f t="shared" ref="BQ1" si="60">BP1+7</f>
        <v>44375</v>
      </c>
      <c r="BR1" s="45">
        <f t="shared" ref="BR1" si="61">BQ1+7</f>
        <v>44382</v>
      </c>
      <c r="BS1" s="45">
        <f t="shared" ref="BS1" si="62">BR1+7</f>
        <v>44389</v>
      </c>
      <c r="BT1" s="45">
        <f t="shared" ref="AO1:BT1" si="63">BS1+7</f>
        <v>44396</v>
      </c>
      <c r="BU1" s="45">
        <f t="shared" ref="BU1:CZ1" si="64">BT1+7</f>
        <v>44403</v>
      </c>
      <c r="BV1" s="45">
        <f t="shared" si="64"/>
        <v>44410</v>
      </c>
      <c r="BW1" s="45">
        <f t="shared" si="64"/>
        <v>44417</v>
      </c>
      <c r="BX1" s="45">
        <f t="shared" si="64"/>
        <v>44424</v>
      </c>
      <c r="BY1" s="45">
        <f t="shared" si="64"/>
        <v>44431</v>
      </c>
      <c r="BZ1" s="45">
        <f t="shared" si="64"/>
        <v>44438</v>
      </c>
      <c r="CA1" s="45">
        <f t="shared" si="64"/>
        <v>44445</v>
      </c>
      <c r="CB1" s="45">
        <f t="shared" si="64"/>
        <v>44452</v>
      </c>
      <c r="CC1" s="45">
        <f t="shared" si="64"/>
        <v>44459</v>
      </c>
      <c r="CD1" s="45">
        <f t="shared" si="64"/>
        <v>44466</v>
      </c>
      <c r="CE1" s="45">
        <f t="shared" si="64"/>
        <v>44473</v>
      </c>
      <c r="CF1" s="45">
        <f t="shared" si="64"/>
        <v>44480</v>
      </c>
      <c r="CG1" s="45">
        <f t="shared" si="64"/>
        <v>44487</v>
      </c>
      <c r="CH1" s="45">
        <f t="shared" si="64"/>
        <v>44494</v>
      </c>
      <c r="CI1" s="45">
        <f t="shared" si="64"/>
        <v>44501</v>
      </c>
      <c r="CJ1" s="45">
        <f t="shared" si="64"/>
        <v>44508</v>
      </c>
      <c r="CK1" s="45">
        <f t="shared" si="64"/>
        <v>44515</v>
      </c>
      <c r="CL1" s="45">
        <f t="shared" si="64"/>
        <v>44522</v>
      </c>
      <c r="CM1" s="45">
        <f t="shared" si="64"/>
        <v>44529</v>
      </c>
      <c r="CN1" s="45">
        <f t="shared" si="64"/>
        <v>44536</v>
      </c>
      <c r="CO1" s="45">
        <f t="shared" si="64"/>
        <v>44543</v>
      </c>
      <c r="CP1" s="45">
        <f t="shared" si="64"/>
        <v>44550</v>
      </c>
      <c r="CQ1" s="45">
        <f t="shared" si="64"/>
        <v>44557</v>
      </c>
      <c r="CR1" s="45">
        <f t="shared" si="64"/>
        <v>44564</v>
      </c>
      <c r="CS1" s="45">
        <f t="shared" si="64"/>
        <v>44571</v>
      </c>
      <c r="CT1" s="45">
        <f t="shared" si="64"/>
        <v>44578</v>
      </c>
      <c r="CU1" s="45">
        <f t="shared" si="64"/>
        <v>44585</v>
      </c>
      <c r="CV1" s="45">
        <f t="shared" si="64"/>
        <v>44592</v>
      </c>
      <c r="CW1" s="45">
        <f t="shared" si="64"/>
        <v>44599</v>
      </c>
      <c r="CX1" s="45">
        <f t="shared" si="64"/>
        <v>44606</v>
      </c>
      <c r="CY1" s="45">
        <f t="shared" si="64"/>
        <v>44613</v>
      </c>
      <c r="CZ1" s="45">
        <f t="shared" si="64"/>
        <v>44620</v>
      </c>
      <c r="DA1" s="45">
        <f t="shared" ref="DA1:DW1" si="65">CZ1+7</f>
        <v>44627</v>
      </c>
      <c r="DB1" s="45">
        <f t="shared" si="65"/>
        <v>44634</v>
      </c>
      <c r="DC1" s="45">
        <f t="shared" si="65"/>
        <v>44641</v>
      </c>
      <c r="DD1" s="45">
        <f t="shared" si="65"/>
        <v>44648</v>
      </c>
      <c r="DE1" s="45">
        <f t="shared" si="65"/>
        <v>44655</v>
      </c>
      <c r="DF1" s="45">
        <f t="shared" si="65"/>
        <v>44662</v>
      </c>
      <c r="DG1" s="45">
        <f t="shared" si="65"/>
        <v>44669</v>
      </c>
      <c r="DH1" s="45">
        <f t="shared" si="65"/>
        <v>44676</v>
      </c>
      <c r="DI1" s="45">
        <f t="shared" si="65"/>
        <v>44683</v>
      </c>
      <c r="DJ1" s="45">
        <f t="shared" si="65"/>
        <v>44690</v>
      </c>
      <c r="DK1" s="45">
        <f t="shared" si="65"/>
        <v>44697</v>
      </c>
      <c r="DL1" s="45">
        <f t="shared" si="65"/>
        <v>44704</v>
      </c>
      <c r="DM1" s="45">
        <f t="shared" si="65"/>
        <v>44711</v>
      </c>
      <c r="DN1" s="45">
        <f t="shared" si="65"/>
        <v>44718</v>
      </c>
      <c r="DO1" s="45">
        <f t="shared" si="65"/>
        <v>44725</v>
      </c>
      <c r="DP1" s="45">
        <f t="shared" si="65"/>
        <v>44732</v>
      </c>
      <c r="DQ1" s="45">
        <f t="shared" si="65"/>
        <v>44739</v>
      </c>
      <c r="DR1" s="45">
        <f t="shared" si="65"/>
        <v>44746</v>
      </c>
      <c r="DS1" s="45">
        <f t="shared" si="65"/>
        <v>44753</v>
      </c>
      <c r="DT1" s="45">
        <f t="shared" si="65"/>
        <v>44760</v>
      </c>
      <c r="DU1" s="45">
        <f t="shared" si="65"/>
        <v>44767</v>
      </c>
      <c r="DV1" s="45">
        <f t="shared" si="65"/>
        <v>44774</v>
      </c>
      <c r="DW1" s="45">
        <f t="shared" si="65"/>
        <v>44781</v>
      </c>
    </row>
    <row r="2" spans="1:127" ht="30.75" customHeight="1" x14ac:dyDescent="0.3">
      <c r="A2" s="96" t="str">
        <f>CONCATENATE(B2,F2)</f>
        <v>106022341Header</v>
      </c>
      <c r="B2" s="11">
        <v>106022341</v>
      </c>
      <c r="C2" s="11" t="s">
        <v>58</v>
      </c>
      <c r="D2" s="11">
        <f>VLOOKUP($B2,FORECAST!$D:$V,18,FALSE)</f>
        <v>1321</v>
      </c>
      <c r="E2" s="11" t="str">
        <f>VLOOKUP($B2,FORECAST!$D:$V,19,FALSE)</f>
        <v>1-1/2" ANG</v>
      </c>
      <c r="F2" s="11" t="s">
        <v>200</v>
      </c>
      <c r="G2" s="43" t="s">
        <v>151</v>
      </c>
      <c r="H2" s="43" t="s">
        <v>201</v>
      </c>
      <c r="I2" s="43" t="s">
        <v>125</v>
      </c>
      <c r="J2" s="43" t="s">
        <v>97</v>
      </c>
      <c r="K2" s="111" t="s">
        <v>202</v>
      </c>
      <c r="L2" s="111" t="s">
        <v>203</v>
      </c>
      <c r="M2" s="112"/>
      <c r="N2" s="112"/>
      <c r="O2" s="112"/>
      <c r="P2" s="112"/>
      <c r="Q2" s="112"/>
      <c r="R2" s="112"/>
      <c r="S2" s="9"/>
      <c r="T2" s="9"/>
      <c r="U2" s="9"/>
      <c r="V2" s="9"/>
      <c r="W2" s="9"/>
      <c r="X2" s="9"/>
      <c r="Y2" s="9"/>
      <c r="Z2" s="9"/>
      <c r="AA2" s="9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</row>
    <row r="3" spans="1:127" outlineLevel="1" x14ac:dyDescent="0.3">
      <c r="A3" s="96" t="str">
        <f t="shared" ref="A3:A38" si="66">CONCATENATE(B3,F3)</f>
        <v>106022341Inventory</v>
      </c>
      <c r="B3" s="20">
        <f t="shared" ref="B3:B39" si="67">B2</f>
        <v>106022341</v>
      </c>
      <c r="C3" s="20" t="str">
        <f t="shared" ref="C3:C39" si="68">C2</f>
        <v>L 1 1/2X1 1/2X.155 A529-50 40'00"</v>
      </c>
      <c r="D3" s="20">
        <f t="shared" ref="D3:D39" si="69">D2</f>
        <v>1321</v>
      </c>
      <c r="E3" s="20" t="str">
        <f t="shared" ref="E3:E39" si="70">E2</f>
        <v>1-1/2" ANG</v>
      </c>
      <c r="F3" s="11" t="s">
        <v>204</v>
      </c>
      <c r="G3" s="1">
        <f>SUM(H3:L3)</f>
        <v>62</v>
      </c>
      <c r="H3" s="36">
        <f>SUMIFS(FORECAST!$I:$I,FORECAST!$D:$D,MRP!$B3)</f>
        <v>62</v>
      </c>
      <c r="I3" s="36">
        <f>SUMIFS(FORECAST!$Q:$Q,FORECAST!$D:$D,B3)</f>
        <v>0</v>
      </c>
      <c r="J3" s="36">
        <f>SUMIFS(FORECAST!$R:$R,FORECAST!$D:$D,B3)</f>
        <v>0</v>
      </c>
      <c r="K3" s="112">
        <f>SUMIFS(FORECAST!$S:$S,FORECAST!$D:$D,B3)</f>
        <v>0</v>
      </c>
      <c r="L3" s="112">
        <f>SUMIFS(FORECAST!$T:$T,FORECAST!$D:$D,B3)</f>
        <v>0</v>
      </c>
      <c r="M3" s="112"/>
      <c r="N3" s="112"/>
      <c r="O3" s="112"/>
      <c r="P3" s="112"/>
      <c r="Q3" s="112"/>
      <c r="R3" s="112"/>
      <c r="S3" s="9"/>
      <c r="T3" s="9"/>
      <c r="U3" s="9"/>
      <c r="V3" s="9"/>
      <c r="W3" s="9"/>
      <c r="X3" s="9"/>
      <c r="Y3" s="9"/>
      <c r="Z3" s="9"/>
      <c r="AA3" s="9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</row>
    <row r="4" spans="1:127" outlineLevel="1" x14ac:dyDescent="0.3">
      <c r="A4" s="96" t="str">
        <f t="shared" si="66"/>
        <v>106022341Shipments</v>
      </c>
      <c r="B4" s="20">
        <f t="shared" si="67"/>
        <v>106022341</v>
      </c>
      <c r="C4" s="20" t="str">
        <f t="shared" si="68"/>
        <v>L 1 1/2X1 1/2X.155 A529-50 40'00"</v>
      </c>
      <c r="D4" s="20">
        <f t="shared" si="69"/>
        <v>1321</v>
      </c>
      <c r="E4" s="20" t="str">
        <f t="shared" si="70"/>
        <v>1-1/2" ANG</v>
      </c>
      <c r="F4" s="4" t="s">
        <v>205</v>
      </c>
      <c r="H4" s="19" cm="1">
        <f t="array" ref="H4">IFERROR(VLOOKUP($B4,FORECAST!$D$2:$O$25,7+H$75,FALSE)/30*7,G4)</f>
        <v>10.5</v>
      </c>
      <c r="I4" s="19" cm="1">
        <f t="array" ref="I4">IFERROR(VLOOKUP($B4,FORECAST!$D$2:$O$25,7+I$75,FALSE)/30*7,H4)</f>
        <v>20.766666666666666</v>
      </c>
      <c r="J4" s="19" cm="1">
        <f t="array" ref="J4">IFERROR(VLOOKUP($B4,FORECAST!$D$2:$O$25,7+J$75,FALSE)/30*7,I4)</f>
        <v>20.766666666666666</v>
      </c>
      <c r="K4" s="113" cm="1">
        <f t="array" ref="K4">IFERROR(VLOOKUP($B4,FORECAST!$D$2:$O$25,7+K$75,FALSE)/30*7,J4)</f>
        <v>20.766666666666666</v>
      </c>
      <c r="L4" s="113" cm="1">
        <f t="array" ref="L4">IFERROR(VLOOKUP($B4,FORECAST!$D$2:$O$25,7+L$75,FALSE)/30*7,K4)</f>
        <v>20.766666666666666</v>
      </c>
      <c r="M4" s="113" cm="1">
        <f t="array" ref="M4">IFERROR(VLOOKUP($B4,FORECAST!$D$2:$O$25,7+M$75,FALSE)/30*7,L4)</f>
        <v>27.3</v>
      </c>
      <c r="N4" s="113" cm="1">
        <f t="array" ref="N4">IFERROR(VLOOKUP($B4,FORECAST!$D$2:$O$25,7+N$75,FALSE)/30*7,M4)</f>
        <v>27.3</v>
      </c>
      <c r="O4" s="113" cm="1">
        <f t="array" ref="O4">IFERROR(VLOOKUP($B4,FORECAST!$D$2:$O$25,7+O$75,FALSE)/30*7,N4)</f>
        <v>27.3</v>
      </c>
      <c r="P4" s="113" cm="1">
        <f t="array" ref="P4">IFERROR(VLOOKUP($B4,FORECAST!$D$2:$O$25,7+P$75,FALSE)/30*7,O4)</f>
        <v>27.3</v>
      </c>
      <c r="Q4" s="113" cm="1">
        <f t="array" ref="Q4">IFERROR(VLOOKUP($B4,FORECAST!$D$2:$O$25,7+Q$75,FALSE)/30*7,P4)</f>
        <v>27.3</v>
      </c>
      <c r="R4" s="113" cm="1">
        <f t="array" ref="R4">IFERROR(VLOOKUP($B4,FORECAST!$D$2:$O$25,7+R$75,FALSE)/30*7,Q4)</f>
        <v>4.4333333333333336</v>
      </c>
      <c r="S4" s="117" cm="1">
        <f t="array" ref="S4">IFERROR(VLOOKUP($B4,FORECAST!$D$2:$O$25,7+S$75,FALSE)/30*7,R4)</f>
        <v>4.4333333333333336</v>
      </c>
      <c r="T4" s="117" cm="1">
        <f t="array" ref="T4">IFERROR(VLOOKUP($B4,FORECAST!$D$2:$O$25,7+T$75,FALSE)/30*7,S4)</f>
        <v>4.4333333333333336</v>
      </c>
      <c r="U4" s="117" cm="1">
        <f t="array" ref="U4">IFERROR(VLOOKUP($B4,FORECAST!$D$2:$O$25,7+U$75,FALSE)/30*7,T4)</f>
        <v>4.4333333333333336</v>
      </c>
      <c r="V4" s="117" cm="1">
        <f t="array" ref="V4">IFERROR(VLOOKUP($B4,FORECAST!$D$2:$O$25,7+V$75,FALSE)/30*7,U4)</f>
        <v>4.8999999999999995</v>
      </c>
      <c r="W4" s="117" cm="1">
        <f t="array" ref="W4">IFERROR(VLOOKUP($B4,FORECAST!$D$2:$O$25,7+W$75,FALSE)/30*7,V4)</f>
        <v>4.8999999999999995</v>
      </c>
      <c r="X4" s="117" cm="1">
        <f t="array" ref="X4">IFERROR(VLOOKUP($B4,FORECAST!$D$2:$O$25,7+X$75,FALSE)/30*7,W4)</f>
        <v>4.8999999999999995</v>
      </c>
      <c r="Y4" s="117" cm="1">
        <f t="array" ref="Y4">IFERROR(VLOOKUP($B4,FORECAST!$D$2:$O$25,7+Y$75,FALSE)/30*7,X4)</f>
        <v>4.8999999999999995</v>
      </c>
      <c r="Z4" s="117" cm="1">
        <f t="array" ref="Z4">IFERROR(VLOOKUP($B4,FORECAST!$D$2:$O$25,7+Z$75,FALSE)/30*7,Y4)</f>
        <v>4.8999999999999995</v>
      </c>
      <c r="AA4" s="117" cm="1">
        <f t="array" ref="AA4">IFERROR(VLOOKUP($B4,FORECAST!$D$2:$O$25,7+AA$75,FALSE)/30*7,Z4)</f>
        <v>0.70000000000000007</v>
      </c>
      <c r="AB4" s="19" cm="1">
        <f t="array" ref="AB4">IFERROR(VLOOKUP($B4,FORECAST!$D$2:$O$25,7+AB$75,FALSE)/30*7,AA4)</f>
        <v>0.70000000000000007</v>
      </c>
      <c r="AC4" s="19" cm="1">
        <f t="array" ref="AC4">IFERROR(VLOOKUP($B4,FORECAST!$D$2:$O$25,7+AC$75,FALSE)/30*7,AB4)</f>
        <v>0.70000000000000007</v>
      </c>
      <c r="AD4" s="19" cm="1">
        <f t="array" ref="AD4">IFERROR(VLOOKUP($B4,FORECAST!$D$2:$O$25,7+AD$75,FALSE)/30*7,AC4)</f>
        <v>0.70000000000000007</v>
      </c>
      <c r="AE4" s="19" cm="1">
        <f t="array" ref="AE4">IFERROR(VLOOKUP($B4,FORECAST!$D$2:$O$25,7+AE$75,FALSE)/30*7,AD4)</f>
        <v>0.70000000000000007</v>
      </c>
      <c r="AF4" s="19" cm="1">
        <f t="array" ref="AF4">IFERROR(VLOOKUP($B4,FORECAST!$D$2:$O$25,7+AF$75,FALSE)/30*7,AE4)</f>
        <v>0.70000000000000007</v>
      </c>
      <c r="AG4" s="19" cm="1">
        <f t="array" ref="AG4">IFERROR(VLOOKUP($B4,FORECAST!$D$2:$O$25,7+AG$75,FALSE)/30*7,AF4)</f>
        <v>0.70000000000000007</v>
      </c>
      <c r="AH4" s="19" cm="1">
        <f t="array" ref="AH4">IFERROR(VLOOKUP($B4,FORECAST!$D$2:$O$25,7+AH$75,FALSE)/30*7,AG4)</f>
        <v>0.70000000000000007</v>
      </c>
      <c r="AI4" s="19" cm="1">
        <f t="array" ref="AI4">IFERROR(VLOOKUP($B4,FORECAST!$D$2:$O$25,7+AI$75,FALSE)/30*7,AH4)</f>
        <v>0.70000000000000007</v>
      </c>
      <c r="AJ4" s="19" cm="1">
        <f t="array" ref="AJ4">IFERROR(VLOOKUP($B4,FORECAST!$D$2:$O$25,7+AJ$75,FALSE)/30*7,AI4)</f>
        <v>0.70000000000000007</v>
      </c>
      <c r="AK4" s="19" cm="1">
        <f t="array" ref="AK4">IFERROR(VLOOKUP($B4,FORECAST!$D$2:$O$25,7+AK$75,FALSE)/30*7,AJ4)</f>
        <v>0.70000000000000007</v>
      </c>
      <c r="AL4" s="19" cm="1">
        <f t="array" ref="AL4">IFERROR(VLOOKUP($B4,FORECAST!$D$2:$O$25,7+AL$75,FALSE)/30*7,AK4)</f>
        <v>0.70000000000000007</v>
      </c>
      <c r="AM4" s="19" cm="1">
        <f t="array" ref="AM4">IFERROR(VLOOKUP($B4,FORECAST!$D$2:$O$25,7+AM$75,FALSE)/30*7,AL4)</f>
        <v>0.70000000000000007</v>
      </c>
      <c r="AN4" s="19" cm="1">
        <f t="array" ref="AN4">IFERROR(VLOOKUP($B4,FORECAST!$D$2:$O$25,7+AN$75,FALSE)/30*7,AM4)</f>
        <v>0.70000000000000007</v>
      </c>
      <c r="AO4" s="19" cm="1">
        <f t="array" ref="AO4">IFERROR(VLOOKUP($B4,FORECAST!$D$2:$O$25,7+AO$75,FALSE)/30*7,AN4)</f>
        <v>0.70000000000000007</v>
      </c>
      <c r="AP4" s="19" cm="1">
        <f t="array" ref="AP4">IFERROR(VLOOKUP($B4,FORECAST!$D$2:$O$25,7+AP$75,FALSE)/30*7,AO4)</f>
        <v>0.70000000000000007</v>
      </c>
      <c r="AQ4" s="19" cm="1">
        <f t="array" ref="AQ4">IFERROR(VLOOKUP($B4,FORECAST!$D$2:$O$25,7+AQ$75,FALSE)/30*7,AP4)</f>
        <v>0.70000000000000007</v>
      </c>
      <c r="AR4" s="19" cm="1">
        <f t="array" ref="AR4">IFERROR(VLOOKUP($B4,FORECAST!$D$2:$O$25,7+AR$75,FALSE)/30*7,AQ4)</f>
        <v>0.70000000000000007</v>
      </c>
      <c r="AS4" s="19" cm="1">
        <f t="array" ref="AS4">IFERROR(VLOOKUP($B4,FORECAST!$D$2:$O$25,7+AS$75,FALSE)/30*7,AR4)</f>
        <v>0.70000000000000007</v>
      </c>
      <c r="AT4" s="19" cm="1">
        <f t="array" ref="AT4">IFERROR(VLOOKUP($B4,FORECAST!$D$2:$O$25,7+AT$75,FALSE)/30*7,AS4)</f>
        <v>0.70000000000000007</v>
      </c>
      <c r="AU4" s="19" cm="1">
        <f t="array" ref="AU4">IFERROR(VLOOKUP($B4,FORECAST!$D$2:$O$25,7+AU$75,FALSE)/30*7,AT4)</f>
        <v>0.70000000000000007</v>
      </c>
      <c r="AV4" s="19" cm="1">
        <f t="array" ref="AV4">IFERROR(VLOOKUP($B4,FORECAST!$D$2:$O$25,7+AV$75,FALSE)/30*7,AU4)</f>
        <v>0.70000000000000007</v>
      </c>
      <c r="AW4" s="19" cm="1">
        <f t="array" ref="AW4">IFERROR(VLOOKUP($B4,FORECAST!$D$2:$O$25,7+AW$75,FALSE)/30*7,AV4)</f>
        <v>0.70000000000000007</v>
      </c>
      <c r="AX4" s="19" cm="1">
        <f t="array" ref="AX4">IFERROR(VLOOKUP($B4,FORECAST!$D$2:$O$25,7+AX$75,FALSE)/30*7,AW4)</f>
        <v>0.70000000000000007</v>
      </c>
      <c r="AY4" s="19" cm="1">
        <f t="array" ref="AY4">IFERROR(VLOOKUP($B4,FORECAST!$D$2:$O$25,7+AY$75,FALSE)/30*7,AX4)</f>
        <v>0.70000000000000007</v>
      </c>
      <c r="AZ4" s="19" cm="1">
        <f t="array" ref="AZ4">IFERROR(VLOOKUP($B4,FORECAST!$D$2:$O$25,7+AZ$75,FALSE)/30*7,AY4)</f>
        <v>0.70000000000000007</v>
      </c>
      <c r="BA4" s="19" cm="1">
        <f t="array" ref="BA4">IFERROR(VLOOKUP($B4,FORECAST!$D$2:$O$25,7+BA$75,FALSE)/30*7,AZ4)</f>
        <v>0.70000000000000007</v>
      </c>
      <c r="BB4" s="19" cm="1">
        <f t="array" ref="BB4">IFERROR(VLOOKUP($B4,FORECAST!$D$2:$O$25,7+BB$75,FALSE)/30*7,BA4)</f>
        <v>0.70000000000000007</v>
      </c>
      <c r="BC4" s="19" cm="1">
        <f t="array" ref="BC4">IFERROR(VLOOKUP($B4,FORECAST!$D$2:$O$25,7+BC$75,FALSE)/30*7,BB4)</f>
        <v>0.70000000000000007</v>
      </c>
      <c r="BD4" s="19" cm="1">
        <f t="array" ref="BD4">IFERROR(VLOOKUP($B4,FORECAST!$D$2:$O$25,7+BD$75,FALSE)/30*7,BC4)</f>
        <v>0.70000000000000007</v>
      </c>
      <c r="BE4" s="19" cm="1">
        <f t="array" ref="BE4">IFERROR(VLOOKUP($B4,FORECAST!$D$2:$O$25,7+BE$75,FALSE)/30*7,BD4)</f>
        <v>0.70000000000000007</v>
      </c>
      <c r="BF4" s="19" cm="1">
        <f t="array" ref="BF4">IFERROR(VLOOKUP($B4,FORECAST!$D$2:$O$25,7+BF$75,FALSE)/30*7,BE4)</f>
        <v>0.70000000000000007</v>
      </c>
      <c r="BG4" s="19" cm="1">
        <f t="array" ref="BG4">IFERROR(VLOOKUP($B4,FORECAST!$D$2:$O$25,7+BG$75,FALSE)/30*7,BF4)</f>
        <v>0.70000000000000007</v>
      </c>
      <c r="BH4" s="19" cm="1">
        <f t="array" ref="BH4">IFERROR(VLOOKUP($B4,FORECAST!$D$2:$O$25,7+BH$75,FALSE)/30*7,BG4)</f>
        <v>0.70000000000000007</v>
      </c>
      <c r="BI4" s="19" cm="1">
        <f t="array" ref="BI4">IFERROR(VLOOKUP($B4,FORECAST!$D$2:$O$25,7+BI$75,FALSE)/30*7,BH4)</f>
        <v>0.70000000000000007</v>
      </c>
      <c r="BJ4" s="19" cm="1">
        <f t="array" ref="BJ4">IFERROR(VLOOKUP($B4,FORECAST!$D$2:$O$25,7+BJ$75,FALSE)/30*7,BI4)</f>
        <v>0.70000000000000007</v>
      </c>
      <c r="BK4" s="19" cm="1">
        <f t="array" ref="BK4">IFERROR(VLOOKUP($B4,FORECAST!$D$2:$O$25,7+BK$75,FALSE)/30*7,BJ4)</f>
        <v>0.70000000000000007</v>
      </c>
      <c r="BL4" s="19" cm="1">
        <f t="array" ref="BL4">IFERROR(VLOOKUP($B4,FORECAST!$D$2:$O$25,7+BL$75,FALSE)/30*7,BK4)</f>
        <v>0.70000000000000007</v>
      </c>
      <c r="BM4" s="19" cm="1">
        <f t="array" ref="BM4">IFERROR(VLOOKUP($B4,FORECAST!$D$2:$O$25,7+BM$75,FALSE)/30*7,BL4)</f>
        <v>0.70000000000000007</v>
      </c>
      <c r="BN4" s="19" cm="1">
        <f t="array" ref="BN4">IFERROR(VLOOKUP($B4,FORECAST!$D$2:$O$25,7+BN$75,FALSE)/30*7,BM4)</f>
        <v>0.70000000000000007</v>
      </c>
      <c r="BO4" s="19" cm="1">
        <f t="array" ref="BO4">IFERROR(VLOOKUP($B4,FORECAST!$D$2:$O$25,7+BO$75,FALSE)/30*7,BN4)</f>
        <v>0.70000000000000007</v>
      </c>
      <c r="BP4" s="19" cm="1">
        <f t="array" ref="BP4">IFERROR(VLOOKUP($B4,FORECAST!$D$2:$O$25,7+BP$75,FALSE)/30*7,BO4)</f>
        <v>0.70000000000000007</v>
      </c>
      <c r="BQ4" s="19" cm="1">
        <f t="array" ref="BQ4">IFERROR(VLOOKUP($B4,FORECAST!$D$2:$O$25,7+BQ$75,FALSE)/30*7,BP4)</f>
        <v>0.70000000000000007</v>
      </c>
      <c r="BR4" s="19" cm="1">
        <f t="array" ref="BR4">IFERROR(VLOOKUP($B4,FORECAST!$D$2:$O$25,7+BR$75,FALSE)/30*7,BQ4)</f>
        <v>0.70000000000000007</v>
      </c>
      <c r="BS4" s="19" cm="1">
        <f t="array" ref="BS4">IFERROR(VLOOKUP($B4,FORECAST!$D$2:$O$25,7+BS$75,FALSE)/30*7,BR4)</f>
        <v>0.70000000000000007</v>
      </c>
      <c r="BT4" s="19" cm="1">
        <f t="array" ref="BT4">IFERROR(VLOOKUP($B4,FORECAST!$D$2:$O$25,7+BT$75,FALSE)/30*7,BS4)</f>
        <v>0.70000000000000007</v>
      </c>
      <c r="BU4" s="19" cm="1">
        <f t="array" ref="BU4">IFERROR(VLOOKUP($B4,FORECAST!$D$2:$O$25,7+BU$75,FALSE)/30*7,BT4)</f>
        <v>0.70000000000000007</v>
      </c>
      <c r="BV4" s="19" cm="1">
        <f t="array" ref="BV4">IFERROR(VLOOKUP($B4,FORECAST!$D$2:$O$25,7+BV$75,FALSE)/30*7,BU4)</f>
        <v>0.70000000000000007</v>
      </c>
      <c r="BW4" s="19" cm="1">
        <f t="array" ref="BW4">IFERROR(VLOOKUP($B4,FORECAST!$D$2:$O$25,7+BW$75,FALSE)/30*7,BV4)</f>
        <v>0.70000000000000007</v>
      </c>
      <c r="BX4" s="19" cm="1">
        <f t="array" ref="BX4">IFERROR(VLOOKUP($B4,FORECAST!$D$2:$O$25,7+BX$75,FALSE)/30*7,BW4)</f>
        <v>0.70000000000000007</v>
      </c>
      <c r="BY4" s="19" cm="1">
        <f t="array" ref="BY4">IFERROR(VLOOKUP($B4,FORECAST!$D$2:$O$25,7+BY$75,FALSE)/30*7,BX4)</f>
        <v>0.70000000000000007</v>
      </c>
      <c r="BZ4" s="19" cm="1">
        <f t="array" ref="BZ4">IFERROR(VLOOKUP($B4,FORECAST!$D$2:$O$25,7+BZ$75,FALSE)/30*7,BY4)</f>
        <v>0.70000000000000007</v>
      </c>
      <c r="CA4" s="19" cm="1">
        <f t="array" ref="CA4">IFERROR(VLOOKUP($B4,FORECAST!$D$2:$O$25,7+CA$75,FALSE)/30*7,BZ4)</f>
        <v>0.70000000000000007</v>
      </c>
      <c r="CB4" s="19" cm="1">
        <f t="array" ref="CB4">IFERROR(VLOOKUP($B4,FORECAST!$D$2:$O$25,7+CB$75,FALSE)/30*7,CA4)</f>
        <v>0.70000000000000007</v>
      </c>
      <c r="CC4" s="19" cm="1">
        <f t="array" ref="CC4">IFERROR(VLOOKUP($B4,FORECAST!$D$2:$O$25,7+CC$75,FALSE)/30*7,CB4)</f>
        <v>0.70000000000000007</v>
      </c>
      <c r="CD4" s="19" cm="1">
        <f t="array" ref="CD4">IFERROR(VLOOKUP($B4,FORECAST!$D$2:$O$25,7+CD$75,FALSE)/30*7,CC4)</f>
        <v>0.70000000000000007</v>
      </c>
      <c r="CE4" s="19" cm="1">
        <f t="array" ref="CE4">IFERROR(VLOOKUP($B4,FORECAST!$D$2:$O$25,7+CE$75,FALSE)/30*7,CD4)</f>
        <v>0.70000000000000007</v>
      </c>
      <c r="CF4" s="19" cm="1">
        <f t="array" ref="CF4">IFERROR(VLOOKUP($B4,FORECAST!$D$2:$O$25,7+CF$75,FALSE)/30*7,CE4)</f>
        <v>0.70000000000000007</v>
      </c>
      <c r="CG4" s="19" cm="1">
        <f t="array" ref="CG4">IFERROR(VLOOKUP($B4,FORECAST!$D$2:$O$25,7+CG$75,FALSE)/30*7,CF4)</f>
        <v>0.70000000000000007</v>
      </c>
      <c r="CH4" s="19" cm="1">
        <f t="array" ref="CH4">IFERROR(VLOOKUP($B4,FORECAST!$D$2:$O$25,7+CH$75,FALSE)/30*7,CG4)</f>
        <v>0.70000000000000007</v>
      </c>
      <c r="CI4" s="19" cm="1">
        <f t="array" ref="CI4">IFERROR(VLOOKUP($B4,FORECAST!$D$2:$O$25,7+CI$75,FALSE)/30*7,CH4)</f>
        <v>0.70000000000000007</v>
      </c>
      <c r="CJ4" s="19" cm="1">
        <f t="array" ref="CJ4">IFERROR(VLOOKUP($B4,FORECAST!$D$2:$O$25,7+CJ$75,FALSE)/30*7,CI4)</f>
        <v>0.70000000000000007</v>
      </c>
      <c r="CK4" s="19" cm="1">
        <f t="array" ref="CK4">IFERROR(VLOOKUP($B4,FORECAST!$D$2:$O$25,7+CK$75,FALSE)/30*7,CJ4)</f>
        <v>0.70000000000000007</v>
      </c>
      <c r="CL4" s="19" cm="1">
        <f t="array" ref="CL4">IFERROR(VLOOKUP($B4,FORECAST!$D$2:$O$25,7+CL$75,FALSE)/30*7,CK4)</f>
        <v>0.70000000000000007</v>
      </c>
      <c r="CM4" s="19" cm="1">
        <f t="array" ref="CM4">IFERROR(VLOOKUP($B4,FORECAST!$D$2:$O$25,7+CM$75,FALSE)/30*7,CL4)</f>
        <v>0.70000000000000007</v>
      </c>
      <c r="CN4" s="19" cm="1">
        <f t="array" ref="CN4">IFERROR(VLOOKUP($B4,FORECAST!$D$2:$O$25,7+CN$75,FALSE)/30*7,CM4)</f>
        <v>0.70000000000000007</v>
      </c>
      <c r="CO4" s="19" cm="1">
        <f t="array" ref="CO4">IFERROR(VLOOKUP($B4,FORECAST!$D$2:$O$25,7+CO$75,FALSE)/30*7,CN4)</f>
        <v>0.70000000000000007</v>
      </c>
      <c r="CP4" s="19" cm="1">
        <f t="array" ref="CP4">IFERROR(VLOOKUP($B4,FORECAST!$D$2:$O$25,7+CP$75,FALSE)/30*7,CO4)</f>
        <v>0.70000000000000007</v>
      </c>
      <c r="CQ4" s="19" cm="1">
        <f t="array" ref="CQ4">IFERROR(VLOOKUP($B4,FORECAST!$D$2:$O$25,7+CQ$75,FALSE)/30*7,CP4)</f>
        <v>0.70000000000000007</v>
      </c>
      <c r="CR4" s="19" cm="1">
        <f t="array" ref="CR4">IFERROR(VLOOKUP($B4,FORECAST!$D$2:$O$25,7+CR$75,FALSE)/30*7,CQ4)</f>
        <v>0.70000000000000007</v>
      </c>
      <c r="CS4" s="19" cm="1">
        <f t="array" ref="CS4">IFERROR(VLOOKUP($B4,FORECAST!$D$2:$O$25,7+CS$75,FALSE)/30*7,CR4)</f>
        <v>0.70000000000000007</v>
      </c>
      <c r="CT4" s="19" cm="1">
        <f t="array" ref="CT4">IFERROR(VLOOKUP($B4,FORECAST!$D$2:$O$25,7+CT$75,FALSE)/30*7,CS4)</f>
        <v>0.70000000000000007</v>
      </c>
      <c r="CU4" s="19" cm="1">
        <f t="array" ref="CU4">IFERROR(VLOOKUP($B4,FORECAST!$D$2:$O$25,7+CU$75,FALSE)/30*7,CT4)</f>
        <v>0.70000000000000007</v>
      </c>
      <c r="CV4" s="19" cm="1">
        <f t="array" ref="CV4">IFERROR(VLOOKUP($B4,FORECAST!$D$2:$O$25,7+CV$75,FALSE)/30*7,CU4)</f>
        <v>0.70000000000000007</v>
      </c>
      <c r="CW4" s="19" cm="1">
        <f t="array" ref="CW4">IFERROR(VLOOKUP($B4,FORECAST!$D$2:$O$25,7+CW$75,FALSE)/30*7,CV4)</f>
        <v>0.70000000000000007</v>
      </c>
      <c r="CX4" s="19" cm="1">
        <f t="array" ref="CX4">IFERROR(VLOOKUP($B4,FORECAST!$D$2:$O$25,7+CX$75,FALSE)/30*7,CW4)</f>
        <v>0.70000000000000007</v>
      </c>
      <c r="CY4" s="19" cm="1">
        <f t="array" ref="CY4">IFERROR(VLOOKUP($B4,FORECAST!$D$2:$O$25,7+CY$75,FALSE)/30*7,CX4)</f>
        <v>0.70000000000000007</v>
      </c>
      <c r="CZ4" s="19" cm="1">
        <f t="array" ref="CZ4">IFERROR(VLOOKUP($B4,FORECAST!$D$2:$O$25,7+CZ$75,FALSE)/30*7,CY4)</f>
        <v>0.70000000000000007</v>
      </c>
      <c r="DA4" s="19" cm="1">
        <f t="array" ref="DA4">IFERROR(VLOOKUP($B4,FORECAST!$D$2:$O$25,7+DA$75,FALSE)/30*7,CZ4)</f>
        <v>0.70000000000000007</v>
      </c>
      <c r="DB4" s="19" cm="1">
        <f t="array" ref="DB4">IFERROR(VLOOKUP($B4,FORECAST!$D$2:$O$25,7+DB$75,FALSE)/30*7,DA4)</f>
        <v>0.70000000000000007</v>
      </c>
      <c r="DC4" s="19" cm="1">
        <f t="array" ref="DC4">IFERROR(VLOOKUP($B4,FORECAST!$D$2:$O$25,7+DC$75,FALSE)/30*7,DB4)</f>
        <v>0.70000000000000007</v>
      </c>
      <c r="DD4" s="19" cm="1">
        <f t="array" ref="DD4">IFERROR(VLOOKUP($B4,FORECAST!$D$2:$O$25,7+DD$75,FALSE)/30*7,DC4)</f>
        <v>0.70000000000000007</v>
      </c>
      <c r="DE4" s="19" cm="1">
        <f t="array" ref="DE4">IFERROR(VLOOKUP($B4,FORECAST!$D$2:$O$25,7+DE$75,FALSE)/30*7,DD4)</f>
        <v>0.70000000000000007</v>
      </c>
      <c r="DF4" s="19" cm="1">
        <f t="array" ref="DF4">IFERROR(VLOOKUP($B4,FORECAST!$D$2:$O$25,7+DF$75,FALSE)/30*7,DE4)</f>
        <v>0.70000000000000007</v>
      </c>
      <c r="DG4" s="19" cm="1">
        <f t="array" ref="DG4">IFERROR(VLOOKUP($B4,FORECAST!$D$2:$O$25,7+DG$75,FALSE)/30*7,DF4)</f>
        <v>0.70000000000000007</v>
      </c>
      <c r="DH4" s="19" cm="1">
        <f t="array" ref="DH4">IFERROR(VLOOKUP($B4,FORECAST!$D$2:$O$25,7+DH$75,FALSE)/30*7,DG4)</f>
        <v>0.70000000000000007</v>
      </c>
      <c r="DI4" s="19" cm="1">
        <f t="array" ref="DI4">IFERROR(VLOOKUP($B4,FORECAST!$D$2:$O$25,7+DI$75,FALSE)/30*7,DH4)</f>
        <v>0.70000000000000007</v>
      </c>
      <c r="DJ4" s="19" cm="1">
        <f t="array" ref="DJ4">IFERROR(VLOOKUP($B4,FORECAST!$D$2:$O$25,7+DJ$75,FALSE)/30*7,DI4)</f>
        <v>0.70000000000000007</v>
      </c>
      <c r="DK4" s="19" cm="1">
        <f t="array" ref="DK4">IFERROR(VLOOKUP($B4,FORECAST!$D$2:$O$25,7+DK$75,FALSE)/30*7,DJ4)</f>
        <v>0.70000000000000007</v>
      </c>
      <c r="DL4" s="19" cm="1">
        <f t="array" ref="DL4">IFERROR(VLOOKUP($B4,FORECAST!$D$2:$O$25,7+DL$75,FALSE)/30*7,DK4)</f>
        <v>0.70000000000000007</v>
      </c>
      <c r="DM4" s="19" cm="1">
        <f t="array" ref="DM4">IFERROR(VLOOKUP($B4,FORECAST!$D$2:$O$25,7+DM$75,FALSE)/30*7,DL4)</f>
        <v>0.70000000000000007</v>
      </c>
      <c r="DN4" s="19" cm="1">
        <f t="array" ref="DN4">IFERROR(VLOOKUP($B4,FORECAST!$D$2:$O$25,7+DN$75,FALSE)/30*7,DM4)</f>
        <v>0.70000000000000007</v>
      </c>
      <c r="DO4" s="19" cm="1">
        <f t="array" ref="DO4">IFERROR(VLOOKUP($B4,FORECAST!$D$2:$O$25,7+DO$75,FALSE)/30*7,DN4)</f>
        <v>0.70000000000000007</v>
      </c>
      <c r="DP4" s="19" cm="1">
        <f t="array" ref="DP4">IFERROR(VLOOKUP($B4,FORECAST!$D$2:$O$25,7+DP$75,FALSE)/30*7,DO4)</f>
        <v>0.70000000000000007</v>
      </c>
      <c r="DQ4" s="19" cm="1">
        <f t="array" ref="DQ4">IFERROR(VLOOKUP($B4,FORECAST!$D$2:$O$25,7+DQ$75,FALSE)/30*7,DP4)</f>
        <v>0.70000000000000007</v>
      </c>
      <c r="DR4" s="19" cm="1">
        <f t="array" ref="DR4">IFERROR(VLOOKUP($B4,FORECAST!$D$2:$O$25,7+DR$75,FALSE)/30*7,DQ4)</f>
        <v>0.70000000000000007</v>
      </c>
      <c r="DS4" s="19" cm="1">
        <f t="array" ref="DS4">IFERROR(VLOOKUP($B4,FORECAST!$D$2:$O$25,7+DS$75,FALSE)/30*7,DR4)</f>
        <v>0.70000000000000007</v>
      </c>
      <c r="DT4" s="19" cm="1">
        <f t="array" ref="DT4">IFERROR(VLOOKUP($B4,FORECAST!$D$2:$O$25,7+DT$75,FALSE)/30*7,DS4)</f>
        <v>0.70000000000000007</v>
      </c>
      <c r="DU4" s="19" cm="1">
        <f t="array" ref="DU4">IFERROR(VLOOKUP($B4,FORECAST!$D$2:$O$25,7+DU$75,FALSE)/30*7,DT4)</f>
        <v>0.70000000000000007</v>
      </c>
      <c r="DV4" s="19" cm="1">
        <f t="array" ref="DV4">IFERROR(VLOOKUP($B4,FORECAST!$D$2:$O$25,7+DV$75,FALSE)/30*7,DU4)</f>
        <v>0.70000000000000007</v>
      </c>
      <c r="DW4" s="19" cm="1">
        <f t="array" ref="DW4">IFERROR(VLOOKUP($B4,FORECAST!$D$2:$O$25,7+DW$75,FALSE)/30*7,DV4)</f>
        <v>0.70000000000000007</v>
      </c>
    </row>
    <row r="5" spans="1:127" outlineLevel="1" x14ac:dyDescent="0.3">
      <c r="A5" s="96" t="str">
        <f t="shared" si="66"/>
        <v>106022341Production Week</v>
      </c>
      <c r="B5" s="20">
        <f t="shared" si="67"/>
        <v>106022341</v>
      </c>
      <c r="C5" s="20" t="str">
        <f t="shared" si="68"/>
        <v>L 1 1/2X1 1/2X.155 A529-50 40'00"</v>
      </c>
      <c r="D5" s="20">
        <f t="shared" si="69"/>
        <v>1321</v>
      </c>
      <c r="E5" s="20" t="str">
        <f t="shared" si="70"/>
        <v>1-1/2" ANG</v>
      </c>
      <c r="F5" s="4" t="s">
        <v>206</v>
      </c>
      <c r="H5" s="1" t="str">
        <f>IF(IFERROR(VLOOKUP(CONCATENATE($D5,$E5,H$1),'ROLLING SCHED'!$A:$A,1,FALSE),"x")&lt;&gt;"x","x",IF(IFERROR(VLOOKUP(CONCATENATE($D5,$E5,H$1+7),'ROLLING SCHED'!$A:$A,1,FALSE),"y")&lt;&gt;"y","y",""))</f>
        <v/>
      </c>
      <c r="I5" s="1" t="str">
        <f>IF(IFERROR(VLOOKUP(CONCATENATE($D5,$E5,I$1),'ROLLING SCHED'!$A:$A,1,FALSE),"x")&lt;&gt;"x","x",IF(IFERROR(VLOOKUP(CONCATENATE($D5,$E5,I$1+7),'ROLLING SCHED'!$A:$A,1,FALSE),"y")&lt;&gt;"y","y",""))</f>
        <v/>
      </c>
      <c r="J5" s="1" t="str">
        <f>IF(IFERROR(VLOOKUP(CONCATENATE($D5,$E5,J$1),'ROLLING SCHED'!$A:$A,1,FALSE),"x")&lt;&gt;"x","x",IF(IFERROR(VLOOKUP(CONCATENATE($D5,$E5,J$1+7),'ROLLING SCHED'!$A:$A,1,FALSE),"y")&lt;&gt;"y","y",""))</f>
        <v/>
      </c>
      <c r="K5" s="112" t="str">
        <f>IF(IFERROR(VLOOKUP(CONCATENATE($D5,$E5,K$1),'ROLLING SCHED'!$A:$A,1,FALSE),"x")&lt;&gt;"x","x",IF(IFERROR(VLOOKUP(CONCATENATE($D5,$E5,K$1+7),'ROLLING SCHED'!$A:$A,1,FALSE),"y")&lt;&gt;"y","y",""))</f>
        <v/>
      </c>
      <c r="L5" s="112" t="str">
        <f>IF(IFERROR(VLOOKUP(CONCATENATE($D5,$E5,L$1),'ROLLING SCHED'!$A:$A,1,FALSE),"x")&lt;&gt;"x","x",IF(IFERROR(VLOOKUP(CONCATENATE($D5,$E5,L$1+7),'ROLLING SCHED'!$A:$A,1,FALSE),"y")&lt;&gt;"y","y",""))</f>
        <v/>
      </c>
      <c r="M5" s="112" t="str">
        <f>IF(IFERROR(VLOOKUP(CONCATENATE($D5,$E5,M$1),'ROLLING SCHED'!$A:$A,1,FALSE),"x")&lt;&gt;"x","x",IF(IFERROR(VLOOKUP(CONCATENATE($D5,$E5,M$1+7),'ROLLING SCHED'!$A:$A,1,FALSE),"y")&lt;&gt;"y","y",""))</f>
        <v/>
      </c>
      <c r="N5" s="112" t="str">
        <f>IF(IFERROR(VLOOKUP(CONCATENATE($D5,$E5,N$1),'ROLLING SCHED'!$A:$A,1,FALSE),"x")&lt;&gt;"x","x",IF(IFERROR(VLOOKUP(CONCATENATE($D5,$E5,N$1+7),'ROLLING SCHED'!$A:$A,1,FALSE),"y")&lt;&gt;"y","y",""))</f>
        <v/>
      </c>
      <c r="O5" s="112" t="str">
        <f>IF(IFERROR(VLOOKUP(CONCATENATE($D5,$E5,O$1),'ROLLING SCHED'!$A:$A,1,FALSE),"x")&lt;&gt;"x","x",IF(IFERROR(VLOOKUP(CONCATENATE($D5,$E5,O$1+7),'ROLLING SCHED'!$A:$A,1,FALSE),"y")&lt;&gt;"y","y",""))</f>
        <v/>
      </c>
      <c r="P5" s="112" t="str">
        <f>IF(IFERROR(VLOOKUP(CONCATENATE($D5,$E5,P$1),'ROLLING SCHED'!$A:$A,1,FALSE),"x")&lt;&gt;"x","x",IF(IFERROR(VLOOKUP(CONCATENATE($D5,$E5,P$1+7),'ROLLING SCHED'!$A:$A,1,FALSE),"y")&lt;&gt;"y","y",""))</f>
        <v/>
      </c>
      <c r="Q5" s="112" t="str">
        <f>IF(IFERROR(VLOOKUP(CONCATENATE($D5,$E5,Q$1),'ROLLING SCHED'!$A:$A,1,FALSE),"x")&lt;&gt;"x","x",IF(IFERROR(VLOOKUP(CONCATENATE($D5,$E5,Q$1+7),'ROLLING SCHED'!$A:$A,1,FALSE),"y")&lt;&gt;"y","y",""))</f>
        <v/>
      </c>
      <c r="R5" s="112" t="str">
        <f>IF(IFERROR(VLOOKUP(CONCATENATE($D5,$E5,R$1),'ROLLING SCHED'!$A:$A,1,FALSE),"x")&lt;&gt;"x","x",IF(IFERROR(VLOOKUP(CONCATENATE($D5,$E5,R$1+7),'ROLLING SCHED'!$A:$A,1,FALSE),"y")&lt;&gt;"y","y",""))</f>
        <v>y</v>
      </c>
      <c r="S5" s="9" t="str">
        <f>IF(IFERROR(VLOOKUP(CONCATENATE($D5,$E5,S$1),'ROLLING SCHED'!$A:$A,1,FALSE),"x")&lt;&gt;"x","x",IF(IFERROR(VLOOKUP(CONCATENATE($D5,$E5,S$1+7),'ROLLING SCHED'!$A:$A,1,FALSE),"y")&lt;&gt;"y","y",""))</f>
        <v>x</v>
      </c>
      <c r="T5" s="9" t="str">
        <f>IF(IFERROR(VLOOKUP(CONCATENATE($D5,$E5,T$1),'ROLLING SCHED'!$A:$A,1,FALSE),"x")&lt;&gt;"x","x",IF(IFERROR(VLOOKUP(CONCATENATE($D5,$E5,T$1+7),'ROLLING SCHED'!$A:$A,1,FALSE),"y")&lt;&gt;"y","y",""))</f>
        <v/>
      </c>
      <c r="U5" s="9" t="str">
        <f>IF(IFERROR(VLOOKUP(CONCATENATE($D5,$E5,U$1),'ROLLING SCHED'!$A:$A,1,FALSE),"x")&lt;&gt;"x","x",IF(IFERROR(VLOOKUP(CONCATENATE($D5,$E5,U$1+7),'ROLLING SCHED'!$A:$A,1,FALSE),"y")&lt;&gt;"y","y",""))</f>
        <v/>
      </c>
      <c r="V5" s="9" t="str">
        <f>IF(IFERROR(VLOOKUP(CONCATENATE($D5,$E5,V$1),'ROLLING SCHED'!$A:$A,1,FALSE),"x")&lt;&gt;"x","x",IF(IFERROR(VLOOKUP(CONCATENATE($D5,$E5,V$1+7),'ROLLING SCHED'!$A:$A,1,FALSE),"y")&lt;&gt;"y","y",""))</f>
        <v/>
      </c>
      <c r="W5" s="9" t="str">
        <f>IF(IFERROR(VLOOKUP(CONCATENATE($D5,$E5,W$1),'ROLLING SCHED'!$A:$A,1,FALSE),"x")&lt;&gt;"x","x",IF(IFERROR(VLOOKUP(CONCATENATE($D5,$E5,W$1+7),'ROLLING SCHED'!$A:$A,1,FALSE),"y")&lt;&gt;"y","y",""))</f>
        <v/>
      </c>
      <c r="X5" s="9" t="str">
        <f>IF(IFERROR(VLOOKUP(CONCATENATE($D5,$E5,X$1),'ROLLING SCHED'!$A:$A,1,FALSE),"x")&lt;&gt;"x","x",IF(IFERROR(VLOOKUP(CONCATENATE($D5,$E5,X$1+7),'ROLLING SCHED'!$A:$A,1,FALSE),"y")&lt;&gt;"y","y",""))</f>
        <v/>
      </c>
      <c r="Y5" s="9" t="str">
        <f>IF(IFERROR(VLOOKUP(CONCATENATE($D5,$E5,Y$1),'ROLLING SCHED'!$A:$A,1,FALSE),"x")&lt;&gt;"x","x",IF(IFERROR(VLOOKUP(CONCATENATE($D5,$E5,Y$1+7),'ROLLING SCHED'!$A:$A,1,FALSE),"y")&lt;&gt;"y","y",""))</f>
        <v/>
      </c>
      <c r="Z5" s="9" t="str">
        <f>IF(IFERROR(VLOOKUP(CONCATENATE($D5,$E5,Z$1),'ROLLING SCHED'!$A:$A,1,FALSE),"x")&lt;&gt;"x","x",IF(IFERROR(VLOOKUP(CONCATENATE($D5,$E5,Z$1+7),'ROLLING SCHED'!$A:$A,1,FALSE),"y")&lt;&gt;"y","y",""))</f>
        <v/>
      </c>
      <c r="AA5" s="9" t="str">
        <f>IF(IFERROR(VLOOKUP(CONCATENATE($D5,$E5,AA$1),'ROLLING SCHED'!$A:$A,1,FALSE),"x")&lt;&gt;"x","x",IF(IFERROR(VLOOKUP(CONCATENATE($D5,$E5,AA$1+7),'ROLLING SCHED'!$A:$A,1,FALSE),"y")&lt;&gt;"y","y",""))</f>
        <v>y</v>
      </c>
      <c r="AB5" s="1" t="str">
        <f>IF(IFERROR(VLOOKUP(CONCATENATE($D5,$E5,AB$1),'ROLLING SCHED'!$A:$A,1,FALSE),"x")&lt;&gt;"x","x",IF(IFERROR(VLOOKUP(CONCATENATE($D5,$E5,AB$1+7),'ROLLING SCHED'!$A:$A,1,FALSE),"y")&lt;&gt;"y","y",""))</f>
        <v>x</v>
      </c>
      <c r="AC5" s="1" t="str">
        <f>IF(IFERROR(VLOOKUP(CONCATENATE($D5,$E5,AC$1),'ROLLING SCHED'!$A:$A,1,FALSE),"x")&lt;&gt;"x","x",IF(IFERROR(VLOOKUP(CONCATENATE($D5,$E5,AC$1+7),'ROLLING SCHED'!$A:$A,1,FALSE),"y")&lt;&gt;"y","y",""))</f>
        <v/>
      </c>
      <c r="AD5" s="1" t="str">
        <f>IF(IFERROR(VLOOKUP(CONCATENATE($D5,$E5,AD$1),'ROLLING SCHED'!$A:$A,1,FALSE),"x")&lt;&gt;"x","x",IF(IFERROR(VLOOKUP(CONCATENATE($D5,$E5,AD$1+7),'ROLLING SCHED'!$A:$A,1,FALSE),"y")&lt;&gt;"y","y",""))</f>
        <v/>
      </c>
      <c r="AE5" s="1" t="str">
        <f>IF(IFERROR(VLOOKUP(CONCATENATE($D5,$E5,AE$1),'ROLLING SCHED'!$A:$A,1,FALSE),"x")&lt;&gt;"x","x",IF(IFERROR(VLOOKUP(CONCATENATE($D5,$E5,AE$1+7),'ROLLING SCHED'!$A:$A,1,FALSE),"y")&lt;&gt;"y","y",""))</f>
        <v/>
      </c>
      <c r="AF5" s="1" t="str">
        <f>IF(IFERROR(VLOOKUP(CONCATENATE($D5,$E5,AF$1),'ROLLING SCHED'!$A:$A,1,FALSE),"x")&lt;&gt;"x","x",IF(IFERROR(VLOOKUP(CONCATENATE($D5,$E5,AF$1+7),'ROLLING SCHED'!$A:$A,1,FALSE),"y")&lt;&gt;"y","y",""))</f>
        <v/>
      </c>
      <c r="AG5" s="1" t="str">
        <f>IF(IFERROR(VLOOKUP(CONCATENATE($D5,$E5,AG$1),'ROLLING SCHED'!$A:$A,1,FALSE),"x")&lt;&gt;"x","x",IF(IFERROR(VLOOKUP(CONCATENATE($D5,$E5,AG$1+7),'ROLLING SCHED'!$A:$A,1,FALSE),"y")&lt;&gt;"y","y",""))</f>
        <v/>
      </c>
      <c r="AH5" s="1" t="str">
        <f>IF(IFERROR(VLOOKUP(CONCATENATE($D5,$E5,AH$1),'ROLLING SCHED'!$A:$A,1,FALSE),"x")&lt;&gt;"x","x",IF(IFERROR(VLOOKUP(CONCATENATE($D5,$E5,AH$1+7),'ROLLING SCHED'!$A:$A,1,FALSE),"y")&lt;&gt;"y","y",""))</f>
        <v/>
      </c>
      <c r="AI5" s="1" t="str">
        <f>IF(IFERROR(VLOOKUP(CONCATENATE($D5,$E5,AI$1),'ROLLING SCHED'!$A:$A,1,FALSE),"x")&lt;&gt;"x","x",IF(IFERROR(VLOOKUP(CONCATENATE($D5,$E5,AI$1+7),'ROLLING SCHED'!$A:$A,1,FALSE),"y")&lt;&gt;"y","y",""))</f>
        <v/>
      </c>
      <c r="AJ5" s="1" t="str">
        <f>IF(IFERROR(VLOOKUP(CONCATENATE($D5,$E5,AJ$1),'ROLLING SCHED'!$A:$A,1,FALSE),"x")&lt;&gt;"x","x",IF(IFERROR(VLOOKUP(CONCATENATE($D5,$E5,AJ$1+7),'ROLLING SCHED'!$A:$A,1,FALSE),"y")&lt;&gt;"y","y",""))</f>
        <v>y</v>
      </c>
      <c r="AK5" s="1" t="str">
        <f>IF(IFERROR(VLOOKUP(CONCATENATE($D5,$E5,AK$1),'ROLLING SCHED'!$A:$A,1,FALSE),"x")&lt;&gt;"x","x",IF(IFERROR(VLOOKUP(CONCATENATE($D5,$E5,AK$1+7),'ROLLING SCHED'!$A:$A,1,FALSE),"y")&lt;&gt;"y","y",""))</f>
        <v>x</v>
      </c>
      <c r="AL5" s="1" t="str">
        <f>IF(IFERROR(VLOOKUP(CONCATENATE($D5,$E5,AL$1),'ROLLING SCHED'!$A:$A,1,FALSE),"x")&lt;&gt;"x","x",IF(IFERROR(VLOOKUP(CONCATENATE($D5,$E5,AL$1+7),'ROLLING SCHED'!$A:$A,1,FALSE),"y")&lt;&gt;"y","y",""))</f>
        <v/>
      </c>
      <c r="AM5" s="1" t="str">
        <f>IF(IFERROR(VLOOKUP(CONCATENATE($D5,$E5,AM$1),'ROLLING SCHED'!$A:$A,1,FALSE),"x")&lt;&gt;"x","x",IF(IFERROR(VLOOKUP(CONCATENATE($D5,$E5,AM$1+7),'ROLLING SCHED'!$A:$A,1,FALSE),"y")&lt;&gt;"y","y",""))</f>
        <v/>
      </c>
      <c r="AN5" s="1" t="str">
        <f>IF(IFERROR(VLOOKUP(CONCATENATE($D5,$E5,AN$1),'ROLLING SCHED'!$A:$A,1,FALSE),"x")&lt;&gt;"x","x",IF(IFERROR(VLOOKUP(CONCATENATE($D5,$E5,AN$1+7),'ROLLING SCHED'!$A:$A,1,FALSE),"y")&lt;&gt;"y","y",""))</f>
        <v/>
      </c>
      <c r="AO5" s="1" t="str">
        <f>IF(IFERROR(VLOOKUP(CONCATENATE($D5,$E5,AO$1),'ROLLING SCHED'!$A:$A,1,FALSE),"x")&lt;&gt;"x","x",IF(IFERROR(VLOOKUP(CONCATENATE($D5,$E5,AO$1+7),'ROLLING SCHED'!$A:$A,1,FALSE),"y")&lt;&gt;"y","y",""))</f>
        <v/>
      </c>
      <c r="AP5" s="1" t="str">
        <f>IF(IFERROR(VLOOKUP(CONCATENATE($D5,$E5,AP$1),'ROLLING SCHED'!$A:$A,1,FALSE),"x")&lt;&gt;"x","x",IF(IFERROR(VLOOKUP(CONCATENATE($D5,$E5,AP$1+7),'ROLLING SCHED'!$A:$A,1,FALSE),"y")&lt;&gt;"y","y",""))</f>
        <v/>
      </c>
      <c r="AQ5" s="1" t="str">
        <f>IF(IFERROR(VLOOKUP(CONCATENATE($D5,$E5,AQ$1),'ROLLING SCHED'!$A:$A,1,FALSE),"x")&lt;&gt;"x","x",IF(IFERROR(VLOOKUP(CONCATENATE($D5,$E5,AQ$1+7),'ROLLING SCHED'!$A:$A,1,FALSE),"y")&lt;&gt;"y","y",""))</f>
        <v/>
      </c>
      <c r="AR5" s="1" t="str">
        <f>IF(IFERROR(VLOOKUP(CONCATENATE($D5,$E5,AR$1),'ROLLING SCHED'!$A:$A,1,FALSE),"x")&lt;&gt;"x","x",IF(IFERROR(VLOOKUP(CONCATENATE($D5,$E5,AR$1+7),'ROLLING SCHED'!$A:$A,1,FALSE),"y")&lt;&gt;"y","y",""))</f>
        <v/>
      </c>
      <c r="AS5" s="1" t="str">
        <f>IF(IFERROR(VLOOKUP(CONCATENATE($D5,$E5,AS$1),'ROLLING SCHED'!$A:$A,1,FALSE),"x")&lt;&gt;"x","x",IF(IFERROR(VLOOKUP(CONCATENATE($D5,$E5,AS$1+7),'ROLLING SCHED'!$A:$A,1,FALSE),"y")&lt;&gt;"y","y",""))</f>
        <v>y</v>
      </c>
      <c r="AT5" s="1" t="str">
        <f>IF(IFERROR(VLOOKUP(CONCATENATE($D5,$E5,AT$1),'ROLLING SCHED'!$A:$A,1,FALSE),"x")&lt;&gt;"x","x",IF(IFERROR(VLOOKUP(CONCATENATE($D5,$E5,AT$1+7),'ROLLING SCHED'!$A:$A,1,FALSE),"y")&lt;&gt;"y","y",""))</f>
        <v>x</v>
      </c>
      <c r="AU5" s="1" t="str">
        <f>IF(IFERROR(VLOOKUP(CONCATENATE($D5,$E5,AU$1),'ROLLING SCHED'!$A:$A,1,FALSE),"x")&lt;&gt;"x","x",IF(IFERROR(VLOOKUP(CONCATENATE($D5,$E5,AU$1+7),'ROLLING SCHED'!$A:$A,1,FALSE),"y")&lt;&gt;"y","y",""))</f>
        <v/>
      </c>
      <c r="AV5" s="1" t="str">
        <f>IF(IFERROR(VLOOKUP(CONCATENATE($D5,$E5,AV$1),'ROLLING SCHED'!$A:$A,1,FALSE),"x")&lt;&gt;"x","x",IF(IFERROR(VLOOKUP(CONCATENATE($D5,$E5,AV$1+7),'ROLLING SCHED'!$A:$A,1,FALSE),"y")&lt;&gt;"y","y",""))</f>
        <v/>
      </c>
      <c r="AW5" s="1" t="str">
        <f>IF(IFERROR(VLOOKUP(CONCATENATE($D5,$E5,AW$1),'ROLLING SCHED'!$A:$A,1,FALSE),"x")&lt;&gt;"x","x",IF(IFERROR(VLOOKUP(CONCATENATE($D5,$E5,AW$1+7),'ROLLING SCHED'!$A:$A,1,FALSE),"y")&lt;&gt;"y","y",""))</f>
        <v/>
      </c>
      <c r="AX5" s="1" t="str">
        <f>IF(IFERROR(VLOOKUP(CONCATENATE($D5,$E5,AX$1),'ROLLING SCHED'!$A:$A,1,FALSE),"x")&lt;&gt;"x","x",IF(IFERROR(VLOOKUP(CONCATENATE($D5,$E5,AX$1+7),'ROLLING SCHED'!$A:$A,1,FALSE),"y")&lt;&gt;"y","y",""))</f>
        <v/>
      </c>
      <c r="AY5" s="1" t="str">
        <f>IF(IFERROR(VLOOKUP(CONCATENATE($D5,$E5,AY$1),'ROLLING SCHED'!$A:$A,1,FALSE),"x")&lt;&gt;"x","x",IF(IFERROR(VLOOKUP(CONCATENATE($D5,$E5,AY$1+7),'ROLLING SCHED'!$A:$A,1,FALSE),"y")&lt;&gt;"y","y",""))</f>
        <v/>
      </c>
      <c r="AZ5" s="1" t="str">
        <f>IF(IFERROR(VLOOKUP(CONCATENATE($D5,$E5,AZ$1),'ROLLING SCHED'!$A:$A,1,FALSE),"x")&lt;&gt;"x","x",IF(IFERROR(VLOOKUP(CONCATENATE($D5,$E5,AZ$1+7),'ROLLING SCHED'!$A:$A,1,FALSE),"y")&lt;&gt;"y","y",""))</f>
        <v/>
      </c>
      <c r="BA5" s="1" t="str">
        <f>IF(IFERROR(VLOOKUP(CONCATENATE($D5,$E5,BA$1),'ROLLING SCHED'!$A:$A,1,FALSE),"x")&lt;&gt;"x","x",IF(IFERROR(VLOOKUP(CONCATENATE($D5,$E5,BA$1+7),'ROLLING SCHED'!$A:$A,1,FALSE),"y")&lt;&gt;"y","y",""))</f>
        <v/>
      </c>
      <c r="BB5" s="1" t="str">
        <f>IF(IFERROR(VLOOKUP(CONCATENATE($D5,$E5,BB$1),'ROLLING SCHED'!$A:$A,1,FALSE),"x")&lt;&gt;"x","x",IF(IFERROR(VLOOKUP(CONCATENATE($D5,$E5,BB$1+7),'ROLLING SCHED'!$A:$A,1,FALSE),"y")&lt;&gt;"y","y",""))</f>
        <v/>
      </c>
      <c r="BC5" s="1" t="str">
        <f>IF(IFERROR(VLOOKUP(CONCATENATE($D5,$E5,BC$1),'ROLLING SCHED'!$A:$A,1,FALSE),"x")&lt;&gt;"x","x",IF(IFERROR(VLOOKUP(CONCATENATE($D5,$E5,BC$1+7),'ROLLING SCHED'!$A:$A,1,FALSE),"y")&lt;&gt;"y","y",""))</f>
        <v/>
      </c>
      <c r="BD5" s="1" t="str">
        <f>IF(IFERROR(VLOOKUP(CONCATENATE($D5,$E5,BD$1),'ROLLING SCHED'!$A:$A,1,FALSE),"x")&lt;&gt;"x","x",IF(IFERROR(VLOOKUP(CONCATENATE($D5,$E5,BD$1+7),'ROLLING SCHED'!$A:$A,1,FALSE),"y")&lt;&gt;"y","y",""))</f>
        <v/>
      </c>
      <c r="BE5" s="1" t="str">
        <f>IF(IFERROR(VLOOKUP(CONCATENATE($D5,$E5,BE$1),'ROLLING SCHED'!$A:$A,1,FALSE),"x")&lt;&gt;"x","x",IF(IFERROR(VLOOKUP(CONCATENATE($D5,$E5,BE$1+7),'ROLLING SCHED'!$A:$A,1,FALSE),"y")&lt;&gt;"y","y",""))</f>
        <v/>
      </c>
      <c r="BF5" s="1" t="str">
        <f>IF(IFERROR(VLOOKUP(CONCATENATE($D5,$E5,BF$1),'ROLLING SCHED'!$A:$A,1,FALSE),"x")&lt;&gt;"x","x",IF(IFERROR(VLOOKUP(CONCATENATE($D5,$E5,BF$1+7),'ROLLING SCHED'!$A:$A,1,FALSE),"y")&lt;&gt;"y","y",""))</f>
        <v/>
      </c>
      <c r="BG5" s="1" t="str">
        <f>IF(IFERROR(VLOOKUP(CONCATENATE($D5,$E5,BG$1),'ROLLING SCHED'!$A:$A,1,FALSE),"x")&lt;&gt;"x","x",IF(IFERROR(VLOOKUP(CONCATENATE($D5,$E5,BG$1+7),'ROLLING SCHED'!$A:$A,1,FALSE),"y")&lt;&gt;"y","y",""))</f>
        <v/>
      </c>
      <c r="BH5" s="1" t="str">
        <f>IF(IFERROR(VLOOKUP(CONCATENATE($D5,$E5,BH$1),'ROLLING SCHED'!$A:$A,1,FALSE),"x")&lt;&gt;"x","x",IF(IFERROR(VLOOKUP(CONCATENATE($D5,$E5,BH$1+7),'ROLLING SCHED'!$A:$A,1,FALSE),"y")&lt;&gt;"y","y",""))</f>
        <v/>
      </c>
      <c r="BI5" s="1" t="str">
        <f>IF(IFERROR(VLOOKUP(CONCATENATE($D5,$E5,BI$1),'ROLLING SCHED'!$A:$A,1,FALSE),"x")&lt;&gt;"x","x",IF(IFERROR(VLOOKUP(CONCATENATE($D5,$E5,BI$1+7),'ROLLING SCHED'!$A:$A,1,FALSE),"y")&lt;&gt;"y","y",""))</f>
        <v/>
      </c>
      <c r="BJ5" s="1" t="str">
        <f>IF(IFERROR(VLOOKUP(CONCATENATE($D5,$E5,BJ$1),'ROLLING SCHED'!$A:$A,1,FALSE),"x")&lt;&gt;"x","x",IF(IFERROR(VLOOKUP(CONCATENATE($D5,$E5,BJ$1+7),'ROLLING SCHED'!$A:$A,1,FALSE),"y")&lt;&gt;"y","y",""))</f>
        <v/>
      </c>
      <c r="BK5" s="1" t="str">
        <f>IF(IFERROR(VLOOKUP(CONCATENATE($D5,$E5,BK$1),'ROLLING SCHED'!$A:$A,1,FALSE),"x")&lt;&gt;"x","x",IF(IFERROR(VLOOKUP(CONCATENATE($D5,$E5,BK$1+7),'ROLLING SCHED'!$A:$A,1,FALSE),"y")&lt;&gt;"y","y",""))</f>
        <v/>
      </c>
      <c r="BL5" s="1" t="str">
        <f>IF(IFERROR(VLOOKUP(CONCATENATE($D5,$E5,BL$1),'ROLLING SCHED'!$A:$A,1,FALSE),"x")&lt;&gt;"x","x",IF(IFERROR(VLOOKUP(CONCATENATE($D5,$E5,BL$1+7),'ROLLING SCHED'!$A:$A,1,FALSE),"y")&lt;&gt;"y","y",""))</f>
        <v/>
      </c>
      <c r="BM5" s="1" t="str">
        <f>IF(IFERROR(VLOOKUP(CONCATENATE($D5,$E5,BM$1),'ROLLING SCHED'!$A:$A,1,FALSE),"x")&lt;&gt;"x","x",IF(IFERROR(VLOOKUP(CONCATENATE($D5,$E5,BM$1+7),'ROLLING SCHED'!$A:$A,1,FALSE),"y")&lt;&gt;"y","y",""))</f>
        <v/>
      </c>
      <c r="BN5" s="1" t="str">
        <f>IF(IFERROR(VLOOKUP(CONCATENATE($D5,$E5,BN$1),'ROLLING SCHED'!$A:$A,1,FALSE),"x")&lt;&gt;"x","x",IF(IFERROR(VLOOKUP(CONCATENATE($D5,$E5,BN$1+7),'ROLLING SCHED'!$A:$A,1,FALSE),"y")&lt;&gt;"y","y",""))</f>
        <v/>
      </c>
      <c r="BO5" s="1" t="str">
        <f>IF(IFERROR(VLOOKUP(CONCATENATE($D5,$E5,BO$1),'ROLLING SCHED'!$A:$A,1,FALSE),"x")&lt;&gt;"x","x",IF(IFERROR(VLOOKUP(CONCATENATE($D5,$E5,BO$1+7),'ROLLING SCHED'!$A:$A,1,FALSE),"y")&lt;&gt;"y","y",""))</f>
        <v/>
      </c>
      <c r="BP5" s="1" t="str">
        <f>IF(IFERROR(VLOOKUP(CONCATENATE($D5,$E5,BP$1),'ROLLING SCHED'!$A:$A,1,FALSE),"x")&lt;&gt;"x","x",IF(IFERROR(VLOOKUP(CONCATENATE($D5,$E5,BP$1+7),'ROLLING SCHED'!$A:$A,1,FALSE),"y")&lt;&gt;"y","y",""))</f>
        <v/>
      </c>
      <c r="BQ5" s="1" t="str">
        <f>IF(IFERROR(VLOOKUP(CONCATENATE($D5,$E5,BQ$1),'ROLLING SCHED'!$A:$A,1,FALSE),"x")&lt;&gt;"x","x",IF(IFERROR(VLOOKUP(CONCATENATE($D5,$E5,BQ$1+7),'ROLLING SCHED'!$A:$A,1,FALSE),"y")&lt;&gt;"y","y",""))</f>
        <v/>
      </c>
      <c r="BR5" s="1" t="str">
        <f>IF(IFERROR(VLOOKUP(CONCATENATE($D5,$E5,BR$1),'ROLLING SCHED'!$A:$A,1,FALSE),"x")&lt;&gt;"x","x",IF(IFERROR(VLOOKUP(CONCATENATE($D5,$E5,BR$1+7),'ROLLING SCHED'!$A:$A,1,FALSE),"y")&lt;&gt;"y","y",""))</f>
        <v/>
      </c>
      <c r="BS5" s="1" t="str">
        <f>IF(IFERROR(VLOOKUP(CONCATENATE($D5,$E5,BS$1),'ROLLING SCHED'!$A:$A,1,FALSE),"x")&lt;&gt;"x","x",IF(IFERROR(VLOOKUP(CONCATENATE($D5,$E5,BS$1+7),'ROLLING SCHED'!$A:$A,1,FALSE),"y")&lt;&gt;"y","y",""))</f>
        <v/>
      </c>
      <c r="BT5" s="1" t="str">
        <f>IF(IFERROR(VLOOKUP(CONCATENATE($D5,$E5,BT$1),'ROLLING SCHED'!$A:$A,1,FALSE),"x")&lt;&gt;"x","x",IF(IFERROR(VLOOKUP(CONCATENATE($D5,$E5,BT$1+7),'ROLLING SCHED'!$A:$A,1,FALSE),"y")&lt;&gt;"y","y",""))</f>
        <v/>
      </c>
      <c r="BU5" s="1" t="str">
        <f>IF(IFERROR(VLOOKUP(CONCATENATE($D5,$E5,BU$1),'ROLLING SCHED'!$A:$A,1,FALSE),"x")&lt;&gt;"x","x",IF(IFERROR(VLOOKUP(CONCATENATE($D5,$E5,BU$1+7),'ROLLING SCHED'!$A:$A,1,FALSE),"y")&lt;&gt;"y","y",""))</f>
        <v/>
      </c>
      <c r="BV5" s="1" t="str">
        <f>IF(IFERROR(VLOOKUP(CONCATENATE($D5,$E5,BV$1),'ROLLING SCHED'!$A:$A,1,FALSE),"x")&lt;&gt;"x","x",IF(IFERROR(VLOOKUP(CONCATENATE($D5,$E5,BV$1+7),'ROLLING SCHED'!$A:$A,1,FALSE),"y")&lt;&gt;"y","y",""))</f>
        <v/>
      </c>
      <c r="BW5" s="1" t="str">
        <f>IF(IFERROR(VLOOKUP(CONCATENATE($D5,$E5,BW$1),'ROLLING SCHED'!$A:$A,1,FALSE),"x")&lt;&gt;"x","x",IF(IFERROR(VLOOKUP(CONCATENATE($D5,$E5,BW$1+7),'ROLLING SCHED'!$A:$A,1,FALSE),"y")&lt;&gt;"y","y",""))</f>
        <v/>
      </c>
      <c r="BX5" s="1" t="str">
        <f>IF(IFERROR(VLOOKUP(CONCATENATE($D5,$E5,BX$1),'ROLLING SCHED'!$A:$A,1,FALSE),"x")&lt;&gt;"x","x",IF(IFERROR(VLOOKUP(CONCATENATE($D5,$E5,BX$1+7),'ROLLING SCHED'!$A:$A,1,FALSE),"y")&lt;&gt;"y","y",""))</f>
        <v/>
      </c>
      <c r="BY5" s="1" t="str">
        <f>IF(IFERROR(VLOOKUP(CONCATENATE($D5,$E5,BY$1),'ROLLING SCHED'!$A:$A,1,FALSE),"x")&lt;&gt;"x","x",IF(IFERROR(VLOOKUP(CONCATENATE($D5,$E5,BY$1+7),'ROLLING SCHED'!$A:$A,1,FALSE),"y")&lt;&gt;"y","y",""))</f>
        <v/>
      </c>
      <c r="BZ5" s="1" t="str">
        <f>IF(IFERROR(VLOOKUP(CONCATENATE($D5,$E5,BZ$1),'ROLLING SCHED'!$A:$A,1,FALSE),"x")&lt;&gt;"x","x",IF(IFERROR(VLOOKUP(CONCATENATE($D5,$E5,BZ$1+7),'ROLLING SCHED'!$A:$A,1,FALSE),"y")&lt;&gt;"y","y",""))</f>
        <v/>
      </c>
      <c r="CA5" s="1" t="str">
        <f>IF(IFERROR(VLOOKUP(CONCATENATE($D5,$E5,CA$1),'ROLLING SCHED'!$A:$A,1,FALSE),"x")&lt;&gt;"x","x",IF(IFERROR(VLOOKUP(CONCATENATE($D5,$E5,CA$1+7),'ROLLING SCHED'!$A:$A,1,FALSE),"y")&lt;&gt;"y","y",""))</f>
        <v/>
      </c>
      <c r="CB5" s="1" t="str">
        <f>IF(IFERROR(VLOOKUP(CONCATENATE($D5,$E5,CB$1),'ROLLING SCHED'!$A:$A,1,FALSE),"x")&lt;&gt;"x","x",IF(IFERROR(VLOOKUP(CONCATENATE($D5,$E5,CB$1+7),'ROLLING SCHED'!$A:$A,1,FALSE),"y")&lt;&gt;"y","y",""))</f>
        <v/>
      </c>
      <c r="CC5" s="1" t="str">
        <f>IF(IFERROR(VLOOKUP(CONCATENATE($D5,$E5,CC$1),'ROLLING SCHED'!$A:$A,1,FALSE),"x")&lt;&gt;"x","x",IF(IFERROR(VLOOKUP(CONCATENATE($D5,$E5,CC$1+7),'ROLLING SCHED'!$A:$A,1,FALSE),"y")&lt;&gt;"y","y",""))</f>
        <v/>
      </c>
      <c r="CD5" s="1" t="str">
        <f>IF(IFERROR(VLOOKUP(CONCATENATE($D5,$E5,CD$1),'ROLLING SCHED'!$A:$A,1,FALSE),"x")&lt;&gt;"x","x",IF(IFERROR(VLOOKUP(CONCATENATE($D5,$E5,CD$1+7),'ROLLING SCHED'!$A:$A,1,FALSE),"y")&lt;&gt;"y","y",""))</f>
        <v/>
      </c>
      <c r="CE5" s="1" t="str">
        <f>IF(IFERROR(VLOOKUP(CONCATENATE($D5,$E5,CE$1),'ROLLING SCHED'!$A:$A,1,FALSE),"x")&lt;&gt;"x","x",IF(IFERROR(VLOOKUP(CONCATENATE($D5,$E5,CE$1+7),'ROLLING SCHED'!$A:$A,1,FALSE),"y")&lt;&gt;"y","y",""))</f>
        <v/>
      </c>
      <c r="CF5" s="1" t="str">
        <f>IF(IFERROR(VLOOKUP(CONCATENATE($D5,$E5,CF$1),'ROLLING SCHED'!$A:$A,1,FALSE),"x")&lt;&gt;"x","x",IF(IFERROR(VLOOKUP(CONCATENATE($D5,$E5,CF$1+7),'ROLLING SCHED'!$A:$A,1,FALSE),"y")&lt;&gt;"y","y",""))</f>
        <v/>
      </c>
      <c r="CG5" s="1" t="str">
        <f>IF(IFERROR(VLOOKUP(CONCATENATE($D5,$E5,CG$1),'ROLLING SCHED'!$A:$A,1,FALSE),"x")&lt;&gt;"x","x",IF(IFERROR(VLOOKUP(CONCATENATE($D5,$E5,CG$1+7),'ROLLING SCHED'!$A:$A,1,FALSE),"y")&lt;&gt;"y","y",""))</f>
        <v/>
      </c>
      <c r="CH5" s="1" t="str">
        <f>IF(IFERROR(VLOOKUP(CONCATENATE($D5,$E5,CH$1),'ROLLING SCHED'!$A:$A,1,FALSE),"x")&lt;&gt;"x","x",IF(IFERROR(VLOOKUP(CONCATENATE($D5,$E5,CH$1+7),'ROLLING SCHED'!$A:$A,1,FALSE),"y")&lt;&gt;"y","y",""))</f>
        <v/>
      </c>
      <c r="CI5" s="1" t="str">
        <f>IF(IFERROR(VLOOKUP(CONCATENATE($D5,$E5,CI$1),'ROLLING SCHED'!$A:$A,1,FALSE),"x")&lt;&gt;"x","x",IF(IFERROR(VLOOKUP(CONCATENATE($D5,$E5,CI$1+7),'ROLLING SCHED'!$A:$A,1,FALSE),"y")&lt;&gt;"y","y",""))</f>
        <v/>
      </c>
      <c r="CJ5" s="1" t="str">
        <f>IF(IFERROR(VLOOKUP(CONCATENATE($D5,$E5,CJ$1),'ROLLING SCHED'!$A:$A,1,FALSE),"x")&lt;&gt;"x","x",IF(IFERROR(VLOOKUP(CONCATENATE($D5,$E5,CJ$1+7),'ROLLING SCHED'!$A:$A,1,FALSE),"y")&lt;&gt;"y","y",""))</f>
        <v/>
      </c>
      <c r="CK5" s="1" t="str">
        <f>IF(IFERROR(VLOOKUP(CONCATENATE($D5,$E5,CK$1),'ROLLING SCHED'!$A:$A,1,FALSE),"x")&lt;&gt;"x","x",IF(IFERROR(VLOOKUP(CONCATENATE($D5,$E5,CK$1+7),'ROLLING SCHED'!$A:$A,1,FALSE),"y")&lt;&gt;"y","y",""))</f>
        <v/>
      </c>
      <c r="CL5" s="1" t="str">
        <f>IF(IFERROR(VLOOKUP(CONCATENATE($D5,$E5,CL$1),'ROLLING SCHED'!$A:$A,1,FALSE),"x")&lt;&gt;"x","x",IF(IFERROR(VLOOKUP(CONCATENATE($D5,$E5,CL$1+7),'ROLLING SCHED'!$A:$A,1,FALSE),"y")&lt;&gt;"y","y",""))</f>
        <v/>
      </c>
      <c r="CM5" s="1" t="str">
        <f>IF(IFERROR(VLOOKUP(CONCATENATE($D5,$E5,CM$1),'ROLLING SCHED'!$A:$A,1,FALSE),"x")&lt;&gt;"x","x",IF(IFERROR(VLOOKUP(CONCATENATE($D5,$E5,CM$1+7),'ROLLING SCHED'!$A:$A,1,FALSE),"y")&lt;&gt;"y","y",""))</f>
        <v/>
      </c>
      <c r="CN5" s="1" t="str">
        <f>IF(IFERROR(VLOOKUP(CONCATENATE($D5,$E5,CN$1),'ROLLING SCHED'!$A:$A,1,FALSE),"x")&lt;&gt;"x","x",IF(IFERROR(VLOOKUP(CONCATENATE($D5,$E5,CN$1+7),'ROLLING SCHED'!$A:$A,1,FALSE),"y")&lt;&gt;"y","y",""))</f>
        <v/>
      </c>
      <c r="CO5" s="1" t="str">
        <f>IF(IFERROR(VLOOKUP(CONCATENATE($D5,$E5,CO$1),'ROLLING SCHED'!$A:$A,1,FALSE),"x")&lt;&gt;"x","x",IF(IFERROR(VLOOKUP(CONCATENATE($D5,$E5,CO$1+7),'ROLLING SCHED'!$A:$A,1,FALSE),"y")&lt;&gt;"y","y",""))</f>
        <v/>
      </c>
      <c r="CP5" s="1" t="str">
        <f>IF(IFERROR(VLOOKUP(CONCATENATE($D5,$E5,CP$1),'ROLLING SCHED'!$A:$A,1,FALSE),"x")&lt;&gt;"x","x",IF(IFERROR(VLOOKUP(CONCATENATE($D5,$E5,CP$1+7),'ROLLING SCHED'!$A:$A,1,FALSE),"y")&lt;&gt;"y","y",""))</f>
        <v/>
      </c>
      <c r="CQ5" s="1" t="str">
        <f>IF(IFERROR(VLOOKUP(CONCATENATE($D5,$E5,CQ$1),'ROLLING SCHED'!$A:$A,1,FALSE),"x")&lt;&gt;"x","x",IF(IFERROR(VLOOKUP(CONCATENATE($D5,$E5,CQ$1+7),'ROLLING SCHED'!$A:$A,1,FALSE),"y")&lt;&gt;"y","y",""))</f>
        <v/>
      </c>
      <c r="CR5" s="1" t="str">
        <f>IF(IFERROR(VLOOKUP(CONCATENATE($D5,$E5,CR$1),'ROLLING SCHED'!$A:$A,1,FALSE),"x")&lt;&gt;"x","x",IF(IFERROR(VLOOKUP(CONCATENATE($D5,$E5,CR$1+7),'ROLLING SCHED'!$A:$A,1,FALSE),"y")&lt;&gt;"y","y",""))</f>
        <v/>
      </c>
      <c r="CS5" s="1" t="str">
        <f>IF(IFERROR(VLOOKUP(CONCATENATE($D5,$E5,CS$1),'ROLLING SCHED'!$A:$A,1,FALSE),"x")&lt;&gt;"x","x",IF(IFERROR(VLOOKUP(CONCATENATE($D5,$E5,CS$1+7),'ROLLING SCHED'!$A:$A,1,FALSE),"y")&lt;&gt;"y","y",""))</f>
        <v/>
      </c>
      <c r="CT5" s="1" t="str">
        <f>IF(IFERROR(VLOOKUP(CONCATENATE($D5,$E5,CT$1),'ROLLING SCHED'!$A:$A,1,FALSE),"x")&lt;&gt;"x","x",IF(IFERROR(VLOOKUP(CONCATENATE($D5,$E5,CT$1+7),'ROLLING SCHED'!$A:$A,1,FALSE),"y")&lt;&gt;"y","y",""))</f>
        <v/>
      </c>
      <c r="CU5" s="1" t="str">
        <f>IF(IFERROR(VLOOKUP(CONCATENATE($D5,$E5,CU$1),'ROLLING SCHED'!$A:$A,1,FALSE),"x")&lt;&gt;"x","x",IF(IFERROR(VLOOKUP(CONCATENATE($D5,$E5,CU$1+7),'ROLLING SCHED'!$A:$A,1,FALSE),"y")&lt;&gt;"y","y",""))</f>
        <v/>
      </c>
      <c r="CV5" s="1" t="str">
        <f>IF(IFERROR(VLOOKUP(CONCATENATE($D5,$E5,CV$1),'ROLLING SCHED'!$A:$A,1,FALSE),"x")&lt;&gt;"x","x",IF(IFERROR(VLOOKUP(CONCATENATE($D5,$E5,CV$1+7),'ROLLING SCHED'!$A:$A,1,FALSE),"y")&lt;&gt;"y","y",""))</f>
        <v/>
      </c>
      <c r="CW5" s="1" t="str">
        <f>IF(IFERROR(VLOOKUP(CONCATENATE($D5,$E5,CW$1),'ROLLING SCHED'!$A:$A,1,FALSE),"x")&lt;&gt;"x","x",IF(IFERROR(VLOOKUP(CONCATENATE($D5,$E5,CW$1+7),'ROLLING SCHED'!$A:$A,1,FALSE),"y")&lt;&gt;"y","y",""))</f>
        <v/>
      </c>
      <c r="CX5" s="1" t="str">
        <f>IF(IFERROR(VLOOKUP(CONCATENATE($D5,$E5,CX$1),'ROLLING SCHED'!$A:$A,1,FALSE),"x")&lt;&gt;"x","x",IF(IFERROR(VLOOKUP(CONCATENATE($D5,$E5,CX$1+7),'ROLLING SCHED'!$A:$A,1,FALSE),"y")&lt;&gt;"y","y",""))</f>
        <v/>
      </c>
      <c r="CY5" s="1" t="str">
        <f>IF(IFERROR(VLOOKUP(CONCATENATE($D5,$E5,CY$1),'ROLLING SCHED'!$A:$A,1,FALSE),"x")&lt;&gt;"x","x",IF(IFERROR(VLOOKUP(CONCATENATE($D5,$E5,CY$1+7),'ROLLING SCHED'!$A:$A,1,FALSE),"y")&lt;&gt;"y","y",""))</f>
        <v/>
      </c>
      <c r="CZ5" s="1" t="str">
        <f>IF(IFERROR(VLOOKUP(CONCATENATE($D5,$E5,CZ$1),'ROLLING SCHED'!$A:$A,1,FALSE),"x")&lt;&gt;"x","x",IF(IFERROR(VLOOKUP(CONCATENATE($D5,$E5,CZ$1+7),'ROLLING SCHED'!$A:$A,1,FALSE),"y")&lt;&gt;"y","y",""))</f>
        <v/>
      </c>
      <c r="DA5" s="1" t="str">
        <f>IF(IFERROR(VLOOKUP(CONCATENATE($D5,$E5,DA$1),'ROLLING SCHED'!$A:$A,1,FALSE),"x")&lt;&gt;"x","x",IF(IFERROR(VLOOKUP(CONCATENATE($D5,$E5,DA$1+7),'ROLLING SCHED'!$A:$A,1,FALSE),"y")&lt;&gt;"y","y",""))</f>
        <v/>
      </c>
      <c r="DB5" s="1" t="str">
        <f>IF(IFERROR(VLOOKUP(CONCATENATE($D5,$E5,DB$1),'ROLLING SCHED'!$A:$A,1,FALSE),"x")&lt;&gt;"x","x",IF(IFERROR(VLOOKUP(CONCATENATE($D5,$E5,DB$1+7),'ROLLING SCHED'!$A:$A,1,FALSE),"y")&lt;&gt;"y","y",""))</f>
        <v/>
      </c>
      <c r="DC5" s="1" t="str">
        <f>IF(IFERROR(VLOOKUP(CONCATENATE($D5,$E5,DC$1),'ROLLING SCHED'!$A:$A,1,FALSE),"x")&lt;&gt;"x","x",IF(IFERROR(VLOOKUP(CONCATENATE($D5,$E5,DC$1+7),'ROLLING SCHED'!$A:$A,1,FALSE),"y")&lt;&gt;"y","y",""))</f>
        <v/>
      </c>
      <c r="DD5" s="1" t="str">
        <f>IF(IFERROR(VLOOKUP(CONCATENATE($D5,$E5,DD$1),'ROLLING SCHED'!$A:$A,1,FALSE),"x")&lt;&gt;"x","x",IF(IFERROR(VLOOKUP(CONCATENATE($D5,$E5,DD$1+7),'ROLLING SCHED'!$A:$A,1,FALSE),"y")&lt;&gt;"y","y",""))</f>
        <v/>
      </c>
      <c r="DE5" s="1" t="str">
        <f>IF(IFERROR(VLOOKUP(CONCATENATE($D5,$E5,DE$1),'ROLLING SCHED'!$A:$A,1,FALSE),"x")&lt;&gt;"x","x",IF(IFERROR(VLOOKUP(CONCATENATE($D5,$E5,DE$1+7),'ROLLING SCHED'!$A:$A,1,FALSE),"y")&lt;&gt;"y","y",""))</f>
        <v/>
      </c>
      <c r="DF5" s="1" t="str">
        <f>IF(IFERROR(VLOOKUP(CONCATENATE($D5,$E5,DF$1),'ROLLING SCHED'!$A:$A,1,FALSE),"x")&lt;&gt;"x","x",IF(IFERROR(VLOOKUP(CONCATENATE($D5,$E5,DF$1+7),'ROLLING SCHED'!$A:$A,1,FALSE),"y")&lt;&gt;"y","y",""))</f>
        <v/>
      </c>
      <c r="DG5" s="1" t="str">
        <f>IF(IFERROR(VLOOKUP(CONCATENATE($D5,$E5,DG$1),'ROLLING SCHED'!$A:$A,1,FALSE),"x")&lt;&gt;"x","x",IF(IFERROR(VLOOKUP(CONCATENATE($D5,$E5,DG$1+7),'ROLLING SCHED'!$A:$A,1,FALSE),"y")&lt;&gt;"y","y",""))</f>
        <v/>
      </c>
      <c r="DH5" s="1" t="str">
        <f>IF(IFERROR(VLOOKUP(CONCATENATE($D5,$E5,DH$1),'ROLLING SCHED'!$A:$A,1,FALSE),"x")&lt;&gt;"x","x",IF(IFERROR(VLOOKUP(CONCATENATE($D5,$E5,DH$1+7),'ROLLING SCHED'!$A:$A,1,FALSE),"y")&lt;&gt;"y","y",""))</f>
        <v/>
      </c>
      <c r="DI5" s="1" t="str">
        <f>IF(IFERROR(VLOOKUP(CONCATENATE($D5,$E5,DI$1),'ROLLING SCHED'!$A:$A,1,FALSE),"x")&lt;&gt;"x","x",IF(IFERROR(VLOOKUP(CONCATENATE($D5,$E5,DI$1+7),'ROLLING SCHED'!$A:$A,1,FALSE),"y")&lt;&gt;"y","y",""))</f>
        <v/>
      </c>
      <c r="DJ5" s="1" t="str">
        <f>IF(IFERROR(VLOOKUP(CONCATENATE($D5,$E5,DJ$1),'ROLLING SCHED'!$A:$A,1,FALSE),"x")&lt;&gt;"x","x",IF(IFERROR(VLOOKUP(CONCATENATE($D5,$E5,DJ$1+7),'ROLLING SCHED'!$A:$A,1,FALSE),"y")&lt;&gt;"y","y",""))</f>
        <v/>
      </c>
      <c r="DK5" s="1" t="str">
        <f>IF(IFERROR(VLOOKUP(CONCATENATE($D5,$E5,DK$1),'ROLLING SCHED'!$A:$A,1,FALSE),"x")&lt;&gt;"x","x",IF(IFERROR(VLOOKUP(CONCATENATE($D5,$E5,DK$1+7),'ROLLING SCHED'!$A:$A,1,FALSE),"y")&lt;&gt;"y","y",""))</f>
        <v/>
      </c>
      <c r="DL5" s="1" t="str">
        <f>IF(IFERROR(VLOOKUP(CONCATENATE($D5,$E5,DL$1),'ROLLING SCHED'!$A:$A,1,FALSE),"x")&lt;&gt;"x","x",IF(IFERROR(VLOOKUP(CONCATENATE($D5,$E5,DL$1+7),'ROLLING SCHED'!$A:$A,1,FALSE),"y")&lt;&gt;"y","y",""))</f>
        <v/>
      </c>
      <c r="DM5" s="1" t="str">
        <f>IF(IFERROR(VLOOKUP(CONCATENATE($D5,$E5,DM$1),'ROLLING SCHED'!$A:$A,1,FALSE),"x")&lt;&gt;"x","x",IF(IFERROR(VLOOKUP(CONCATENATE($D5,$E5,DM$1+7),'ROLLING SCHED'!$A:$A,1,FALSE),"y")&lt;&gt;"y","y",""))</f>
        <v/>
      </c>
      <c r="DN5" s="1" t="str">
        <f>IF(IFERROR(VLOOKUP(CONCATENATE($D5,$E5,DN$1),'ROLLING SCHED'!$A:$A,1,FALSE),"x")&lt;&gt;"x","x",IF(IFERROR(VLOOKUP(CONCATENATE($D5,$E5,DN$1+7),'ROLLING SCHED'!$A:$A,1,FALSE),"y")&lt;&gt;"y","y",""))</f>
        <v/>
      </c>
      <c r="DO5" s="1" t="str">
        <f>IF(IFERROR(VLOOKUP(CONCATENATE($D5,$E5,DO$1),'ROLLING SCHED'!$A:$A,1,FALSE),"x")&lt;&gt;"x","x",IF(IFERROR(VLOOKUP(CONCATENATE($D5,$E5,DO$1+7),'ROLLING SCHED'!$A:$A,1,FALSE),"y")&lt;&gt;"y","y",""))</f>
        <v/>
      </c>
      <c r="DP5" s="1" t="str">
        <f>IF(IFERROR(VLOOKUP(CONCATENATE($D5,$E5,DP$1),'ROLLING SCHED'!$A:$A,1,FALSE),"x")&lt;&gt;"x","x",IF(IFERROR(VLOOKUP(CONCATENATE($D5,$E5,DP$1+7),'ROLLING SCHED'!$A:$A,1,FALSE),"y")&lt;&gt;"y","y",""))</f>
        <v/>
      </c>
      <c r="DQ5" s="1" t="str">
        <f>IF(IFERROR(VLOOKUP(CONCATENATE($D5,$E5,DQ$1),'ROLLING SCHED'!$A:$A,1,FALSE),"x")&lt;&gt;"x","x",IF(IFERROR(VLOOKUP(CONCATENATE($D5,$E5,DQ$1+7),'ROLLING SCHED'!$A:$A,1,FALSE),"y")&lt;&gt;"y","y",""))</f>
        <v/>
      </c>
      <c r="DR5" s="1" t="str">
        <f>IF(IFERROR(VLOOKUP(CONCATENATE($D5,$E5,DR$1),'ROLLING SCHED'!$A:$A,1,FALSE),"x")&lt;&gt;"x","x",IF(IFERROR(VLOOKUP(CONCATENATE($D5,$E5,DR$1+7),'ROLLING SCHED'!$A:$A,1,FALSE),"y")&lt;&gt;"y","y",""))</f>
        <v/>
      </c>
      <c r="DS5" s="1" t="str">
        <f>IF(IFERROR(VLOOKUP(CONCATENATE($D5,$E5,DS$1),'ROLLING SCHED'!$A:$A,1,FALSE),"x")&lt;&gt;"x","x",IF(IFERROR(VLOOKUP(CONCATENATE($D5,$E5,DS$1+7),'ROLLING SCHED'!$A:$A,1,FALSE),"y")&lt;&gt;"y","y",""))</f>
        <v/>
      </c>
      <c r="DT5" s="1" t="str">
        <f>IF(IFERROR(VLOOKUP(CONCATENATE($D5,$E5,DT$1),'ROLLING SCHED'!$A:$A,1,FALSE),"x")&lt;&gt;"x","x",IF(IFERROR(VLOOKUP(CONCATENATE($D5,$E5,DT$1+7),'ROLLING SCHED'!$A:$A,1,FALSE),"y")&lt;&gt;"y","y",""))</f>
        <v/>
      </c>
      <c r="DU5" s="1" t="str">
        <f>IF(IFERROR(VLOOKUP(CONCATENATE($D5,$E5,DU$1),'ROLLING SCHED'!$A:$A,1,FALSE),"x")&lt;&gt;"x","x",IF(IFERROR(VLOOKUP(CONCATENATE($D5,$E5,DU$1+7),'ROLLING SCHED'!$A:$A,1,FALSE),"y")&lt;&gt;"y","y",""))</f>
        <v/>
      </c>
      <c r="DV5" s="1" t="str">
        <f>IF(IFERROR(VLOOKUP(CONCATENATE($D5,$E5,DV$1),'ROLLING SCHED'!$A:$A,1,FALSE),"x")&lt;&gt;"x","x",IF(IFERROR(VLOOKUP(CONCATENATE($D5,$E5,DV$1+7),'ROLLING SCHED'!$A:$A,1,FALSE),"y")&lt;&gt;"y","y",""))</f>
        <v/>
      </c>
      <c r="DW5" s="1" t="str">
        <f>IF(IFERROR(VLOOKUP(CONCATENATE($D5,$E5,DW$1),'ROLLING SCHED'!$A:$A,1,FALSE),"x")&lt;&gt;"x","x",IF(IFERROR(VLOOKUP(CONCATENATE($D5,$E5,DW$1+7),'ROLLING SCHED'!$A:$A,1,FALSE),"y")&lt;&gt;"y","y",""))</f>
        <v/>
      </c>
    </row>
    <row r="6" spans="1:127" s="1" customFormat="1" outlineLevel="1" x14ac:dyDescent="0.3">
      <c r="A6" s="1" t="str">
        <f t="shared" si="66"/>
        <v>106022341Production Calculation</v>
      </c>
      <c r="B6" s="20">
        <f t="shared" si="67"/>
        <v>106022341</v>
      </c>
      <c r="C6" s="46" t="str">
        <f t="shared" si="68"/>
        <v>L 1 1/2X1 1/2X.155 A529-50 40'00"</v>
      </c>
      <c r="D6" s="20">
        <f t="shared" si="69"/>
        <v>1321</v>
      </c>
      <c r="E6" s="20" t="str">
        <f t="shared" si="70"/>
        <v>1-1/2" ANG</v>
      </c>
      <c r="F6" s="1" t="s">
        <v>207</v>
      </c>
      <c r="H6" s="1">
        <f>MAX(IFERROR(IF(H5="x",HLOOKUP("y",I5:$DW10,5,FALSE),0)+IF(H5="x",HLOOKUP("y",I5:$DW10,6,FALSE)*-1-IF(H5="x",SUM(G6:$H6),0),0),0),0)</f>
        <v>0</v>
      </c>
      <c r="I6" s="1">
        <f>MAX(IFERROR(IF(I5="x",HLOOKUP("y",J5:$DW10,5,FALSE),0)+IF(I5="x",HLOOKUP("y",J5:$DW10,6,FALSE)*-1-IF(I5="x",SUM(H6:$H6),0),0),0),0)</f>
        <v>0</v>
      </c>
      <c r="J6" s="1">
        <f>MAX(IFERROR(IF(J5="x",HLOOKUP("y",K5:$DW10,5,FALSE),0)+IF(J5="x",HLOOKUP("y",K5:$DW10,6,FALSE)*-1-IF(J5="x",SUM($H6:I6),0),0),0),0)</f>
        <v>0</v>
      </c>
      <c r="K6" s="112">
        <f>MAX(IFERROR(IF(K5="x",HLOOKUP("y",L5:$DW10,5,FALSE),0)+IF(K5="x",HLOOKUP("y",L5:$DW10,6,FALSE)*-1-IF(K5="x",SUM($H6:J6),0),0),0),0)</f>
        <v>0</v>
      </c>
      <c r="L6" s="112">
        <f>MAX(IFERROR(IF(L5="x",HLOOKUP("y",M5:$DW10,5,FALSE),0)+IF(L5="x",HLOOKUP("y",M5:$DW10,6,FALSE)*-1-IF(L5="x",SUM($H6:K6),0),0),0),0)</f>
        <v>0</v>
      </c>
      <c r="M6" s="112">
        <f>MAX(IFERROR(IF(M5="x",HLOOKUP("y",N5:$DW10,5,FALSE),0)+IF(M5="x",HLOOKUP("y",N5:$DW10,6,FALSE)*-1-IF(M5="x",SUM($H6:L6),0),0),0),0)</f>
        <v>0</v>
      </c>
      <c r="N6" s="112">
        <f>MAX(IFERROR(IF(N5="x",HLOOKUP("y",O5:$DW10,5,FALSE),0)+IF(N5="x",HLOOKUP("y",O5:$DW10,6,FALSE)*-1-IF(N5="x",SUM($H6:M6),0),0),0),0)</f>
        <v>0</v>
      </c>
      <c r="O6" s="112">
        <f>MAX(IFERROR(IF(O5="x",HLOOKUP("y",P5:$DW10,5,FALSE),0)+IF(O5="x",HLOOKUP("y",P5:$DW10,6,FALSE)*-1-IF(O5="x",SUM($H6:N6),0),0),0),0)</f>
        <v>0</v>
      </c>
      <c r="P6" s="112">
        <f>MAX(IFERROR(IF(P5="x",HLOOKUP("y",Q5:$DW10,5,FALSE),0)+IF(P5="x",HLOOKUP("y",Q5:$DW10,6,FALSE)*-1-IF(P5="x",SUM($H6:O6),0),0),0),0)</f>
        <v>0</v>
      </c>
      <c r="Q6" s="112">
        <f>MAX(IFERROR(IF(Q5="x",HLOOKUP("y",R5:$DW10,5,FALSE),0)+IF(Q5="x",HLOOKUP("y",R5:$DW10,6,FALSE)*-1-IF(Q5="x",SUM($H6:P6),0),0),0),0)</f>
        <v>0</v>
      </c>
      <c r="R6" s="112">
        <f>MAX(IFERROR(IF(R5="x",HLOOKUP("y",S5:$DW10,5,FALSE),0)+IF(R5="x",HLOOKUP("y",S5:$DW10,6,FALSE)*-1-IF(R5="x",SUM($H6:Q6),0),0),0),0)</f>
        <v>0</v>
      </c>
      <c r="S6" s="9">
        <f>MAX(IFERROR(IF(S5="x",HLOOKUP("y",T5:$DW10,5,FALSE),0)+IF(S5="x",HLOOKUP("y",T5:$DW10,6,FALSE)*-1-IF(S5="x",SUM($H6:R6),0),0),0),0)</f>
        <v>4.2632564145606011E-14</v>
      </c>
      <c r="T6" s="9">
        <f>MAX(IFERROR(IF(T5="x",HLOOKUP("y",U5:$DW10,5,FALSE),0)+IF(T5="x",HLOOKUP("y",U5:$DW10,6,FALSE)*-1-IF(T5="x",SUM($H6:S6),0),0),0),0)</f>
        <v>0</v>
      </c>
      <c r="U6" s="9">
        <f>MAX(IFERROR(IF(U5="x",HLOOKUP("y",V5:$DW10,5,FALSE),0)+IF(U5="x",HLOOKUP("y",V5:$DW10,6,FALSE)*-1-IF(U5="x",SUM($H6:T6),0),0),0),0)</f>
        <v>0</v>
      </c>
      <c r="V6" s="9">
        <f>MAX(IFERROR(IF(V5="x",HLOOKUP("y",W5:$DW10,5,FALSE),0)+IF(V5="x",HLOOKUP("y",W5:$DW10,6,FALSE)*-1-IF(V5="x",SUM($H6:U6),0),0),0),0)</f>
        <v>0</v>
      </c>
      <c r="W6" s="9">
        <f>MAX(IFERROR(IF(W5="x",HLOOKUP("y",X5:$DW10,5,FALSE),0)+IF(W5="x",HLOOKUP("y",X5:$DW10,6,FALSE)*-1-IF(W5="x",SUM($H6:V6),0),0),0),0)</f>
        <v>0</v>
      </c>
      <c r="X6" s="9">
        <f>MAX(IFERROR(IF(X5="x",HLOOKUP("y",Y5:$DW10,5,FALSE),0)+IF(X5="x",HLOOKUP("y",Y5:$DW10,6,FALSE)*-1-IF(X5="x",SUM($H6:W6),0),0),0),0)</f>
        <v>0</v>
      </c>
      <c r="Y6" s="9">
        <f>MAX(IFERROR(IF(Y5="x",HLOOKUP("y",Z5:$DW10,5,FALSE),0)+IF(Y5="x",HLOOKUP("y",Z5:$DW10,6,FALSE)*-1-IF(Y5="x",SUM($H6:X6),0),0),0),0)</f>
        <v>0</v>
      </c>
      <c r="Z6" s="9">
        <f>MAX(IFERROR(IF(Z5="x",HLOOKUP("y",AA5:$DW10,5,FALSE),0)+IF(Z5="x",HLOOKUP("y",AA5:$DW10,6,FALSE)*-1-IF(Z5="x",SUM($H6:Y6),0),0),0),0)</f>
        <v>0</v>
      </c>
      <c r="AA6" s="9">
        <f>MAX(IFERROR(IF(AA5="x",HLOOKUP("y",AB5:$DW10,5,FALSE),0)+IF(AA5="x",HLOOKUP("y",AB5:$DW10,6,FALSE)*-1-IF(AA5="x",SUM($H6:Z6),0),0),0),0)</f>
        <v>0</v>
      </c>
      <c r="AB6" s="1">
        <f>MAX(IFERROR(IF(AB5="x",HLOOKUP("y",AC5:$DW10,5,FALSE),0)+IF(AB5="x",HLOOKUP("y",AC5:$DW10,6,FALSE)*-1-IF(AB5="x",SUM($H6:AA6),0),0),0),0)</f>
        <v>9.9475983006414026E-14</v>
      </c>
      <c r="AC6" s="1">
        <f>MAX(IFERROR(IF(AC5="x",HLOOKUP("y",AD5:$DW10,5,FALSE),0)+IF(AC5="x",HLOOKUP("y",AD5:$DW10,6,FALSE)*-1-IF(AC5="x",SUM($H6:AB6),0),0),0),0)</f>
        <v>0</v>
      </c>
      <c r="AD6" s="1">
        <f>MAX(IFERROR(IF(AD5="x",HLOOKUP("y",AE5:$DW10,5,FALSE),0)+IF(AD5="x",HLOOKUP("y",AE5:$DW10,6,FALSE)*-1-IF(AD5="x",SUM($H6:AC6),0),0),0),0)</f>
        <v>0</v>
      </c>
      <c r="AE6" s="1">
        <f>MAX(IFERROR(IF(AE5="x",HLOOKUP("y",AF5:$DW10,5,FALSE),0)+IF(AE5="x",HLOOKUP("y",AF5:$DW10,6,FALSE)*-1-IF(AE5="x",SUM($H6:AD6),0),0),0),0)</f>
        <v>0</v>
      </c>
      <c r="AF6" s="1">
        <f>MAX(IFERROR(IF(AF5="x",HLOOKUP("y",AG5:$DW10,5,FALSE),0)+IF(AF5="x",HLOOKUP("y",AG5:$DW10,6,FALSE)*-1-IF(AF5="x",SUM($H6:AE6),0),0),0),0)</f>
        <v>0</v>
      </c>
      <c r="AG6" s="1">
        <f>MAX(IFERROR(IF(AG5="x",HLOOKUP("y",AH5:$DW10,5,FALSE),0)+IF(AG5="x",HLOOKUP("y",AH5:$DW10,6,FALSE)*-1-IF(AG5="x",SUM($H6:AF6),0),0),0),0)</f>
        <v>0</v>
      </c>
      <c r="AH6" s="1">
        <f>MAX(IFERROR(IF(AH5="x",HLOOKUP("y",AI5:$DW10,5,FALSE),0)+IF(AH5="x",HLOOKUP("y",AI5:$DW10,6,FALSE)*-1-IF(AH5="x",SUM($H6:AG6),0),0),0),0)</f>
        <v>0</v>
      </c>
      <c r="AI6" s="1">
        <f>MAX(IFERROR(IF(AI5="x",HLOOKUP("y",AJ5:$DW10,5,FALSE),0)+IF(AI5="x",HLOOKUP("y",AJ5:$DW10,6,FALSE)*-1-IF(AI5="x",SUM($H6:AH6),0),0),0),0)</f>
        <v>0</v>
      </c>
      <c r="AJ6" s="1">
        <f>MAX(IFERROR(IF(AJ5="x",HLOOKUP("y",AK5:$DW10,5,FALSE),0)+IF(AJ5="x",HLOOKUP("y",AK5:$DW10,6,FALSE)*-1-IF(AJ5="x",SUM($H6:AI6),0),0),0),0)</f>
        <v>0</v>
      </c>
      <c r="AK6" s="1">
        <f>MAX(IFERROR(IF(AK5="x",HLOOKUP("y",AL5:$DW10,5,FALSE),0)+IF(AK5="x",HLOOKUP("y",AL5:$DW10,6,FALSE)*-1-IF(AK5="x",SUM($H6:AJ6),0),0),0),0)</f>
        <v>1.5631940186722204E-13</v>
      </c>
      <c r="AL6" s="1">
        <f>MAX(IFERROR(IF(AL5="x",HLOOKUP("y",AM5:$DW10,5,FALSE),0)+IF(AL5="x",HLOOKUP("y",AM5:$DW10,6,FALSE)*-1-IF(AL5="x",SUM($H6:AK6),0),0),0),0)</f>
        <v>0</v>
      </c>
      <c r="AM6" s="1">
        <f>MAX(IFERROR(IF(AM5="x",HLOOKUP("y",AN5:$DW10,5,FALSE),0)+IF(AM5="x",HLOOKUP("y",AN5:$DW10,6,FALSE)*-1-IF(AM5="x",SUM($H6:AL6),0),0),0),0)</f>
        <v>0</v>
      </c>
      <c r="AN6" s="1">
        <f>MAX(IFERROR(IF(AN5="x",HLOOKUP("y",AO5:$DW10,5,FALSE),0)+IF(AN5="x",HLOOKUP("y",AO5:$DW10,6,FALSE)*-1-IF(AN5="x",SUM($H6:AM6),0),0),0),0)</f>
        <v>0</v>
      </c>
      <c r="AO6" s="1">
        <f>MAX(IFERROR(IF(AO5="x",HLOOKUP("y",AP5:$DW10,5,FALSE),0)+IF(AO5="x",HLOOKUP("y",AP5:$DW10,6,FALSE)*-1-IF(AO5="x",SUM($H6:AN6),0),0),0),0)</f>
        <v>0</v>
      </c>
      <c r="AP6" s="1">
        <f>MAX(IFERROR(IF(AP5="x",HLOOKUP("y",AQ5:$DW10,5,FALSE),0)+IF(AP5="x",HLOOKUP("y",AQ5:$DW10,6,FALSE)*-1-IF(AP5="x",SUM($H6:AO6),0),0),0),0)</f>
        <v>0</v>
      </c>
      <c r="AQ6" s="1">
        <f>MAX(IFERROR(IF(AQ5="x",HLOOKUP("y",AR5:$DW10,5,FALSE),0)+IF(AQ5="x",HLOOKUP("y",AR5:$DW10,6,FALSE)*-1-IF(AQ5="x",SUM($H6:AP6),0),0),0),0)</f>
        <v>0</v>
      </c>
      <c r="AR6" s="1">
        <f>MAX(IFERROR(IF(AR5="x",HLOOKUP("y",AS5:$DW10,5,FALSE),0)+IF(AR5="x",HLOOKUP("y",AS5:$DW10,6,FALSE)*-1-IF(AR5="x",SUM($H6:AQ6),0),0),0),0)</f>
        <v>0</v>
      </c>
      <c r="AS6" s="1">
        <f>MAX(IFERROR(IF(AS5="x",HLOOKUP("y",AT5:$DW10,5,FALSE),0)+IF(AS5="x",HLOOKUP("y",AT5:$DW10,6,FALSE)*-1-IF(AS5="x",SUM($H6:AR6),0),0),0),0)</f>
        <v>0</v>
      </c>
      <c r="AT6" s="1">
        <f>MAX(IFERROR(IF(AT5="x",HLOOKUP("y",AU5:$DW10,5,FALSE),0)+IF(AT5="x",HLOOKUP("y",AU5:$DW10,6,FALSE)*-1-IF(AT5="x",SUM($H6:AS6),0),0),0),0)</f>
        <v>0</v>
      </c>
      <c r="AU6" s="1">
        <f>MAX(IFERROR(IF(AU5="x",HLOOKUP("y",AV5:$DW10,5,FALSE),0)+IF(AU5="x",HLOOKUP("y",AV5:$DW10,6,FALSE)*-1-IF(AU5="x",SUM($H6:AT6),0),0),0),0)</f>
        <v>0</v>
      </c>
      <c r="AV6" s="1">
        <f>MAX(IFERROR(IF(AV5="x",HLOOKUP("y",AW5:$DW10,5,FALSE),0)+IF(AV5="x",HLOOKUP("y",AW5:$DW10,6,FALSE)*-1-IF(AV5="x",SUM($H6:AU6),0),0),0),0)</f>
        <v>0</v>
      </c>
      <c r="AW6" s="1">
        <f>MAX(IFERROR(IF(AW5="x",HLOOKUP("y",AX5:$DW10,5,FALSE),0)+IF(AW5="x",HLOOKUP("y",AX5:$DW10,6,FALSE)*-1-IF(AW5="x",SUM($H6:AV6),0),0),0),0)</f>
        <v>0</v>
      </c>
      <c r="AX6" s="1">
        <f>MAX(IFERROR(IF(AX5="x",HLOOKUP("y",AY5:$DW10,5,FALSE),0)+IF(AX5="x",HLOOKUP("y",AY5:$DW10,6,FALSE)*-1-IF(AX5="x",SUM($H6:AW6),0),0),0),0)</f>
        <v>0</v>
      </c>
      <c r="AY6" s="1">
        <f>MAX(IFERROR(IF(AY5="x",HLOOKUP("y",AZ5:$DW10,5,FALSE),0)+IF(AY5="x",HLOOKUP("y",AZ5:$DW10,6,FALSE)*-1-IF(AY5="x",SUM($H6:AX6),0),0),0),0)</f>
        <v>0</v>
      </c>
      <c r="AZ6" s="1">
        <f>MAX(IFERROR(IF(AZ5="x",HLOOKUP("y",BA5:$DW10,5,FALSE),0)+IF(AZ5="x",HLOOKUP("y",BA5:$DW10,6,FALSE)*-1-IF(AZ5="x",SUM($H6:AY6),0),0),0),0)</f>
        <v>0</v>
      </c>
      <c r="BA6" s="1">
        <f>MAX(IFERROR(IF(BA5="x",HLOOKUP("y",BB5:$DW10,5,FALSE),0)+IF(BA5="x",HLOOKUP("y",BB5:$DW10,6,FALSE)*-1-IF(BA5="x",SUM($H6:AZ6),0),0),0),0)</f>
        <v>0</v>
      </c>
      <c r="BB6" s="1">
        <f>MAX(IFERROR(IF(BB5="x",HLOOKUP("y",BC5:$DW10,5,FALSE),0)+IF(BB5="x",HLOOKUP("y",BC5:$DW10,6,FALSE)*-1-IF(BB5="x",SUM($H6:BA6),0),0),0),0)</f>
        <v>0</v>
      </c>
      <c r="BC6" s="1">
        <f>MAX(IFERROR(IF(BC5="x",HLOOKUP("y",BD5:$DW10,5,FALSE),0)+IF(BC5="x",HLOOKUP("y",BD5:$DW10,6,FALSE)*-1-IF(BC5="x",SUM($H6:BB6),0),0),0),0)</f>
        <v>0</v>
      </c>
      <c r="BD6" s="1">
        <f>MAX(IFERROR(IF(BD5="x",HLOOKUP("y",BE5:$DW10,5,FALSE),0)+IF(BD5="x",HLOOKUP("y",BE5:$DW10,6,FALSE)*-1-IF(BD5="x",SUM($H6:BC6),0),0),0),0)</f>
        <v>0</v>
      </c>
      <c r="BE6" s="1">
        <f>MAX(IFERROR(IF(BE5="x",HLOOKUP("y",BF5:$DW10,5,FALSE),0)+IF(BE5="x",HLOOKUP("y",BF5:$DW10,6,FALSE)*-1-IF(BE5="x",SUM($H6:BD6),0),0),0),0)</f>
        <v>0</v>
      </c>
      <c r="BF6" s="1">
        <f>MAX(IFERROR(IF(BF5="x",HLOOKUP("y",BG5:$DW10,5,FALSE),0)+IF(BF5="x",HLOOKUP("y",BG5:$DW10,6,FALSE)*-1-IF(BF5="x",SUM($H6:BE6),0),0),0),0)</f>
        <v>0</v>
      </c>
      <c r="BG6" s="1">
        <f>MAX(IFERROR(IF(BG5="x",HLOOKUP("y",BH5:$DW10,5,FALSE),0)+IF(BG5="x",HLOOKUP("y",BH5:$DW10,6,FALSE)*-1-IF(BG5="x",SUM($H6:BF6),0),0),0),0)</f>
        <v>0</v>
      </c>
      <c r="BH6" s="1">
        <f>MAX(IFERROR(IF(BH5="x",HLOOKUP("y",BI5:$DW10,5,FALSE),0)+IF(BH5="x",HLOOKUP("y",BI5:$DW10,6,FALSE)*-1-IF(BH5="x",SUM($H6:BG6),0),0),0),0)</f>
        <v>0</v>
      </c>
      <c r="BI6" s="1">
        <f>MAX(IFERROR(IF(BI5="x",HLOOKUP("y",BJ5:$DW10,5,FALSE),0)+IF(BI5="x",HLOOKUP("y",BJ5:$DW10,6,FALSE)*-1-IF(BI5="x",SUM($H6:BH6),0),0),0),0)</f>
        <v>0</v>
      </c>
      <c r="BJ6" s="1">
        <f>MAX(IFERROR(IF(BJ5="x",HLOOKUP("y",BK5:$DW10,5,FALSE),0)+IF(BJ5="x",HLOOKUP("y",BK5:$DW10,6,FALSE)*-1-IF(BJ5="x",SUM($H6:BI6),0),0),0),0)</f>
        <v>0</v>
      </c>
      <c r="BK6" s="1">
        <f>MAX(IFERROR(IF(BK5="x",HLOOKUP("y",BL5:$DW10,5,FALSE),0)+IF(BK5="x",HLOOKUP("y",BL5:$DW10,6,FALSE)*-1-IF(BK5="x",SUM($H6:BJ6),0),0),0),0)</f>
        <v>0</v>
      </c>
      <c r="BL6" s="1">
        <f>MAX(IFERROR(IF(BL5="x",HLOOKUP("y",BM5:$DW10,5,FALSE),0)+IF(BL5="x",HLOOKUP("y",BM5:$DW10,6,FALSE)*-1-IF(BL5="x",SUM($H6:BK6),0),0),0),0)</f>
        <v>0</v>
      </c>
      <c r="BM6" s="1">
        <f>MAX(IFERROR(IF(BM5="x",HLOOKUP("y",BN5:$DW10,5,FALSE),0)+IF(BM5="x",HLOOKUP("y",BN5:$DW10,6,FALSE)*-1-IF(BM5="x",SUM($H6:BL6),0),0),0),0)</f>
        <v>0</v>
      </c>
      <c r="BN6" s="1">
        <f>MAX(IFERROR(IF(BN5="x",HLOOKUP("y",BO5:$DW10,5,FALSE),0)+IF(BN5="x",HLOOKUP("y",BO5:$DW10,6,FALSE)*-1-IF(BN5="x",SUM($H6:BM6),0),0),0),0)</f>
        <v>0</v>
      </c>
      <c r="BO6" s="1">
        <f>MAX(IFERROR(IF(BO5="x",HLOOKUP("y",BP5:$DW10,5,FALSE),0)+IF(BO5="x",HLOOKUP("y",BP5:$DW10,6,FALSE)*-1-IF(BO5="x",SUM($H6:BN6),0),0),0),0)</f>
        <v>0</v>
      </c>
      <c r="BP6" s="1">
        <f>MAX(IFERROR(IF(BP5="x",HLOOKUP("y",BQ5:$DW10,5,FALSE),0)+IF(BP5="x",HLOOKUP("y",BQ5:$DW10,6,FALSE)*-1-IF(BP5="x",SUM($H6:BO6),0),0),0),0)</f>
        <v>0</v>
      </c>
      <c r="BQ6" s="1">
        <f>MAX(IFERROR(IF(BQ5="x",HLOOKUP("y",BR5:$DW10,5,FALSE),0)+IF(BQ5="x",HLOOKUP("y",BR5:$DW10,6,FALSE)*-1-IF(BQ5="x",SUM($H6:BP6),0),0),0),0)</f>
        <v>0</v>
      </c>
      <c r="BR6" s="1">
        <f>MAX(IFERROR(IF(BR5="x",HLOOKUP("y",BS5:$DW10,5,FALSE),0)+IF(BR5="x",HLOOKUP("y",BS5:$DW10,6,FALSE)*-1-IF(BR5="x",SUM($H6:BQ6),0),0),0),0)</f>
        <v>0</v>
      </c>
      <c r="BS6" s="1">
        <f>MAX(IFERROR(IF(BS5="x",HLOOKUP("y",BT5:$DW10,5,FALSE),0)+IF(BS5="x",HLOOKUP("y",BT5:$DW10,6,FALSE)*-1-IF(BS5="x",SUM($H6:BR6),0),0),0),0)</f>
        <v>0</v>
      </c>
      <c r="BT6" s="1">
        <f>MAX(IFERROR(IF(BT5="x",HLOOKUP("y",BU5:$DW10,5,FALSE),0)+IF(BT5="x",HLOOKUP("y",BU5:$DW10,6,FALSE)*-1-IF(BT5="x",SUM($H6:BS6),0),0),0),0)</f>
        <v>0</v>
      </c>
      <c r="BU6" s="1">
        <f>MAX(IFERROR(IF(BU5="x",HLOOKUP("y",BV5:$DW10,5,FALSE),0)+IF(BU5="x",HLOOKUP("y",BV5:$DW10,6,FALSE)*-1-IF(BU5="x",SUM($H6:BT6),0),0),0),0)</f>
        <v>0</v>
      </c>
      <c r="BV6" s="1">
        <f>MAX(IFERROR(IF(BV5="x",HLOOKUP("y",BW5:$DW10,5,FALSE),0)+IF(BV5="x",HLOOKUP("y",BW5:$DW10,6,FALSE)*-1-IF(BV5="x",SUM($H6:BU6),0),0),0),0)</f>
        <v>0</v>
      </c>
      <c r="BW6" s="1">
        <f>MAX(IFERROR(IF(BW5="x",HLOOKUP("y",BX5:$DW10,5,FALSE),0)+IF(BW5="x",HLOOKUP("y",BX5:$DW10,6,FALSE)*-1-IF(BW5="x",SUM($H6:BV6),0),0),0),0)</f>
        <v>0</v>
      </c>
      <c r="BX6" s="1">
        <f>MAX(IFERROR(IF(BX5="x",HLOOKUP("y",BY5:$DW10,5,FALSE),0)+IF(BX5="x",HLOOKUP("y",BY5:$DW10,6,FALSE)*-1-IF(BX5="x",SUM($H6:BW6),0),0),0),0)</f>
        <v>0</v>
      </c>
      <c r="BY6" s="1">
        <f>MAX(IFERROR(IF(BY5="x",HLOOKUP("y",BZ5:$DW10,5,FALSE),0)+IF(BY5="x",HLOOKUP("y",BZ5:$DW10,6,FALSE)*-1-IF(BY5="x",SUM($H6:BX6),0),0),0),0)</f>
        <v>0</v>
      </c>
      <c r="BZ6" s="1">
        <f>MAX(IFERROR(IF(BZ5="x",HLOOKUP("y",CA5:$DW10,5,FALSE),0)+IF(BZ5="x",HLOOKUP("y",CA5:$DW10,6,FALSE)*-1-IF(BZ5="x",SUM($H6:BY6),0),0),0),0)</f>
        <v>0</v>
      </c>
      <c r="CA6" s="1">
        <f>MAX(IFERROR(IF(CA5="x",HLOOKUP("y",CB5:$DW10,5,FALSE),0)+IF(CA5="x",HLOOKUP("y",CB5:$DW10,6,FALSE)*-1-IF(CA5="x",SUM($H6:BZ6),0),0),0),0)</f>
        <v>0</v>
      </c>
      <c r="CB6" s="1">
        <f>MAX(IFERROR(IF(CB5="x",HLOOKUP("y",CC5:$DW10,5,FALSE),0)+IF(CB5="x",HLOOKUP("y",CC5:$DW10,6,FALSE)*-1-IF(CB5="x",SUM($H6:CA6),0),0),0),0)</f>
        <v>0</v>
      </c>
      <c r="CC6" s="1">
        <f>MAX(IFERROR(IF(CC5="x",HLOOKUP("y",CD5:$DW10,5,FALSE),0)+IF(CC5="x",HLOOKUP("y",CD5:$DW10,6,FALSE)*-1-IF(CC5="x",SUM($H6:CB6),0),0),0),0)</f>
        <v>0</v>
      </c>
      <c r="CD6" s="1">
        <f>MAX(IFERROR(IF(CD5="x",HLOOKUP("y",CE5:$DW10,5,FALSE),0)+IF(CD5="x",HLOOKUP("y",CE5:$DW10,6,FALSE)*-1-IF(CD5="x",SUM($H6:CC6),0),0),0),0)</f>
        <v>0</v>
      </c>
      <c r="CE6" s="1">
        <f>MAX(IFERROR(IF(CE5="x",HLOOKUP("y",CF5:$DW10,5,FALSE),0)+IF(CE5="x",HLOOKUP("y",CF5:$DW10,6,FALSE)*-1-IF(CE5="x",SUM($H6:CD6),0),0),0),0)</f>
        <v>0</v>
      </c>
      <c r="CF6" s="1">
        <f>MAX(IFERROR(IF(CF5="x",HLOOKUP("y",CG5:$DW10,5,FALSE),0)+IF(CF5="x",HLOOKUP("y",CG5:$DW10,6,FALSE)*-1-IF(CF5="x",SUM($H6:CE6),0),0),0),0)</f>
        <v>0</v>
      </c>
      <c r="CG6" s="1">
        <f>MAX(IFERROR(IF(CG5="x",HLOOKUP("y",CH5:$DW10,5,FALSE),0)+IF(CG5="x",HLOOKUP("y",CH5:$DW10,6,FALSE)*-1-IF(CG5="x",SUM($H6:CF6),0),0),0),0)</f>
        <v>0</v>
      </c>
      <c r="CH6" s="1">
        <f>MAX(IFERROR(IF(CH5="x",HLOOKUP("y",CI5:$DW10,5,FALSE),0)+IF(CH5="x",HLOOKUP("y",CI5:$DW10,6,FALSE)*-1-IF(CH5="x",SUM($H6:CG6),0),0),0),0)</f>
        <v>0</v>
      </c>
      <c r="CI6" s="1">
        <f>MAX(IFERROR(IF(CI5="x",HLOOKUP("y",CJ5:$DW10,5,FALSE),0)+IF(CI5="x",HLOOKUP("y",CJ5:$DW10,6,FALSE)*-1-IF(CI5="x",SUM($H6:CH6),0),0),0),0)</f>
        <v>0</v>
      </c>
      <c r="CJ6" s="1">
        <f>MAX(IFERROR(IF(CJ5="x",HLOOKUP("y",CK5:$DW10,5,FALSE),0)+IF(CJ5="x",HLOOKUP("y",CK5:$DW10,6,FALSE)*-1-IF(CJ5="x",SUM($H6:CI6),0),0),0),0)</f>
        <v>0</v>
      </c>
      <c r="CK6" s="1">
        <f>MAX(IFERROR(IF(CK5="x",HLOOKUP("y",CL5:$DW10,5,FALSE),0)+IF(CK5="x",HLOOKUP("y",CL5:$DW10,6,FALSE)*-1-IF(CK5="x",SUM($H6:CJ6),0),0),0),0)</f>
        <v>0</v>
      </c>
      <c r="CL6" s="1">
        <f>MAX(IFERROR(IF(CL5="x",HLOOKUP("y",CM5:$DW10,5,FALSE),0)+IF(CL5="x",HLOOKUP("y",CM5:$DW10,6,FALSE)*-1-IF(CL5="x",SUM($H6:CK6),0),0),0),0)</f>
        <v>0</v>
      </c>
      <c r="CM6" s="1">
        <f>MAX(IFERROR(IF(CM5="x",HLOOKUP("y",CN5:$DW10,5,FALSE),0)+IF(CM5="x",HLOOKUP("y",CN5:$DW10,6,FALSE)*-1-IF(CM5="x",SUM($H6:CL6),0),0),0),0)</f>
        <v>0</v>
      </c>
      <c r="CN6" s="1">
        <f>MAX(IFERROR(IF(CN5="x",HLOOKUP("y",CO5:$DW10,5,FALSE),0)+IF(CN5="x",HLOOKUP("y",CO5:$DW10,6,FALSE)*-1-IF(CN5="x",SUM($H6:CM6),0),0),0),0)</f>
        <v>0</v>
      </c>
      <c r="CO6" s="1">
        <f>MAX(IFERROR(IF(CO5="x",HLOOKUP("y",CP5:$DW10,5,FALSE),0)+IF(CO5="x",HLOOKUP("y",CP5:$DW10,6,FALSE)*-1-IF(CO5="x",SUM($H6:CN6),0),0),0),0)</f>
        <v>0</v>
      </c>
      <c r="CP6" s="1">
        <f>MAX(IFERROR(IF(CP5="x",HLOOKUP("y",CQ5:$DW10,5,FALSE),0)+IF(CP5="x",HLOOKUP("y",CQ5:$DW10,6,FALSE)*-1-IF(CP5="x",SUM($H6:CO6),0),0),0),0)</f>
        <v>0</v>
      </c>
      <c r="CQ6" s="1">
        <f>MAX(IFERROR(IF(CQ5="x",HLOOKUP("y",CR5:$DW10,5,FALSE),0)+IF(CQ5="x",HLOOKUP("y",CR5:$DW10,6,FALSE)*-1-IF(CQ5="x",SUM($H6:CP6),0),0),0),0)</f>
        <v>0</v>
      </c>
      <c r="CR6" s="1">
        <f>MAX(IFERROR(IF(CR5="x",HLOOKUP("y",CS5:$DW10,5,FALSE),0)+IF(CR5="x",HLOOKUP("y",CS5:$DW10,6,FALSE)*-1-IF(CR5="x",SUM($H6:CQ6),0),0),0),0)</f>
        <v>0</v>
      </c>
      <c r="CS6" s="1">
        <f>MAX(IFERROR(IF(CS5="x",HLOOKUP("y",CT5:$DW10,5,FALSE),0)+IF(CS5="x",HLOOKUP("y",CT5:$DW10,6,FALSE)*-1-IF(CS5="x",SUM($H6:CR6),0),0),0),0)</f>
        <v>0</v>
      </c>
      <c r="CT6" s="1">
        <f>MAX(IFERROR(IF(CT5="x",HLOOKUP("y",CU5:$DW10,5,FALSE),0)+IF(CT5="x",HLOOKUP("y",CU5:$DW10,6,FALSE)*-1-IF(CT5="x",SUM($H6:CS6),0),0),0),0)</f>
        <v>0</v>
      </c>
      <c r="CU6" s="1">
        <f>MAX(IFERROR(IF(CU5="x",HLOOKUP("y",CV5:$DW10,5,FALSE),0)+IF(CU5="x",HLOOKUP("y",CV5:$DW10,6,FALSE)*-1-IF(CU5="x",SUM($H6:CT6),0),0),0),0)</f>
        <v>0</v>
      </c>
      <c r="CV6" s="1">
        <f>MAX(IFERROR(IF(CV5="x",HLOOKUP("y",CW5:$DW10,5,FALSE),0)+IF(CV5="x",HLOOKUP("y",CW5:$DW10,6,FALSE)*-1-IF(CV5="x",SUM($H6:CU6),0),0),0),0)</f>
        <v>0</v>
      </c>
      <c r="CW6" s="1">
        <f>MAX(IFERROR(IF(CW5="x",HLOOKUP("y",CX5:$DW10,5,FALSE),0)+IF(CW5="x",HLOOKUP("y",CX5:$DW10,6,FALSE)*-1-IF(CW5="x",SUM($H6:CV6),0),0),0),0)</f>
        <v>0</v>
      </c>
      <c r="CX6" s="1">
        <f>MAX(IFERROR(IF(CX5="x",HLOOKUP("y",CY5:$DW10,5,FALSE),0)+IF(CX5="x",HLOOKUP("y",CY5:$DW10,6,FALSE)*-1-IF(CX5="x",SUM($H6:CW6),0),0),0),0)</f>
        <v>0</v>
      </c>
      <c r="CY6" s="1">
        <f>MAX(IFERROR(IF(CY5="x",HLOOKUP("y",CZ5:$DW10,5,FALSE),0)+IF(CY5="x",HLOOKUP("y",CZ5:$DW10,6,FALSE)*-1-IF(CY5="x",SUM($H6:CX6),0),0),0),0)</f>
        <v>0</v>
      </c>
      <c r="CZ6" s="1">
        <f>MAX(IFERROR(IF(CZ5="x",HLOOKUP("y",DA5:$DW10,5,FALSE),0)+IF(CZ5="x",HLOOKUP("y",DA5:$DW10,6,FALSE)*-1-IF(CZ5="x",SUM($H6:CY6),0),0),0),0)</f>
        <v>0</v>
      </c>
      <c r="DA6" s="1">
        <f>MAX(IFERROR(IF(DA5="x",HLOOKUP("y",DB5:$DW10,5,FALSE),0)+IF(DA5="x",HLOOKUP("y",DB5:$DW10,6,FALSE)*-1-IF(DA5="x",SUM($H6:CZ6),0),0),0),0)</f>
        <v>0</v>
      </c>
      <c r="DB6" s="1">
        <f>MAX(IFERROR(IF(DB5="x",HLOOKUP("y",DC5:$DW10,5,FALSE),0)+IF(DB5="x",HLOOKUP("y",DC5:$DW10,6,FALSE)*-1-IF(DB5="x",SUM($H6:DA6),0),0),0),0)</f>
        <v>0</v>
      </c>
      <c r="DC6" s="1">
        <f>MAX(IFERROR(IF(DC5="x",HLOOKUP("y",DD5:$DW10,5,FALSE),0)+IF(DC5="x",HLOOKUP("y",DD5:$DW10,6,FALSE)*-1-IF(DC5="x",SUM($H6:DB6),0),0),0),0)</f>
        <v>0</v>
      </c>
      <c r="DD6" s="1">
        <f>MAX(IFERROR(IF(DD5="x",HLOOKUP("y",DE5:$DW10,5,FALSE),0)+IF(DD5="x",HLOOKUP("y",DE5:$DW10,6,FALSE)*-1-IF(DD5="x",SUM($H6:DC6),0),0),0),0)</f>
        <v>0</v>
      </c>
      <c r="DE6" s="1">
        <f>MAX(IFERROR(IF(DE5="x",HLOOKUP("y",DF5:$DW10,5,FALSE),0)+IF(DE5="x",HLOOKUP("y",DF5:$DW10,6,FALSE)*-1-IF(DE5="x",SUM($H6:DD6),0),0),0),0)</f>
        <v>0</v>
      </c>
      <c r="DF6" s="1">
        <f>MAX(IFERROR(IF(DF5="x",HLOOKUP("y",DG5:$DW10,5,FALSE),0)+IF(DF5="x",HLOOKUP("y",DG5:$DW10,6,FALSE)*-1-IF(DF5="x",SUM($H6:DE6),0),0),0),0)</f>
        <v>0</v>
      </c>
      <c r="DG6" s="1">
        <f>MAX(IFERROR(IF(DG5="x",HLOOKUP("y",DH5:$DW10,5,FALSE),0)+IF(DG5="x",HLOOKUP("y",DH5:$DW10,6,FALSE)*-1-IF(DG5="x",SUM($H6:DF6),0),0),0),0)</f>
        <v>0</v>
      </c>
      <c r="DH6" s="1">
        <f>MAX(IFERROR(IF(DH5="x",HLOOKUP("y",DI5:$DW10,5,FALSE),0)+IF(DH5="x",HLOOKUP("y",DI5:$DW10,6,FALSE)*-1-IF(DH5="x",SUM($H6:DG6),0),0),0),0)</f>
        <v>0</v>
      </c>
      <c r="DI6" s="1">
        <f>MAX(IFERROR(IF(DI5="x",HLOOKUP("y",DJ5:$DW10,5,FALSE),0)+IF(DI5="x",HLOOKUP("y",DJ5:$DW10,6,FALSE)*-1-IF(DI5="x",SUM($H6:DH6),0),0),0),0)</f>
        <v>0</v>
      </c>
      <c r="DJ6" s="1">
        <f>MAX(IFERROR(IF(DJ5="x",HLOOKUP("y",DK5:$DW10,5,FALSE),0)+IF(DJ5="x",HLOOKUP("y",DK5:$DW10,6,FALSE)*-1-IF(DJ5="x",SUM($H6:DI6),0),0),0),0)</f>
        <v>0</v>
      </c>
      <c r="DK6" s="1">
        <f>MAX(IFERROR(IF(DK5="x",HLOOKUP("y",DL5:$DW10,5,FALSE),0)+IF(DK5="x",HLOOKUP("y",DL5:$DW10,6,FALSE)*-1-IF(DK5="x",SUM($H6:DJ6),0),0),0),0)</f>
        <v>0</v>
      </c>
      <c r="DL6" s="1">
        <f>MAX(IFERROR(IF(DL5="x",HLOOKUP("y",DM5:$DW10,5,FALSE),0)+IF(DL5="x",HLOOKUP("y",DM5:$DW10,6,FALSE)*-1-IF(DL5="x",SUM($H6:DK6),0),0),0),0)</f>
        <v>0</v>
      </c>
      <c r="DM6" s="1">
        <f>MAX(IFERROR(IF(DM5="x",HLOOKUP("y",DN5:$DW10,5,FALSE),0)+IF(DM5="x",HLOOKUP("y",DN5:$DW10,6,FALSE)*-1-IF(DM5="x",SUM($H6:DL6),0),0),0),0)</f>
        <v>0</v>
      </c>
      <c r="DN6" s="1">
        <f>MAX(IFERROR(IF(DN5="x",HLOOKUP("y",DO5:$DW10,5,FALSE),0)+IF(DN5="x",HLOOKUP("y",DO5:$DW10,6,FALSE)*-1-IF(DN5="x",SUM($H6:DM6),0),0),0),0)</f>
        <v>0</v>
      </c>
      <c r="DO6" s="1">
        <f>MAX(IFERROR(IF(DO5="x",HLOOKUP("y",DP5:$DW10,5,FALSE),0)+IF(DO5="x",HLOOKUP("y",DP5:$DW10,6,FALSE)*-1-IF(DO5="x",SUM($H6:DN6),0),0),0),0)</f>
        <v>0</v>
      </c>
      <c r="DP6" s="1">
        <f>MAX(IFERROR(IF(DP5="x",HLOOKUP("y",DQ5:$DW10,5,FALSE),0)+IF(DP5="x",HLOOKUP("y",DQ5:$DW10,6,FALSE)*-1-IF(DP5="x",SUM($H6:DO6),0),0),0),0)</f>
        <v>0</v>
      </c>
      <c r="DQ6" s="1">
        <f>MAX(IFERROR(IF(DQ5="x",HLOOKUP("y",DR5:$DW10,5,FALSE),0)+IF(DQ5="x",HLOOKUP("y",DR5:$DW10,6,FALSE)*-1-IF(DQ5="x",SUM($H6:DP6),0),0),0),0)</f>
        <v>0</v>
      </c>
      <c r="DR6" s="1">
        <f>MAX(IFERROR(IF(DR5="x",HLOOKUP("y",DS5:$DW10,5,FALSE),0)+IF(DR5="x",HLOOKUP("y",DS5:$DW10,6,FALSE)*-1-IF(DR5="x",SUM($H6:DQ6),0),0),0),0)</f>
        <v>0</v>
      </c>
      <c r="DS6" s="1">
        <f>MAX(IFERROR(IF(DS5="x",HLOOKUP("y",DT5:$DW10,5,FALSE),0)+IF(DS5="x",HLOOKUP("y",DT5:$DW10,6,FALSE)*-1-IF(DS5="x",SUM($H6:DR6),0),0),0),0)</f>
        <v>0</v>
      </c>
      <c r="DT6" s="1">
        <f>MAX(IFERROR(IF(DT5="x",HLOOKUP("y",DU5:$DW10,5,FALSE),0)+IF(DT5="x",HLOOKUP("y",DU5:$DW10,6,FALSE)*-1-IF(DT5="x",SUM($H6:DS6),0),0),0),0)</f>
        <v>0</v>
      </c>
      <c r="DU6" s="1">
        <f>MAX(IFERROR(IF(DU5="x",HLOOKUP("y",DV5:$DW10,5,FALSE),0)+IF(DU5="x",HLOOKUP("y",DV5:$DW10,6,FALSE)*-1-IF(DU5="x",SUM($H6:DT6),0),0),0),0)</f>
        <v>0</v>
      </c>
      <c r="DV6" s="1">
        <f>MAX(IFERROR(IF(DV5="x",HLOOKUP("y",DW5:$DW10,5,FALSE),0)+IF(DV5="x",HLOOKUP("y",DW5:$DW10,6,FALSE)*-1-IF(DV5="x",SUM($H6:DU6),0),0),0),0)</f>
        <v>0</v>
      </c>
      <c r="DW6" s="1">
        <f>MAX(IFERROR(IF(DW5="x",HLOOKUP("y",$DW5:DX10,5,FALSE),0)+IF(DW5="x",HLOOKUP("y",$DW5:DX10,6,FALSE)*-1-IF(DW5="x",SUM($H6:DV6),0),0),0),0)</f>
        <v>0</v>
      </c>
    </row>
    <row r="7" spans="1:127" s="1" customFormat="1" outlineLevel="1" x14ac:dyDescent="0.3">
      <c r="A7" s="1" t="str">
        <f t="shared" si="66"/>
        <v>106022341Production</v>
      </c>
      <c r="B7" s="20">
        <f t="shared" si="67"/>
        <v>106022341</v>
      </c>
      <c r="C7" s="46" t="str">
        <f t="shared" si="68"/>
        <v>L 1 1/2X1 1/2X.155 A529-50 40'00"</v>
      </c>
      <c r="D7" s="20">
        <f t="shared" si="69"/>
        <v>1321</v>
      </c>
      <c r="E7" s="20" t="str">
        <f t="shared" si="70"/>
        <v>1-1/2" ANG</v>
      </c>
      <c r="F7" s="1" t="s">
        <v>172</v>
      </c>
      <c r="H7" s="1">
        <v>0</v>
      </c>
      <c r="I7" s="1">
        <v>0</v>
      </c>
      <c r="J7" s="1">
        <v>0</v>
      </c>
      <c r="K7" s="112">
        <v>272.5</v>
      </c>
      <c r="L7" s="112">
        <v>0</v>
      </c>
      <c r="M7" s="112">
        <v>0</v>
      </c>
      <c r="N7" s="112">
        <v>0</v>
      </c>
      <c r="O7" s="112">
        <v>0</v>
      </c>
      <c r="P7" s="112">
        <v>0</v>
      </c>
      <c r="Q7" s="112">
        <v>0</v>
      </c>
      <c r="R7" s="112">
        <v>0</v>
      </c>
      <c r="S7" s="9">
        <v>38.500000000000028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1">
        <v>6.2999999999999261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6.2999999999998693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</row>
    <row r="8" spans="1:127" outlineLevel="1" x14ac:dyDescent="0.3">
      <c r="A8" s="96" t="str">
        <f t="shared" si="66"/>
        <v>106022341Production from another Mill / SKU</v>
      </c>
      <c r="B8" s="20">
        <f t="shared" si="67"/>
        <v>106022341</v>
      </c>
      <c r="C8" s="20" t="str">
        <f t="shared" si="68"/>
        <v>L 1 1/2X1 1/2X.155 A529-50 40'00"</v>
      </c>
      <c r="D8" s="20">
        <f t="shared" si="69"/>
        <v>1321</v>
      </c>
      <c r="E8" s="20" t="str">
        <f t="shared" si="70"/>
        <v>1-1/2" ANG</v>
      </c>
      <c r="F8" s="35" t="s">
        <v>208</v>
      </c>
      <c r="H8" s="68">
        <f>VLOOKUP(B8,FORECAST!$D:$X,21,FALSE)</f>
        <v>0</v>
      </c>
      <c r="I8" s="1"/>
      <c r="J8" s="1"/>
      <c r="K8" s="112"/>
      <c r="L8" s="112"/>
      <c r="M8" s="112"/>
      <c r="N8" s="112"/>
      <c r="O8" s="112"/>
      <c r="P8" s="112"/>
      <c r="Q8" s="112"/>
      <c r="R8" s="112"/>
      <c r="S8" s="9"/>
      <c r="T8" s="9"/>
      <c r="U8" s="9"/>
      <c r="V8" s="9"/>
      <c r="W8" s="9"/>
      <c r="X8" s="9"/>
      <c r="Y8" s="9"/>
      <c r="Z8" s="9"/>
      <c r="AA8" s="9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s="1" customFormat="1" outlineLevel="1" x14ac:dyDescent="0.3">
      <c r="A9" s="96" t="str">
        <f t="shared" si="66"/>
        <v>106022341Safety Stock</v>
      </c>
      <c r="B9" s="20">
        <f t="shared" si="67"/>
        <v>106022341</v>
      </c>
      <c r="C9" s="20" t="str">
        <f t="shared" si="68"/>
        <v>L 1 1/2X1 1/2X.155 A529-50 40'00"</v>
      </c>
      <c r="D9" s="20">
        <f t="shared" si="69"/>
        <v>1321</v>
      </c>
      <c r="E9" s="20" t="str">
        <f t="shared" si="70"/>
        <v>1-1/2" ANG</v>
      </c>
      <c r="F9" s="5" t="s">
        <v>74</v>
      </c>
      <c r="G9" s="37">
        <f>VLOOKUP(B9,FORECAST!$D:$W,4,FALSE)</f>
        <v>100</v>
      </c>
      <c r="H9" s="38">
        <f>G9</f>
        <v>100</v>
      </c>
      <c r="I9" s="38">
        <f t="shared" ref="I9:BT9" si="71">H9</f>
        <v>100</v>
      </c>
      <c r="J9" s="38">
        <f t="shared" si="71"/>
        <v>100</v>
      </c>
      <c r="K9" s="114">
        <f t="shared" si="71"/>
        <v>100</v>
      </c>
      <c r="L9" s="114">
        <f t="shared" si="71"/>
        <v>100</v>
      </c>
      <c r="M9" s="114">
        <f t="shared" si="71"/>
        <v>100</v>
      </c>
      <c r="N9" s="114">
        <f t="shared" si="71"/>
        <v>100</v>
      </c>
      <c r="O9" s="114">
        <f t="shared" si="71"/>
        <v>100</v>
      </c>
      <c r="P9" s="114">
        <f t="shared" si="71"/>
        <v>100</v>
      </c>
      <c r="Q9" s="114">
        <f t="shared" si="71"/>
        <v>100</v>
      </c>
      <c r="R9" s="114">
        <f t="shared" si="71"/>
        <v>100</v>
      </c>
      <c r="S9" s="118">
        <f t="shared" si="71"/>
        <v>100</v>
      </c>
      <c r="T9" s="118">
        <f t="shared" si="71"/>
        <v>100</v>
      </c>
      <c r="U9" s="118">
        <f t="shared" si="71"/>
        <v>100</v>
      </c>
      <c r="V9" s="118">
        <f t="shared" si="71"/>
        <v>100</v>
      </c>
      <c r="W9" s="118">
        <f t="shared" si="71"/>
        <v>100</v>
      </c>
      <c r="X9" s="118">
        <f t="shared" si="71"/>
        <v>100</v>
      </c>
      <c r="Y9" s="118">
        <f t="shared" si="71"/>
        <v>100</v>
      </c>
      <c r="Z9" s="118">
        <f t="shared" si="71"/>
        <v>100</v>
      </c>
      <c r="AA9" s="118">
        <f t="shared" si="71"/>
        <v>100</v>
      </c>
      <c r="AB9" s="38">
        <f t="shared" si="71"/>
        <v>100</v>
      </c>
      <c r="AC9" s="38">
        <f t="shared" si="71"/>
        <v>100</v>
      </c>
      <c r="AD9" s="38">
        <f t="shared" si="71"/>
        <v>100</v>
      </c>
      <c r="AE9" s="38">
        <f t="shared" si="71"/>
        <v>100</v>
      </c>
      <c r="AF9" s="38">
        <f t="shared" si="71"/>
        <v>100</v>
      </c>
      <c r="AG9" s="38">
        <f t="shared" si="71"/>
        <v>100</v>
      </c>
      <c r="AH9" s="38">
        <f t="shared" si="71"/>
        <v>100</v>
      </c>
      <c r="AI9" s="38">
        <f t="shared" si="71"/>
        <v>100</v>
      </c>
      <c r="AJ9" s="38">
        <f t="shared" si="71"/>
        <v>100</v>
      </c>
      <c r="AK9" s="38">
        <f t="shared" si="71"/>
        <v>100</v>
      </c>
      <c r="AL9" s="38">
        <f t="shared" si="71"/>
        <v>100</v>
      </c>
      <c r="AM9" s="38">
        <f t="shared" si="71"/>
        <v>100</v>
      </c>
      <c r="AN9" s="38">
        <f t="shared" si="71"/>
        <v>100</v>
      </c>
      <c r="AO9" s="38">
        <f t="shared" si="71"/>
        <v>100</v>
      </c>
      <c r="AP9" s="38">
        <f t="shared" si="71"/>
        <v>100</v>
      </c>
      <c r="AQ9" s="38">
        <f t="shared" si="71"/>
        <v>100</v>
      </c>
      <c r="AR9" s="38">
        <f t="shared" si="71"/>
        <v>100</v>
      </c>
      <c r="AS9" s="38">
        <f t="shared" si="71"/>
        <v>100</v>
      </c>
      <c r="AT9" s="38">
        <f t="shared" si="71"/>
        <v>100</v>
      </c>
      <c r="AU9" s="38">
        <f t="shared" si="71"/>
        <v>100</v>
      </c>
      <c r="AV9" s="38">
        <f t="shared" si="71"/>
        <v>100</v>
      </c>
      <c r="AW9" s="38">
        <f t="shared" si="71"/>
        <v>100</v>
      </c>
      <c r="AX9" s="38">
        <f t="shared" si="71"/>
        <v>100</v>
      </c>
      <c r="AY9" s="38">
        <f t="shared" si="71"/>
        <v>100</v>
      </c>
      <c r="AZ9" s="38">
        <f t="shared" si="71"/>
        <v>100</v>
      </c>
      <c r="BA9" s="38">
        <f t="shared" si="71"/>
        <v>100</v>
      </c>
      <c r="BB9" s="38">
        <f t="shared" si="71"/>
        <v>100</v>
      </c>
      <c r="BC9" s="38">
        <f t="shared" si="71"/>
        <v>100</v>
      </c>
      <c r="BD9" s="38">
        <f t="shared" si="71"/>
        <v>100</v>
      </c>
      <c r="BE9" s="38">
        <f t="shared" si="71"/>
        <v>100</v>
      </c>
      <c r="BF9" s="38">
        <f t="shared" si="71"/>
        <v>100</v>
      </c>
      <c r="BG9" s="38">
        <f t="shared" si="71"/>
        <v>100</v>
      </c>
      <c r="BH9" s="38">
        <f t="shared" si="71"/>
        <v>100</v>
      </c>
      <c r="BI9" s="38">
        <f t="shared" si="71"/>
        <v>100</v>
      </c>
      <c r="BJ9" s="38">
        <f t="shared" si="71"/>
        <v>100</v>
      </c>
      <c r="BK9" s="38">
        <f t="shared" si="71"/>
        <v>100</v>
      </c>
      <c r="BL9" s="38">
        <f t="shared" si="71"/>
        <v>100</v>
      </c>
      <c r="BM9" s="38">
        <f t="shared" si="71"/>
        <v>100</v>
      </c>
      <c r="BN9" s="38">
        <f t="shared" si="71"/>
        <v>100</v>
      </c>
      <c r="BO9" s="38">
        <f t="shared" si="71"/>
        <v>100</v>
      </c>
      <c r="BP9" s="38">
        <f t="shared" si="71"/>
        <v>100</v>
      </c>
      <c r="BQ9" s="38">
        <f t="shared" si="71"/>
        <v>100</v>
      </c>
      <c r="BR9" s="38">
        <f t="shared" si="71"/>
        <v>100</v>
      </c>
      <c r="BS9" s="38">
        <f t="shared" si="71"/>
        <v>100</v>
      </c>
      <c r="BT9" s="38">
        <f t="shared" si="71"/>
        <v>100</v>
      </c>
      <c r="BU9" s="38">
        <f t="shared" ref="BU9:DW9" si="72">BT9</f>
        <v>100</v>
      </c>
      <c r="BV9" s="38">
        <f t="shared" si="72"/>
        <v>100</v>
      </c>
      <c r="BW9" s="38">
        <f t="shared" si="72"/>
        <v>100</v>
      </c>
      <c r="BX9" s="38">
        <f t="shared" si="72"/>
        <v>100</v>
      </c>
      <c r="BY9" s="38">
        <f t="shared" si="72"/>
        <v>100</v>
      </c>
      <c r="BZ9" s="38">
        <f t="shared" si="72"/>
        <v>100</v>
      </c>
      <c r="CA9" s="38">
        <f t="shared" si="72"/>
        <v>100</v>
      </c>
      <c r="CB9" s="38">
        <f t="shared" si="72"/>
        <v>100</v>
      </c>
      <c r="CC9" s="38">
        <f t="shared" si="72"/>
        <v>100</v>
      </c>
      <c r="CD9" s="38">
        <f t="shared" si="72"/>
        <v>100</v>
      </c>
      <c r="CE9" s="38">
        <f t="shared" si="72"/>
        <v>100</v>
      </c>
      <c r="CF9" s="38">
        <f t="shared" si="72"/>
        <v>100</v>
      </c>
      <c r="CG9" s="38">
        <f t="shared" si="72"/>
        <v>100</v>
      </c>
      <c r="CH9" s="38">
        <f t="shared" si="72"/>
        <v>100</v>
      </c>
      <c r="CI9" s="38">
        <f t="shared" si="72"/>
        <v>100</v>
      </c>
      <c r="CJ9" s="38">
        <f t="shared" si="72"/>
        <v>100</v>
      </c>
      <c r="CK9" s="38">
        <f t="shared" si="72"/>
        <v>100</v>
      </c>
      <c r="CL9" s="38">
        <f t="shared" si="72"/>
        <v>100</v>
      </c>
      <c r="CM9" s="38">
        <f t="shared" si="72"/>
        <v>100</v>
      </c>
      <c r="CN9" s="38">
        <f t="shared" si="72"/>
        <v>100</v>
      </c>
      <c r="CO9" s="38">
        <f t="shared" si="72"/>
        <v>100</v>
      </c>
      <c r="CP9" s="38">
        <f t="shared" si="72"/>
        <v>100</v>
      </c>
      <c r="CQ9" s="38">
        <f t="shared" si="72"/>
        <v>100</v>
      </c>
      <c r="CR9" s="38">
        <f t="shared" si="72"/>
        <v>100</v>
      </c>
      <c r="CS9" s="38">
        <f t="shared" si="72"/>
        <v>100</v>
      </c>
      <c r="CT9" s="38">
        <f t="shared" si="72"/>
        <v>100</v>
      </c>
      <c r="CU9" s="38">
        <f t="shared" si="72"/>
        <v>100</v>
      </c>
      <c r="CV9" s="38">
        <f t="shared" si="72"/>
        <v>100</v>
      </c>
      <c r="CW9" s="38">
        <f t="shared" si="72"/>
        <v>100</v>
      </c>
      <c r="CX9" s="38">
        <f t="shared" si="72"/>
        <v>100</v>
      </c>
      <c r="CY9" s="38">
        <f t="shared" si="72"/>
        <v>100</v>
      </c>
      <c r="CZ9" s="38">
        <f t="shared" si="72"/>
        <v>100</v>
      </c>
      <c r="DA9" s="38">
        <f t="shared" si="72"/>
        <v>100</v>
      </c>
      <c r="DB9" s="38">
        <f t="shared" si="72"/>
        <v>100</v>
      </c>
      <c r="DC9" s="38">
        <f t="shared" si="72"/>
        <v>100</v>
      </c>
      <c r="DD9" s="38">
        <f t="shared" si="72"/>
        <v>100</v>
      </c>
      <c r="DE9" s="38">
        <f t="shared" si="72"/>
        <v>100</v>
      </c>
      <c r="DF9" s="38">
        <f t="shared" si="72"/>
        <v>100</v>
      </c>
      <c r="DG9" s="38">
        <f t="shared" si="72"/>
        <v>100</v>
      </c>
      <c r="DH9" s="38">
        <f t="shared" si="72"/>
        <v>100</v>
      </c>
      <c r="DI9" s="38">
        <f t="shared" si="72"/>
        <v>100</v>
      </c>
      <c r="DJ9" s="38">
        <f t="shared" si="72"/>
        <v>100</v>
      </c>
      <c r="DK9" s="38">
        <f t="shared" si="72"/>
        <v>100</v>
      </c>
      <c r="DL9" s="38">
        <f t="shared" si="72"/>
        <v>100</v>
      </c>
      <c r="DM9" s="38">
        <f t="shared" si="72"/>
        <v>100</v>
      </c>
      <c r="DN9" s="38">
        <f t="shared" si="72"/>
        <v>100</v>
      </c>
      <c r="DO9" s="38">
        <f t="shared" si="72"/>
        <v>100</v>
      </c>
      <c r="DP9" s="38">
        <f t="shared" si="72"/>
        <v>100</v>
      </c>
      <c r="DQ9" s="38">
        <f t="shared" si="72"/>
        <v>100</v>
      </c>
      <c r="DR9" s="38">
        <f t="shared" si="72"/>
        <v>100</v>
      </c>
      <c r="DS9" s="38">
        <f t="shared" si="72"/>
        <v>100</v>
      </c>
      <c r="DT9" s="38">
        <f t="shared" si="72"/>
        <v>100</v>
      </c>
      <c r="DU9" s="38">
        <f t="shared" si="72"/>
        <v>100</v>
      </c>
      <c r="DV9" s="38">
        <f t="shared" si="72"/>
        <v>100</v>
      </c>
      <c r="DW9" s="38">
        <f t="shared" si="72"/>
        <v>100</v>
      </c>
    </row>
    <row r="10" spans="1:127" outlineLevel="1" x14ac:dyDescent="0.3">
      <c r="A10" s="96" t="str">
        <f t="shared" si="66"/>
        <v>106022341Projected Stock</v>
      </c>
      <c r="B10" s="20">
        <f t="shared" si="67"/>
        <v>106022341</v>
      </c>
      <c r="C10" s="20" t="str">
        <f t="shared" si="68"/>
        <v>L 1 1/2X1 1/2X.155 A529-50 40'00"</v>
      </c>
      <c r="D10" s="20">
        <f t="shared" si="69"/>
        <v>1321</v>
      </c>
      <c r="E10" s="20" t="str">
        <f t="shared" si="70"/>
        <v>1-1/2" ANG</v>
      </c>
      <c r="F10" s="4" t="s">
        <v>209</v>
      </c>
      <c r="G10" s="1">
        <f>SUM(G2:G3)</f>
        <v>62</v>
      </c>
      <c r="H10" s="1">
        <f>G10-H4+H7+H8</f>
        <v>51.5</v>
      </c>
      <c r="I10" s="1">
        <f t="shared" ref="I10:BT10" si="73">H10-I4+I7+I8</f>
        <v>30.733333333333334</v>
      </c>
      <c r="J10" s="1">
        <f t="shared" si="73"/>
        <v>9.9666666666666686</v>
      </c>
      <c r="K10" s="112">
        <f t="shared" si="73"/>
        <v>261.7</v>
      </c>
      <c r="L10" s="112">
        <f t="shared" si="73"/>
        <v>240.93333333333334</v>
      </c>
      <c r="M10" s="112">
        <f t="shared" si="73"/>
        <v>213.63333333333333</v>
      </c>
      <c r="N10" s="112">
        <f t="shared" si="73"/>
        <v>186.33333333333331</v>
      </c>
      <c r="O10" s="112">
        <f t="shared" si="73"/>
        <v>159.0333333333333</v>
      </c>
      <c r="P10" s="112">
        <f t="shared" si="73"/>
        <v>131.73333333333329</v>
      </c>
      <c r="Q10" s="112">
        <f t="shared" si="73"/>
        <v>104.43333333333329</v>
      </c>
      <c r="R10" s="112">
        <f t="shared" si="73"/>
        <v>99.999999999999957</v>
      </c>
      <c r="S10" s="9">
        <f t="shared" si="73"/>
        <v>134.06666666666666</v>
      </c>
      <c r="T10" s="9">
        <f t="shared" si="73"/>
        <v>129.63333333333333</v>
      </c>
      <c r="U10" s="9">
        <f t="shared" si="73"/>
        <v>125.19999999999999</v>
      </c>
      <c r="V10" s="9">
        <f t="shared" si="73"/>
        <v>120.29999999999998</v>
      </c>
      <c r="W10" s="9">
        <f t="shared" si="73"/>
        <v>115.39999999999998</v>
      </c>
      <c r="X10" s="9">
        <f t="shared" si="73"/>
        <v>110.49999999999997</v>
      </c>
      <c r="Y10" s="9">
        <f t="shared" si="73"/>
        <v>105.59999999999997</v>
      </c>
      <c r="Z10" s="9">
        <f t="shared" si="73"/>
        <v>100.69999999999996</v>
      </c>
      <c r="AA10" s="9">
        <f t="shared" si="73"/>
        <v>99.999999999999957</v>
      </c>
      <c r="AB10" s="1">
        <f t="shared" si="73"/>
        <v>105.59999999999988</v>
      </c>
      <c r="AC10" s="1">
        <f t="shared" si="73"/>
        <v>104.89999999999988</v>
      </c>
      <c r="AD10" s="1">
        <f t="shared" si="73"/>
        <v>104.19999999999987</v>
      </c>
      <c r="AE10" s="1">
        <f t="shared" si="73"/>
        <v>103.49999999999987</v>
      </c>
      <c r="AF10" s="1">
        <f t="shared" si="73"/>
        <v>102.79999999999987</v>
      </c>
      <c r="AG10" s="1">
        <f t="shared" si="73"/>
        <v>102.09999999999987</v>
      </c>
      <c r="AH10" s="1">
        <f t="shared" si="73"/>
        <v>101.39999999999986</v>
      </c>
      <c r="AI10" s="1">
        <f t="shared" si="73"/>
        <v>100.69999999999986</v>
      </c>
      <c r="AJ10" s="1">
        <f t="shared" si="73"/>
        <v>99.999999999999858</v>
      </c>
      <c r="AK10" s="1">
        <f t="shared" si="73"/>
        <v>105.59999999999972</v>
      </c>
      <c r="AL10" s="1">
        <f t="shared" si="73"/>
        <v>104.89999999999972</v>
      </c>
      <c r="AM10" s="1">
        <f t="shared" si="73"/>
        <v>104.19999999999972</v>
      </c>
      <c r="AN10" s="1">
        <f t="shared" si="73"/>
        <v>103.49999999999972</v>
      </c>
      <c r="AO10" s="1">
        <f t="shared" si="73"/>
        <v>102.79999999999971</v>
      </c>
      <c r="AP10" s="1">
        <f t="shared" si="73"/>
        <v>102.09999999999971</v>
      </c>
      <c r="AQ10" s="1">
        <f t="shared" si="73"/>
        <v>101.39999999999971</v>
      </c>
      <c r="AR10" s="1">
        <f t="shared" si="73"/>
        <v>100.6999999999997</v>
      </c>
      <c r="AS10" s="1">
        <f t="shared" si="73"/>
        <v>99.999999999999702</v>
      </c>
      <c r="AT10" s="1">
        <f t="shared" si="73"/>
        <v>99.299999999999699</v>
      </c>
      <c r="AU10" s="1">
        <f t="shared" si="73"/>
        <v>98.599999999999696</v>
      </c>
      <c r="AV10" s="1">
        <f t="shared" si="73"/>
        <v>97.899999999999693</v>
      </c>
      <c r="AW10" s="1">
        <f t="shared" si="73"/>
        <v>97.19999999999969</v>
      </c>
      <c r="AX10" s="1">
        <f t="shared" si="73"/>
        <v>96.499999999999687</v>
      </c>
      <c r="AY10" s="1">
        <f t="shared" si="73"/>
        <v>95.799999999999685</v>
      </c>
      <c r="AZ10" s="1">
        <f t="shared" si="73"/>
        <v>95.099999999999682</v>
      </c>
      <c r="BA10" s="1">
        <f t="shared" si="73"/>
        <v>94.399999999999679</v>
      </c>
      <c r="BB10" s="1">
        <f t="shared" si="73"/>
        <v>93.699999999999676</v>
      </c>
      <c r="BC10" s="1">
        <f t="shared" si="73"/>
        <v>92.999999999999673</v>
      </c>
      <c r="BD10" s="1">
        <f t="shared" si="73"/>
        <v>92.29999999999967</v>
      </c>
      <c r="BE10" s="1">
        <f t="shared" si="73"/>
        <v>91.599999999999667</v>
      </c>
      <c r="BF10" s="1">
        <f t="shared" si="73"/>
        <v>90.899999999999665</v>
      </c>
      <c r="BG10" s="1">
        <f t="shared" si="73"/>
        <v>90.199999999999662</v>
      </c>
      <c r="BH10" s="1">
        <f t="shared" si="73"/>
        <v>89.499999999999659</v>
      </c>
      <c r="BI10" s="1">
        <f t="shared" si="73"/>
        <v>88.799999999999656</v>
      </c>
      <c r="BJ10" s="1">
        <f t="shared" si="73"/>
        <v>88.099999999999653</v>
      </c>
      <c r="BK10" s="1">
        <f t="shared" si="73"/>
        <v>87.39999999999965</v>
      </c>
      <c r="BL10" s="1">
        <f t="shared" si="73"/>
        <v>86.699999999999648</v>
      </c>
      <c r="BM10" s="1">
        <f t="shared" si="73"/>
        <v>85.999999999999645</v>
      </c>
      <c r="BN10" s="1">
        <f t="shared" si="73"/>
        <v>85.299999999999642</v>
      </c>
      <c r="BO10" s="1">
        <f t="shared" si="73"/>
        <v>84.599999999999639</v>
      </c>
      <c r="BP10" s="1">
        <f t="shared" si="73"/>
        <v>83.899999999999636</v>
      </c>
      <c r="BQ10" s="1">
        <f t="shared" si="73"/>
        <v>83.199999999999633</v>
      </c>
      <c r="BR10" s="1">
        <f t="shared" si="73"/>
        <v>82.499999999999631</v>
      </c>
      <c r="BS10" s="1">
        <f t="shared" si="73"/>
        <v>81.799999999999628</v>
      </c>
      <c r="BT10" s="1">
        <f t="shared" si="73"/>
        <v>81.099999999999625</v>
      </c>
      <c r="BU10" s="1">
        <f t="shared" ref="BU10:DW10" si="74">BT10-BU4+BU7+BU8</f>
        <v>80.399999999999622</v>
      </c>
      <c r="BV10" s="1">
        <f t="shared" si="74"/>
        <v>79.699999999999619</v>
      </c>
      <c r="BW10" s="1">
        <f t="shared" si="74"/>
        <v>78.999999999999616</v>
      </c>
      <c r="BX10" s="1">
        <f t="shared" si="74"/>
        <v>78.299999999999613</v>
      </c>
      <c r="BY10" s="1">
        <f t="shared" si="74"/>
        <v>77.599999999999611</v>
      </c>
      <c r="BZ10" s="1">
        <f t="shared" si="74"/>
        <v>76.899999999999608</v>
      </c>
      <c r="CA10" s="1">
        <f t="shared" si="74"/>
        <v>76.199999999999605</v>
      </c>
      <c r="CB10" s="1">
        <f t="shared" si="74"/>
        <v>75.499999999999602</v>
      </c>
      <c r="CC10" s="1">
        <f t="shared" si="74"/>
        <v>74.799999999999599</v>
      </c>
      <c r="CD10" s="1">
        <f t="shared" si="74"/>
        <v>74.099999999999596</v>
      </c>
      <c r="CE10" s="1">
        <f t="shared" si="74"/>
        <v>73.399999999999594</v>
      </c>
      <c r="CF10" s="1">
        <f t="shared" si="74"/>
        <v>72.699999999999591</v>
      </c>
      <c r="CG10" s="1">
        <f t="shared" si="74"/>
        <v>71.999999999999588</v>
      </c>
      <c r="CH10" s="1">
        <f t="shared" si="74"/>
        <v>71.299999999999585</v>
      </c>
      <c r="CI10" s="1">
        <f t="shared" si="74"/>
        <v>70.599999999999582</v>
      </c>
      <c r="CJ10" s="1">
        <f t="shared" si="74"/>
        <v>69.899999999999579</v>
      </c>
      <c r="CK10" s="1">
        <f t="shared" si="74"/>
        <v>69.199999999999577</v>
      </c>
      <c r="CL10" s="1">
        <f t="shared" si="74"/>
        <v>68.499999999999574</v>
      </c>
      <c r="CM10" s="1">
        <f t="shared" si="74"/>
        <v>67.799999999999571</v>
      </c>
      <c r="CN10" s="1">
        <f t="shared" si="74"/>
        <v>67.099999999999568</v>
      </c>
      <c r="CO10" s="1">
        <f t="shared" si="74"/>
        <v>66.399999999999565</v>
      </c>
      <c r="CP10" s="1">
        <f t="shared" si="74"/>
        <v>65.699999999999562</v>
      </c>
      <c r="CQ10" s="1">
        <f t="shared" si="74"/>
        <v>64.999999999999559</v>
      </c>
      <c r="CR10" s="1">
        <f t="shared" si="74"/>
        <v>64.299999999999557</v>
      </c>
      <c r="CS10" s="1">
        <f t="shared" si="74"/>
        <v>63.599999999999554</v>
      </c>
      <c r="CT10" s="1">
        <f t="shared" si="74"/>
        <v>62.899999999999551</v>
      </c>
      <c r="CU10" s="1">
        <f t="shared" si="74"/>
        <v>62.199999999999548</v>
      </c>
      <c r="CV10" s="1">
        <f t="shared" si="74"/>
        <v>61.499999999999545</v>
      </c>
      <c r="CW10" s="1">
        <f t="shared" si="74"/>
        <v>60.799999999999542</v>
      </c>
      <c r="CX10" s="1">
        <f t="shared" si="74"/>
        <v>60.09999999999954</v>
      </c>
      <c r="CY10" s="1">
        <f t="shared" si="74"/>
        <v>59.399999999999537</v>
      </c>
      <c r="CZ10" s="1">
        <f t="shared" si="74"/>
        <v>58.699999999999534</v>
      </c>
      <c r="DA10" s="1">
        <f t="shared" si="74"/>
        <v>57.999999999999531</v>
      </c>
      <c r="DB10" s="1">
        <f t="shared" si="74"/>
        <v>57.299999999999528</v>
      </c>
      <c r="DC10" s="1">
        <f t="shared" si="74"/>
        <v>56.599999999999525</v>
      </c>
      <c r="DD10" s="1">
        <f t="shared" si="74"/>
        <v>55.899999999999523</v>
      </c>
      <c r="DE10" s="1">
        <f t="shared" si="74"/>
        <v>55.19999999999952</v>
      </c>
      <c r="DF10" s="1">
        <f t="shared" si="74"/>
        <v>54.499999999999517</v>
      </c>
      <c r="DG10" s="1">
        <f t="shared" si="74"/>
        <v>53.799999999999514</v>
      </c>
      <c r="DH10" s="1">
        <f t="shared" si="74"/>
        <v>53.099999999999511</v>
      </c>
      <c r="DI10" s="1">
        <f t="shared" si="74"/>
        <v>52.399999999999508</v>
      </c>
      <c r="DJ10" s="1">
        <f t="shared" si="74"/>
        <v>51.699999999999505</v>
      </c>
      <c r="DK10" s="1">
        <f t="shared" si="74"/>
        <v>50.999999999999503</v>
      </c>
      <c r="DL10" s="1">
        <f t="shared" si="74"/>
        <v>50.2999999999995</v>
      </c>
      <c r="DM10" s="1">
        <f t="shared" si="74"/>
        <v>49.599999999999497</v>
      </c>
      <c r="DN10" s="1">
        <f t="shared" si="74"/>
        <v>48.899999999999494</v>
      </c>
      <c r="DO10" s="1">
        <f t="shared" si="74"/>
        <v>48.199999999999491</v>
      </c>
      <c r="DP10" s="1">
        <f t="shared" si="74"/>
        <v>47.499999999999488</v>
      </c>
      <c r="DQ10" s="1">
        <f t="shared" si="74"/>
        <v>46.799999999999486</v>
      </c>
      <c r="DR10" s="1">
        <f t="shared" si="74"/>
        <v>46.099999999999483</v>
      </c>
      <c r="DS10" s="1">
        <f t="shared" si="74"/>
        <v>45.39999999999948</v>
      </c>
      <c r="DT10" s="1">
        <f t="shared" si="74"/>
        <v>44.699999999999477</v>
      </c>
      <c r="DU10" s="1">
        <f t="shared" si="74"/>
        <v>43.999999999999474</v>
      </c>
      <c r="DV10" s="1">
        <f t="shared" si="74"/>
        <v>43.299999999999471</v>
      </c>
      <c r="DW10" s="1">
        <f t="shared" si="74"/>
        <v>42.599999999999469</v>
      </c>
    </row>
    <row r="11" spans="1:127" ht="28.8" x14ac:dyDescent="0.3">
      <c r="A11" s="96" t="str">
        <f t="shared" si="66"/>
        <v>106028776Header</v>
      </c>
      <c r="B11" s="11">
        <v>106028776</v>
      </c>
      <c r="C11" s="11" t="s">
        <v>60</v>
      </c>
      <c r="D11" s="11">
        <f>VLOOKUP($B11,FORECAST!$D:$V,18,FALSE)</f>
        <v>1333</v>
      </c>
      <c r="E11" s="11" t="str">
        <f>VLOOKUP($B11,FORECAST!$D:$V,19,FALSE)</f>
        <v>2-1/2" ANG</v>
      </c>
      <c r="F11" s="11" t="s">
        <v>200</v>
      </c>
      <c r="G11" s="43" t="s">
        <v>151</v>
      </c>
      <c r="H11" s="43" t="s">
        <v>201</v>
      </c>
      <c r="I11" s="43" t="s">
        <v>125</v>
      </c>
      <c r="J11" s="43" t="s">
        <v>97</v>
      </c>
      <c r="K11" s="111" t="s">
        <v>202</v>
      </c>
      <c r="L11" s="111" t="s">
        <v>203</v>
      </c>
      <c r="M11" s="112"/>
      <c r="N11" s="112"/>
      <c r="O11" s="112"/>
      <c r="P11" s="112"/>
      <c r="Q11" s="112"/>
      <c r="R11" s="112"/>
      <c r="S11" s="9"/>
      <c r="T11" s="9"/>
      <c r="U11" s="9"/>
      <c r="V11" s="9"/>
      <c r="W11" s="9"/>
      <c r="X11" s="9"/>
      <c r="Y11" s="9"/>
      <c r="Z11" s="9"/>
      <c r="AA11" s="9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</row>
    <row r="12" spans="1:127" outlineLevel="1" x14ac:dyDescent="0.3">
      <c r="A12" s="96" t="str">
        <f t="shared" ref="A12:A19" si="75">CONCATENATE(B12,F12)</f>
        <v>106028776Inventory</v>
      </c>
      <c r="B12" s="20">
        <f t="shared" si="67"/>
        <v>106028776</v>
      </c>
      <c r="C12" s="20" t="str">
        <f t="shared" si="68"/>
        <v>L 2 1/2X2 1/2X1/4 GGMULTI 50'00"</v>
      </c>
      <c r="D12" s="20">
        <f t="shared" si="69"/>
        <v>1333</v>
      </c>
      <c r="E12" s="20" t="str">
        <f t="shared" si="70"/>
        <v>2-1/2" ANG</v>
      </c>
      <c r="F12" s="11" t="s">
        <v>204</v>
      </c>
      <c r="G12" s="68">
        <f>SUM(H12:L12)</f>
        <v>383</v>
      </c>
      <c r="H12" s="36">
        <f>SUMIFS(FORECAST!$I:$I,FORECAST!$D:$D,MRP!$B12)</f>
        <v>360</v>
      </c>
      <c r="I12" s="36">
        <f>SUMIFS(FORECAST!$Q:$Q,FORECAST!$D:$D,B12)</f>
        <v>23</v>
      </c>
      <c r="J12" s="36">
        <f>SUMIFS(FORECAST!$R:$R,FORECAST!$D:$D,B12)</f>
        <v>0</v>
      </c>
      <c r="K12" s="112">
        <f>SUMIFS(FORECAST!$S:$S,FORECAST!$D:$D,B12)</f>
        <v>0</v>
      </c>
      <c r="L12" s="112">
        <f>SUMIFS(FORECAST!$T:$T,FORECAST!$D:$D,B12)</f>
        <v>0</v>
      </c>
      <c r="M12" s="112"/>
      <c r="N12" s="112"/>
      <c r="O12" s="112"/>
      <c r="P12" s="112"/>
      <c r="Q12" s="112"/>
      <c r="R12" s="112"/>
      <c r="S12" s="9"/>
      <c r="T12" s="9"/>
      <c r="U12" s="9"/>
      <c r="V12" s="9"/>
      <c r="W12" s="9"/>
      <c r="X12" s="9"/>
      <c r="Y12" s="9"/>
      <c r="Z12" s="9"/>
      <c r="AA12" s="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</row>
    <row r="13" spans="1:127" outlineLevel="1" x14ac:dyDescent="0.3">
      <c r="A13" s="96" t="str">
        <f t="shared" si="75"/>
        <v>106028776Shipments</v>
      </c>
      <c r="B13" s="20">
        <f t="shared" si="67"/>
        <v>106028776</v>
      </c>
      <c r="C13" s="20" t="str">
        <f t="shared" si="68"/>
        <v>L 2 1/2X2 1/2X1/4 GGMULTI 50'00"</v>
      </c>
      <c r="D13" s="20">
        <f t="shared" si="69"/>
        <v>1333</v>
      </c>
      <c r="E13" s="20" t="str">
        <f t="shared" si="70"/>
        <v>2-1/2" ANG</v>
      </c>
      <c r="F13" s="4" t="s">
        <v>205</v>
      </c>
      <c r="H13" s="19" cm="1">
        <f t="array" ref="H13">IFERROR(VLOOKUP($B13,FORECAST!$D$2:$O$25,7+H$75,FALSE)/30*7,G13)</f>
        <v>2.5666666666666664</v>
      </c>
      <c r="I13" s="19" cm="1">
        <f t="array" ref="I13">IFERROR(VLOOKUP($B13,FORECAST!$D$2:$O$25,7+I$75,FALSE)/30*7,H13)</f>
        <v>19.833333333333336</v>
      </c>
      <c r="J13" s="19" cm="1">
        <f t="array" ref="J13">IFERROR(VLOOKUP($B13,FORECAST!$D$2:$O$25,7+J$75,FALSE)/30*7,I13)</f>
        <v>19.833333333333336</v>
      </c>
      <c r="K13" s="113" cm="1">
        <f t="array" ref="K13">IFERROR(VLOOKUP($B13,FORECAST!$D$2:$O$25,7+K$75,FALSE)/30*7,J13)</f>
        <v>19.833333333333336</v>
      </c>
      <c r="L13" s="113" cm="1">
        <f t="array" ref="L13">IFERROR(VLOOKUP($B13,FORECAST!$D$2:$O$25,7+L$75,FALSE)/30*7,K13)</f>
        <v>19.833333333333336</v>
      </c>
      <c r="M13" s="113" cm="1">
        <f t="array" ref="M13">IFERROR(VLOOKUP($B13,FORECAST!$D$2:$O$25,7+M$75,FALSE)/30*7,L13)</f>
        <v>11.9</v>
      </c>
      <c r="N13" s="113" cm="1">
        <f t="array" ref="N13">IFERROR(VLOOKUP($B13,FORECAST!$D$2:$O$25,7+N$75,FALSE)/30*7,M13)</f>
        <v>11.9</v>
      </c>
      <c r="O13" s="113" cm="1">
        <f t="array" ref="O13">IFERROR(VLOOKUP($B13,FORECAST!$D$2:$O$25,7+O$75,FALSE)/30*7,N13)</f>
        <v>11.9</v>
      </c>
      <c r="P13" s="113" cm="1">
        <f t="array" ref="P13">IFERROR(VLOOKUP($B13,FORECAST!$D$2:$O$25,7+P$75,FALSE)/30*7,O13)</f>
        <v>11.9</v>
      </c>
      <c r="Q13" s="113" cm="1">
        <f t="array" ref="Q13">IFERROR(VLOOKUP($B13,FORECAST!$D$2:$O$25,7+Q$75,FALSE)/30*7,P13)</f>
        <v>11.9</v>
      </c>
      <c r="R13" s="113" cm="1">
        <f t="array" ref="R13">IFERROR(VLOOKUP($B13,FORECAST!$D$2:$O$25,7+R$75,FALSE)/30*7,Q13)</f>
        <v>3.5</v>
      </c>
      <c r="S13" s="117" cm="1">
        <f t="array" ref="S13">IFERROR(VLOOKUP($B13,FORECAST!$D$2:$O$25,7+S$75,FALSE)/30*7,R13)</f>
        <v>3.5</v>
      </c>
      <c r="T13" s="117" cm="1">
        <f t="array" ref="T13">IFERROR(VLOOKUP($B13,FORECAST!$D$2:$O$25,7+T$75,FALSE)/30*7,S13)</f>
        <v>3.5</v>
      </c>
      <c r="U13" s="117" cm="1">
        <f t="array" ref="U13">IFERROR(VLOOKUP($B13,FORECAST!$D$2:$O$25,7+U$75,FALSE)/30*7,T13)</f>
        <v>3.5</v>
      </c>
      <c r="V13" s="117" cm="1">
        <f t="array" ref="V13">IFERROR(VLOOKUP($B13,FORECAST!$D$2:$O$25,7+V$75,FALSE)/30*7,U13)</f>
        <v>9.3333333333333321</v>
      </c>
      <c r="W13" s="117" cm="1">
        <f t="array" ref="W13">IFERROR(VLOOKUP($B13,FORECAST!$D$2:$O$25,7+W$75,FALSE)/30*7,V13)</f>
        <v>9.3333333333333321</v>
      </c>
      <c r="X13" s="117" cm="1">
        <f t="array" ref="X13">IFERROR(VLOOKUP($B13,FORECAST!$D$2:$O$25,7+X$75,FALSE)/30*7,W13)</f>
        <v>9.3333333333333321</v>
      </c>
      <c r="Y13" s="117" cm="1">
        <f t="array" ref="Y13">IFERROR(VLOOKUP($B13,FORECAST!$D$2:$O$25,7+Y$75,FALSE)/30*7,X13)</f>
        <v>9.3333333333333321</v>
      </c>
      <c r="Z13" s="117" cm="1">
        <f t="array" ref="Z13">IFERROR(VLOOKUP($B13,FORECAST!$D$2:$O$25,7+Z$75,FALSE)/30*7,Y13)</f>
        <v>9.3333333333333321</v>
      </c>
      <c r="AA13" s="117" cm="1">
        <f t="array" ref="AA13">IFERROR(VLOOKUP($B13,FORECAST!$D$2:$O$25,7+AA$75,FALSE)/30*7,Z13)</f>
        <v>0.70000000000000007</v>
      </c>
      <c r="AB13" s="19" cm="1">
        <f t="array" ref="AB13">IFERROR(VLOOKUP($B13,FORECAST!$D$2:$O$25,7+AB$75,FALSE)/30*7,AA13)</f>
        <v>0.70000000000000007</v>
      </c>
      <c r="AC13" s="19" cm="1">
        <f t="array" ref="AC13">IFERROR(VLOOKUP($B13,FORECAST!$D$2:$O$25,7+AC$75,FALSE)/30*7,AB13)</f>
        <v>0.70000000000000007</v>
      </c>
      <c r="AD13" s="19" cm="1">
        <f t="array" ref="AD13">IFERROR(VLOOKUP($B13,FORECAST!$D$2:$O$25,7+AD$75,FALSE)/30*7,AC13)</f>
        <v>0.70000000000000007</v>
      </c>
      <c r="AE13" s="19" cm="1">
        <f t="array" ref="AE13">IFERROR(VLOOKUP($B13,FORECAST!$D$2:$O$25,7+AE$75,FALSE)/30*7,AD13)</f>
        <v>0.70000000000000007</v>
      </c>
      <c r="AF13" s="19" cm="1">
        <f t="array" ref="AF13">IFERROR(VLOOKUP($B13,FORECAST!$D$2:$O$25,7+AF$75,FALSE)/30*7,AE13)</f>
        <v>0.70000000000000007</v>
      </c>
      <c r="AG13" s="19" cm="1">
        <f t="array" ref="AG13">IFERROR(VLOOKUP($B13,FORECAST!$D$2:$O$25,7+AG$75,FALSE)/30*7,AF13)</f>
        <v>0.70000000000000007</v>
      </c>
      <c r="AH13" s="19" cm="1">
        <f t="array" ref="AH13">IFERROR(VLOOKUP($B13,FORECAST!$D$2:$O$25,7+AH$75,FALSE)/30*7,AG13)</f>
        <v>0.70000000000000007</v>
      </c>
      <c r="AI13" s="19" cm="1">
        <f t="array" ref="AI13">IFERROR(VLOOKUP($B13,FORECAST!$D$2:$O$25,7+AI$75,FALSE)/30*7,AH13)</f>
        <v>0.70000000000000007</v>
      </c>
      <c r="AJ13" s="19" cm="1">
        <f t="array" ref="AJ13">IFERROR(VLOOKUP($B13,FORECAST!$D$2:$O$25,7+AJ$75,FALSE)/30*7,AI13)</f>
        <v>0.70000000000000007</v>
      </c>
      <c r="AK13" s="19" cm="1">
        <f t="array" ref="AK13">IFERROR(VLOOKUP($B13,FORECAST!$D$2:$O$25,7+AK$75,FALSE)/30*7,AJ13)</f>
        <v>0.70000000000000007</v>
      </c>
      <c r="AL13" s="19" cm="1">
        <f t="array" ref="AL13">IFERROR(VLOOKUP($B13,FORECAST!$D$2:$O$25,7+AL$75,FALSE)/30*7,AK13)</f>
        <v>0.70000000000000007</v>
      </c>
      <c r="AM13" s="19" cm="1">
        <f t="array" ref="AM13">IFERROR(VLOOKUP($B13,FORECAST!$D$2:$O$25,7+AM$75,FALSE)/30*7,AL13)</f>
        <v>0.70000000000000007</v>
      </c>
      <c r="AN13" s="19" cm="1">
        <f t="array" ref="AN13">IFERROR(VLOOKUP($B13,FORECAST!$D$2:$O$25,7+AN$75,FALSE)/30*7,AM13)</f>
        <v>0.70000000000000007</v>
      </c>
      <c r="AO13" s="19" cm="1">
        <f t="array" ref="AO13">IFERROR(VLOOKUP($B13,FORECAST!$D$2:$O$25,7+AO$75,FALSE)/30*7,AN13)</f>
        <v>0.70000000000000007</v>
      </c>
      <c r="AP13" s="19" cm="1">
        <f t="array" ref="AP13">IFERROR(VLOOKUP($B13,FORECAST!$D$2:$O$25,7+AP$75,FALSE)/30*7,AO13)</f>
        <v>0.70000000000000007</v>
      </c>
      <c r="AQ13" s="19" cm="1">
        <f t="array" ref="AQ13">IFERROR(VLOOKUP($B13,FORECAST!$D$2:$O$25,7+AQ$75,FALSE)/30*7,AP13)</f>
        <v>0.70000000000000007</v>
      </c>
      <c r="AR13" s="19" cm="1">
        <f t="array" ref="AR13">IFERROR(VLOOKUP($B13,FORECAST!$D$2:$O$25,7+AR$75,FALSE)/30*7,AQ13)</f>
        <v>0.70000000000000007</v>
      </c>
      <c r="AS13" s="19" cm="1">
        <f t="array" ref="AS13">IFERROR(VLOOKUP($B13,FORECAST!$D$2:$O$25,7+AS$75,FALSE)/30*7,AR13)</f>
        <v>0.70000000000000007</v>
      </c>
      <c r="AT13" s="19" cm="1">
        <f t="array" ref="AT13">IFERROR(VLOOKUP($B13,FORECAST!$D$2:$O$25,7+AT$75,FALSE)/30*7,AS13)</f>
        <v>0.70000000000000007</v>
      </c>
      <c r="AU13" s="19" cm="1">
        <f t="array" ref="AU13">IFERROR(VLOOKUP($B13,FORECAST!$D$2:$O$25,7+AU$75,FALSE)/30*7,AT13)</f>
        <v>0.70000000000000007</v>
      </c>
      <c r="AV13" s="19" cm="1">
        <f t="array" ref="AV13">IFERROR(VLOOKUP($B13,FORECAST!$D$2:$O$25,7+AV$75,FALSE)/30*7,AU13)</f>
        <v>0.70000000000000007</v>
      </c>
      <c r="AW13" s="19" cm="1">
        <f t="array" ref="AW13">IFERROR(VLOOKUP($B13,FORECAST!$D$2:$O$25,7+AW$75,FALSE)/30*7,AV13)</f>
        <v>0.70000000000000007</v>
      </c>
      <c r="AX13" s="19" cm="1">
        <f t="array" ref="AX13">IFERROR(VLOOKUP($B13,FORECAST!$D$2:$O$25,7+AX$75,FALSE)/30*7,AW13)</f>
        <v>0.70000000000000007</v>
      </c>
      <c r="AY13" s="19" cm="1">
        <f t="array" ref="AY13">IFERROR(VLOOKUP($B13,FORECAST!$D$2:$O$25,7+AY$75,FALSE)/30*7,AX13)</f>
        <v>0.70000000000000007</v>
      </c>
      <c r="AZ13" s="19" cm="1">
        <f t="array" ref="AZ13">IFERROR(VLOOKUP($B13,FORECAST!$D$2:$O$25,7+AZ$75,FALSE)/30*7,AY13)</f>
        <v>0.70000000000000007</v>
      </c>
      <c r="BA13" s="19" cm="1">
        <f t="array" ref="BA13">IFERROR(VLOOKUP($B13,FORECAST!$D$2:$O$25,7+BA$75,FALSE)/30*7,AZ13)</f>
        <v>0.70000000000000007</v>
      </c>
      <c r="BB13" s="19" cm="1">
        <f t="array" ref="BB13">IFERROR(VLOOKUP($B13,FORECAST!$D$2:$O$25,7+BB$75,FALSE)/30*7,BA13)</f>
        <v>0.70000000000000007</v>
      </c>
      <c r="BC13" s="19" cm="1">
        <f t="array" ref="BC13">IFERROR(VLOOKUP($B13,FORECAST!$D$2:$O$25,7+BC$75,FALSE)/30*7,BB13)</f>
        <v>0.70000000000000007</v>
      </c>
      <c r="BD13" s="19" cm="1">
        <f t="array" ref="BD13">IFERROR(VLOOKUP($B13,FORECAST!$D$2:$O$25,7+BD$75,FALSE)/30*7,BC13)</f>
        <v>0.70000000000000007</v>
      </c>
      <c r="BE13" s="19" cm="1">
        <f t="array" ref="BE13">IFERROR(VLOOKUP($B13,FORECAST!$D$2:$O$25,7+BE$75,FALSE)/30*7,BD13)</f>
        <v>0.70000000000000007</v>
      </c>
      <c r="BF13" s="19" cm="1">
        <f t="array" ref="BF13">IFERROR(VLOOKUP($B13,FORECAST!$D$2:$O$25,7+BF$75,FALSE)/30*7,BE13)</f>
        <v>0.70000000000000007</v>
      </c>
      <c r="BG13" s="19" cm="1">
        <f t="array" ref="BG13">IFERROR(VLOOKUP($B13,FORECAST!$D$2:$O$25,7+BG$75,FALSE)/30*7,BF13)</f>
        <v>0.70000000000000007</v>
      </c>
      <c r="BH13" s="19" cm="1">
        <f t="array" ref="BH13">IFERROR(VLOOKUP($B13,FORECAST!$D$2:$O$25,7+BH$75,FALSE)/30*7,BG13)</f>
        <v>0.70000000000000007</v>
      </c>
      <c r="BI13" s="19" cm="1">
        <f t="array" ref="BI13">IFERROR(VLOOKUP($B13,FORECAST!$D$2:$O$25,7+BI$75,FALSE)/30*7,BH13)</f>
        <v>0.70000000000000007</v>
      </c>
      <c r="BJ13" s="19" cm="1">
        <f t="array" ref="BJ13">IFERROR(VLOOKUP($B13,FORECAST!$D$2:$O$25,7+BJ$75,FALSE)/30*7,BI13)</f>
        <v>0.70000000000000007</v>
      </c>
      <c r="BK13" s="19" cm="1">
        <f t="array" ref="BK13">IFERROR(VLOOKUP($B13,FORECAST!$D$2:$O$25,7+BK$75,FALSE)/30*7,BJ13)</f>
        <v>0.70000000000000007</v>
      </c>
      <c r="BL13" s="19" cm="1">
        <f t="array" ref="BL13">IFERROR(VLOOKUP($B13,FORECAST!$D$2:$O$25,7+BL$75,FALSE)/30*7,BK13)</f>
        <v>0.70000000000000007</v>
      </c>
      <c r="BM13" s="19" cm="1">
        <f t="array" ref="BM13">IFERROR(VLOOKUP($B13,FORECAST!$D$2:$O$25,7+BM$75,FALSE)/30*7,BL13)</f>
        <v>0.70000000000000007</v>
      </c>
      <c r="BN13" s="19" cm="1">
        <f t="array" ref="BN13">IFERROR(VLOOKUP($B13,FORECAST!$D$2:$O$25,7+BN$75,FALSE)/30*7,BM13)</f>
        <v>0.70000000000000007</v>
      </c>
      <c r="BO13" s="19" cm="1">
        <f t="array" ref="BO13">IFERROR(VLOOKUP($B13,FORECAST!$D$2:$O$25,7+BO$75,FALSE)/30*7,BN13)</f>
        <v>0.70000000000000007</v>
      </c>
      <c r="BP13" s="19" cm="1">
        <f t="array" ref="BP13">IFERROR(VLOOKUP($B13,FORECAST!$D$2:$O$25,7+BP$75,FALSE)/30*7,BO13)</f>
        <v>0.70000000000000007</v>
      </c>
      <c r="BQ13" s="19" cm="1">
        <f t="array" ref="BQ13">IFERROR(VLOOKUP($B13,FORECAST!$D$2:$O$25,7+BQ$75,FALSE)/30*7,BP13)</f>
        <v>0.70000000000000007</v>
      </c>
      <c r="BR13" s="19" cm="1">
        <f t="array" ref="BR13">IFERROR(VLOOKUP($B13,FORECAST!$D$2:$O$25,7+BR$75,FALSE)/30*7,BQ13)</f>
        <v>0.70000000000000007</v>
      </c>
      <c r="BS13" s="19" cm="1">
        <f t="array" ref="BS13">IFERROR(VLOOKUP($B13,FORECAST!$D$2:$O$25,7+BS$75,FALSE)/30*7,BR13)</f>
        <v>0.70000000000000007</v>
      </c>
      <c r="BT13" s="19" cm="1">
        <f t="array" ref="BT13">IFERROR(VLOOKUP($B13,FORECAST!$D$2:$O$25,7+BT$75,FALSE)/30*7,BS13)</f>
        <v>0.70000000000000007</v>
      </c>
      <c r="BU13" s="19" cm="1">
        <f t="array" ref="BU13">IFERROR(VLOOKUP($B13,FORECAST!$D$2:$O$25,7+BU$75,FALSE)/30*7,BT13)</f>
        <v>0.70000000000000007</v>
      </c>
      <c r="BV13" s="19" cm="1">
        <f t="array" ref="BV13">IFERROR(VLOOKUP($B13,FORECAST!$D$2:$O$25,7+BV$75,FALSE)/30*7,BU13)</f>
        <v>0.70000000000000007</v>
      </c>
      <c r="BW13" s="19" cm="1">
        <f t="array" ref="BW13">IFERROR(VLOOKUP($B13,FORECAST!$D$2:$O$25,7+BW$75,FALSE)/30*7,BV13)</f>
        <v>0.70000000000000007</v>
      </c>
      <c r="BX13" s="19" cm="1">
        <f t="array" ref="BX13">IFERROR(VLOOKUP($B13,FORECAST!$D$2:$O$25,7+BX$75,FALSE)/30*7,BW13)</f>
        <v>0.70000000000000007</v>
      </c>
      <c r="BY13" s="19" cm="1">
        <f t="array" ref="BY13">IFERROR(VLOOKUP($B13,FORECAST!$D$2:$O$25,7+BY$75,FALSE)/30*7,BX13)</f>
        <v>0.70000000000000007</v>
      </c>
      <c r="BZ13" s="19" cm="1">
        <f t="array" ref="BZ13">IFERROR(VLOOKUP($B13,FORECAST!$D$2:$O$25,7+BZ$75,FALSE)/30*7,BY13)</f>
        <v>0.70000000000000007</v>
      </c>
      <c r="CA13" s="19" cm="1">
        <f t="array" ref="CA13">IFERROR(VLOOKUP($B13,FORECAST!$D$2:$O$25,7+CA$75,FALSE)/30*7,BZ13)</f>
        <v>0.70000000000000007</v>
      </c>
      <c r="CB13" s="19" cm="1">
        <f t="array" ref="CB13">IFERROR(VLOOKUP($B13,FORECAST!$D$2:$O$25,7+CB$75,FALSE)/30*7,CA13)</f>
        <v>0.70000000000000007</v>
      </c>
      <c r="CC13" s="19" cm="1">
        <f t="array" ref="CC13">IFERROR(VLOOKUP($B13,FORECAST!$D$2:$O$25,7+CC$75,FALSE)/30*7,CB13)</f>
        <v>0.70000000000000007</v>
      </c>
      <c r="CD13" s="19" cm="1">
        <f t="array" ref="CD13">IFERROR(VLOOKUP($B13,FORECAST!$D$2:$O$25,7+CD$75,FALSE)/30*7,CC13)</f>
        <v>0.70000000000000007</v>
      </c>
      <c r="CE13" s="19" cm="1">
        <f t="array" ref="CE13">IFERROR(VLOOKUP($B13,FORECAST!$D$2:$O$25,7+CE$75,FALSE)/30*7,CD13)</f>
        <v>0.70000000000000007</v>
      </c>
      <c r="CF13" s="19" cm="1">
        <f t="array" ref="CF13">IFERROR(VLOOKUP($B13,FORECAST!$D$2:$O$25,7+CF$75,FALSE)/30*7,CE13)</f>
        <v>0.70000000000000007</v>
      </c>
      <c r="CG13" s="19" cm="1">
        <f t="array" ref="CG13">IFERROR(VLOOKUP($B13,FORECAST!$D$2:$O$25,7+CG$75,FALSE)/30*7,CF13)</f>
        <v>0.70000000000000007</v>
      </c>
      <c r="CH13" s="19" cm="1">
        <f t="array" ref="CH13">IFERROR(VLOOKUP($B13,FORECAST!$D$2:$O$25,7+CH$75,FALSE)/30*7,CG13)</f>
        <v>0.70000000000000007</v>
      </c>
      <c r="CI13" s="19" cm="1">
        <f t="array" ref="CI13">IFERROR(VLOOKUP($B13,FORECAST!$D$2:$O$25,7+CI$75,FALSE)/30*7,CH13)</f>
        <v>0.70000000000000007</v>
      </c>
      <c r="CJ13" s="19" cm="1">
        <f t="array" ref="CJ13">IFERROR(VLOOKUP($B13,FORECAST!$D$2:$O$25,7+CJ$75,FALSE)/30*7,CI13)</f>
        <v>0.70000000000000007</v>
      </c>
      <c r="CK13" s="19" cm="1">
        <f t="array" ref="CK13">IFERROR(VLOOKUP($B13,FORECAST!$D$2:$O$25,7+CK$75,FALSE)/30*7,CJ13)</f>
        <v>0.70000000000000007</v>
      </c>
      <c r="CL13" s="19" cm="1">
        <f t="array" ref="CL13">IFERROR(VLOOKUP($B13,FORECAST!$D$2:$O$25,7+CL$75,FALSE)/30*7,CK13)</f>
        <v>0.70000000000000007</v>
      </c>
      <c r="CM13" s="19" cm="1">
        <f t="array" ref="CM13">IFERROR(VLOOKUP($B13,FORECAST!$D$2:$O$25,7+CM$75,FALSE)/30*7,CL13)</f>
        <v>0.70000000000000007</v>
      </c>
      <c r="CN13" s="19" cm="1">
        <f t="array" ref="CN13">IFERROR(VLOOKUP($B13,FORECAST!$D$2:$O$25,7+CN$75,FALSE)/30*7,CM13)</f>
        <v>0.70000000000000007</v>
      </c>
      <c r="CO13" s="19" cm="1">
        <f t="array" ref="CO13">IFERROR(VLOOKUP($B13,FORECAST!$D$2:$O$25,7+CO$75,FALSE)/30*7,CN13)</f>
        <v>0.70000000000000007</v>
      </c>
      <c r="CP13" s="19" cm="1">
        <f t="array" ref="CP13">IFERROR(VLOOKUP($B13,FORECAST!$D$2:$O$25,7+CP$75,FALSE)/30*7,CO13)</f>
        <v>0.70000000000000007</v>
      </c>
      <c r="CQ13" s="19" cm="1">
        <f t="array" ref="CQ13">IFERROR(VLOOKUP($B13,FORECAST!$D$2:$O$25,7+CQ$75,FALSE)/30*7,CP13)</f>
        <v>0.70000000000000007</v>
      </c>
      <c r="CR13" s="19" cm="1">
        <f t="array" ref="CR13">IFERROR(VLOOKUP($B13,FORECAST!$D$2:$O$25,7+CR$75,FALSE)/30*7,CQ13)</f>
        <v>0.70000000000000007</v>
      </c>
      <c r="CS13" s="19" cm="1">
        <f t="array" ref="CS13">IFERROR(VLOOKUP($B13,FORECAST!$D$2:$O$25,7+CS$75,FALSE)/30*7,CR13)</f>
        <v>0.70000000000000007</v>
      </c>
      <c r="CT13" s="19" cm="1">
        <f t="array" ref="CT13">IFERROR(VLOOKUP($B13,FORECAST!$D$2:$O$25,7+CT$75,FALSE)/30*7,CS13)</f>
        <v>0.70000000000000007</v>
      </c>
      <c r="CU13" s="19" cm="1">
        <f t="array" ref="CU13">IFERROR(VLOOKUP($B13,FORECAST!$D$2:$O$25,7+CU$75,FALSE)/30*7,CT13)</f>
        <v>0.70000000000000007</v>
      </c>
      <c r="CV13" s="19" cm="1">
        <f t="array" ref="CV13">IFERROR(VLOOKUP($B13,FORECAST!$D$2:$O$25,7+CV$75,FALSE)/30*7,CU13)</f>
        <v>0.70000000000000007</v>
      </c>
      <c r="CW13" s="19" cm="1">
        <f t="array" ref="CW13">IFERROR(VLOOKUP($B13,FORECAST!$D$2:$O$25,7+CW$75,FALSE)/30*7,CV13)</f>
        <v>0.70000000000000007</v>
      </c>
      <c r="CX13" s="19" cm="1">
        <f t="array" ref="CX13">IFERROR(VLOOKUP($B13,FORECAST!$D$2:$O$25,7+CX$75,FALSE)/30*7,CW13)</f>
        <v>0.70000000000000007</v>
      </c>
      <c r="CY13" s="19" cm="1">
        <f t="array" ref="CY13">IFERROR(VLOOKUP($B13,FORECAST!$D$2:$O$25,7+CY$75,FALSE)/30*7,CX13)</f>
        <v>0.70000000000000007</v>
      </c>
      <c r="CZ13" s="19" cm="1">
        <f t="array" ref="CZ13">IFERROR(VLOOKUP($B13,FORECAST!$D$2:$O$25,7+CZ$75,FALSE)/30*7,CY13)</f>
        <v>0.70000000000000007</v>
      </c>
      <c r="DA13" s="19" cm="1">
        <f t="array" ref="DA13">IFERROR(VLOOKUP($B13,FORECAST!$D$2:$O$25,7+DA$75,FALSE)/30*7,CZ13)</f>
        <v>0.70000000000000007</v>
      </c>
      <c r="DB13" s="19" cm="1">
        <f t="array" ref="DB13">IFERROR(VLOOKUP($B13,FORECAST!$D$2:$O$25,7+DB$75,FALSE)/30*7,DA13)</f>
        <v>0.70000000000000007</v>
      </c>
      <c r="DC13" s="19" cm="1">
        <f t="array" ref="DC13">IFERROR(VLOOKUP($B13,FORECAST!$D$2:$O$25,7+DC$75,FALSE)/30*7,DB13)</f>
        <v>0.70000000000000007</v>
      </c>
      <c r="DD13" s="19" cm="1">
        <f t="array" ref="DD13">IFERROR(VLOOKUP($B13,FORECAST!$D$2:$O$25,7+DD$75,FALSE)/30*7,DC13)</f>
        <v>0.70000000000000007</v>
      </c>
      <c r="DE13" s="19" cm="1">
        <f t="array" ref="DE13">IFERROR(VLOOKUP($B13,FORECAST!$D$2:$O$25,7+DE$75,FALSE)/30*7,DD13)</f>
        <v>0.70000000000000007</v>
      </c>
      <c r="DF13" s="19" cm="1">
        <f t="array" ref="DF13">IFERROR(VLOOKUP($B13,FORECAST!$D$2:$O$25,7+DF$75,FALSE)/30*7,DE13)</f>
        <v>0.70000000000000007</v>
      </c>
      <c r="DG13" s="19" cm="1">
        <f t="array" ref="DG13">IFERROR(VLOOKUP($B13,FORECAST!$D$2:$O$25,7+DG$75,FALSE)/30*7,DF13)</f>
        <v>0.70000000000000007</v>
      </c>
      <c r="DH13" s="19" cm="1">
        <f t="array" ref="DH13">IFERROR(VLOOKUP($B13,FORECAST!$D$2:$O$25,7+DH$75,FALSE)/30*7,DG13)</f>
        <v>0.70000000000000007</v>
      </c>
      <c r="DI13" s="19" cm="1">
        <f t="array" ref="DI13">IFERROR(VLOOKUP($B13,FORECAST!$D$2:$O$25,7+DI$75,FALSE)/30*7,DH13)</f>
        <v>0.70000000000000007</v>
      </c>
      <c r="DJ13" s="19" cm="1">
        <f t="array" ref="DJ13">IFERROR(VLOOKUP($B13,FORECAST!$D$2:$O$25,7+DJ$75,FALSE)/30*7,DI13)</f>
        <v>0.70000000000000007</v>
      </c>
      <c r="DK13" s="19" cm="1">
        <f t="array" ref="DK13">IFERROR(VLOOKUP($B13,FORECAST!$D$2:$O$25,7+DK$75,FALSE)/30*7,DJ13)</f>
        <v>0.70000000000000007</v>
      </c>
      <c r="DL13" s="19" cm="1">
        <f t="array" ref="DL13">IFERROR(VLOOKUP($B13,FORECAST!$D$2:$O$25,7+DL$75,FALSE)/30*7,DK13)</f>
        <v>0.70000000000000007</v>
      </c>
      <c r="DM13" s="19" cm="1">
        <f t="array" ref="DM13">IFERROR(VLOOKUP($B13,FORECAST!$D$2:$O$25,7+DM$75,FALSE)/30*7,DL13)</f>
        <v>0.70000000000000007</v>
      </c>
      <c r="DN13" s="19" cm="1">
        <f t="array" ref="DN13">IFERROR(VLOOKUP($B13,FORECAST!$D$2:$O$25,7+DN$75,FALSE)/30*7,DM13)</f>
        <v>0.70000000000000007</v>
      </c>
      <c r="DO13" s="19" cm="1">
        <f t="array" ref="DO13">IFERROR(VLOOKUP($B13,FORECAST!$D$2:$O$25,7+DO$75,FALSE)/30*7,DN13)</f>
        <v>0.70000000000000007</v>
      </c>
      <c r="DP13" s="19" cm="1">
        <f t="array" ref="DP13">IFERROR(VLOOKUP($B13,FORECAST!$D$2:$O$25,7+DP$75,FALSE)/30*7,DO13)</f>
        <v>0.70000000000000007</v>
      </c>
      <c r="DQ13" s="19" cm="1">
        <f t="array" ref="DQ13">IFERROR(VLOOKUP($B13,FORECAST!$D$2:$O$25,7+DQ$75,FALSE)/30*7,DP13)</f>
        <v>0.70000000000000007</v>
      </c>
      <c r="DR13" s="19" cm="1">
        <f t="array" ref="DR13">IFERROR(VLOOKUP($B13,FORECAST!$D$2:$O$25,7+DR$75,FALSE)/30*7,DQ13)</f>
        <v>0.70000000000000007</v>
      </c>
      <c r="DS13" s="19" cm="1">
        <f t="array" ref="DS13">IFERROR(VLOOKUP($B13,FORECAST!$D$2:$O$25,7+DS$75,FALSE)/30*7,DR13)</f>
        <v>0.70000000000000007</v>
      </c>
      <c r="DT13" s="19" cm="1">
        <f t="array" ref="DT13">IFERROR(VLOOKUP($B13,FORECAST!$D$2:$O$25,7+DT$75,FALSE)/30*7,DS13)</f>
        <v>0.70000000000000007</v>
      </c>
      <c r="DU13" s="19" cm="1">
        <f t="array" ref="DU13">IFERROR(VLOOKUP($B13,FORECAST!$D$2:$O$25,7+DU$75,FALSE)/30*7,DT13)</f>
        <v>0.70000000000000007</v>
      </c>
      <c r="DV13" s="19" cm="1">
        <f t="array" ref="DV13">IFERROR(VLOOKUP($B13,FORECAST!$D$2:$O$25,7+DV$75,FALSE)/30*7,DU13)</f>
        <v>0.70000000000000007</v>
      </c>
      <c r="DW13" s="19" cm="1">
        <f t="array" ref="DW13">IFERROR(VLOOKUP($B13,FORECAST!$D$2:$O$25,7+DW$75,FALSE)/30*7,DV13)</f>
        <v>0.70000000000000007</v>
      </c>
    </row>
    <row r="14" spans="1:127" outlineLevel="1" x14ac:dyDescent="0.3">
      <c r="A14" s="96" t="str">
        <f t="shared" si="75"/>
        <v>106028776Production Week</v>
      </c>
      <c r="B14" s="20">
        <f t="shared" si="67"/>
        <v>106028776</v>
      </c>
      <c r="C14" s="20" t="str">
        <f t="shared" si="68"/>
        <v>L 2 1/2X2 1/2X1/4 GGMULTI 50'00"</v>
      </c>
      <c r="D14" s="20">
        <f t="shared" si="69"/>
        <v>1333</v>
      </c>
      <c r="E14" s="20" t="str">
        <f t="shared" si="70"/>
        <v>2-1/2" ANG</v>
      </c>
      <c r="F14" s="4" t="s">
        <v>206</v>
      </c>
      <c r="H14" s="1" t="str">
        <f>IF(IFERROR(VLOOKUP(CONCATENATE($D14,$E14,H$1),'ROLLING SCHED'!$A:$A,1,FALSE),"x")&lt;&gt;"x","x",IF(IFERROR(VLOOKUP(CONCATENATE($D14,$E14,H$1+7),'ROLLING SCHED'!$A:$A,1,FALSE),"y")&lt;&gt;"y","y",""))</f>
        <v/>
      </c>
      <c r="I14" s="1" t="str">
        <f>IF(IFERROR(VLOOKUP(CONCATENATE($D14,$E14,I$1),'ROLLING SCHED'!$A:$A,1,FALSE),"x")&lt;&gt;"x","x",IF(IFERROR(VLOOKUP(CONCATENATE($D14,$E14,I$1+7),'ROLLING SCHED'!$A:$A,1,FALSE),"y")&lt;&gt;"y","y",""))</f>
        <v/>
      </c>
      <c r="J14" s="1" t="str">
        <f>IF(IFERROR(VLOOKUP(CONCATENATE($D14,$E14,J$1),'ROLLING SCHED'!$A:$A,1,FALSE),"x")&lt;&gt;"x","x",IF(IFERROR(VLOOKUP(CONCATENATE($D14,$E14,J$1+7),'ROLLING SCHED'!$A:$A,1,FALSE),"y")&lt;&gt;"y","y",""))</f>
        <v>y</v>
      </c>
      <c r="K14" s="112" t="str">
        <f>IF(IFERROR(VLOOKUP(CONCATENATE($D14,$E14,K$1),'ROLLING SCHED'!$A:$A,1,FALSE),"x")&lt;&gt;"x","x",IF(IFERROR(VLOOKUP(CONCATENATE($D14,$E14,K$1+7),'ROLLING SCHED'!$A:$A,1,FALSE),"y")&lt;&gt;"y","y",""))</f>
        <v>x</v>
      </c>
      <c r="L14" s="112" t="str">
        <f>IF(IFERROR(VLOOKUP(CONCATENATE($D14,$E14,L$1),'ROLLING SCHED'!$A:$A,1,FALSE),"x")&lt;&gt;"x","x",IF(IFERROR(VLOOKUP(CONCATENATE($D14,$E14,L$1+7),'ROLLING SCHED'!$A:$A,1,FALSE),"y")&lt;&gt;"y","y",""))</f>
        <v/>
      </c>
      <c r="M14" s="112" t="str">
        <f>IF(IFERROR(VLOOKUP(CONCATENATE($D14,$E14,M$1),'ROLLING SCHED'!$A:$A,1,FALSE),"x")&lt;&gt;"x","x",IF(IFERROR(VLOOKUP(CONCATENATE($D14,$E14,M$1+7),'ROLLING SCHED'!$A:$A,1,FALSE),"y")&lt;&gt;"y","y",""))</f>
        <v/>
      </c>
      <c r="N14" s="112" t="str">
        <f>IF(IFERROR(VLOOKUP(CONCATENATE($D14,$E14,N$1),'ROLLING SCHED'!$A:$A,1,FALSE),"x")&lt;&gt;"x","x",IF(IFERROR(VLOOKUP(CONCATENATE($D14,$E14,N$1+7),'ROLLING SCHED'!$A:$A,1,FALSE),"y")&lt;&gt;"y","y",""))</f>
        <v/>
      </c>
      <c r="O14" s="112" t="str">
        <f>IF(IFERROR(VLOOKUP(CONCATENATE($D14,$E14,O$1),'ROLLING SCHED'!$A:$A,1,FALSE),"x")&lt;&gt;"x","x",IF(IFERROR(VLOOKUP(CONCATENATE($D14,$E14,O$1+7),'ROLLING SCHED'!$A:$A,1,FALSE),"y")&lt;&gt;"y","y",""))</f>
        <v/>
      </c>
      <c r="P14" s="112" t="str">
        <f>IF(IFERROR(VLOOKUP(CONCATENATE($D14,$E14,P$1),'ROLLING SCHED'!$A:$A,1,FALSE),"x")&lt;&gt;"x","x",IF(IFERROR(VLOOKUP(CONCATENATE($D14,$E14,P$1+7),'ROLLING SCHED'!$A:$A,1,FALSE),"y")&lt;&gt;"y","y",""))</f>
        <v/>
      </c>
      <c r="Q14" s="112" t="str">
        <f>IF(IFERROR(VLOOKUP(CONCATENATE($D14,$E14,Q$1),'ROLLING SCHED'!$A:$A,1,FALSE),"x")&lt;&gt;"x","x",IF(IFERROR(VLOOKUP(CONCATENATE($D14,$E14,Q$1+7),'ROLLING SCHED'!$A:$A,1,FALSE),"y")&lt;&gt;"y","y",""))</f>
        <v/>
      </c>
      <c r="R14" s="112" t="str">
        <f>IF(IFERROR(VLOOKUP(CONCATENATE($D14,$E14,R$1),'ROLLING SCHED'!$A:$A,1,FALSE),"x")&lt;&gt;"x","x",IF(IFERROR(VLOOKUP(CONCATENATE($D14,$E14,R$1+7),'ROLLING SCHED'!$A:$A,1,FALSE),"y")&lt;&gt;"y","y",""))</f>
        <v/>
      </c>
      <c r="S14" s="9" t="str">
        <f>IF(IFERROR(VLOOKUP(CONCATENATE($D14,$E14,S$1),'ROLLING SCHED'!$A:$A,1,FALSE),"x")&lt;&gt;"x","x",IF(IFERROR(VLOOKUP(CONCATENATE($D14,$E14,S$1+7),'ROLLING SCHED'!$A:$A,1,FALSE),"y")&lt;&gt;"y","y",""))</f>
        <v>y</v>
      </c>
      <c r="T14" s="9" t="str">
        <f>IF(IFERROR(VLOOKUP(CONCATENATE($D14,$E14,T$1),'ROLLING SCHED'!$A:$A,1,FALSE),"x")&lt;&gt;"x","x",IF(IFERROR(VLOOKUP(CONCATENATE($D14,$E14,T$1+7),'ROLLING SCHED'!$A:$A,1,FALSE),"y")&lt;&gt;"y","y",""))</f>
        <v>x</v>
      </c>
      <c r="U14" s="9" t="str">
        <f>IF(IFERROR(VLOOKUP(CONCATENATE($D14,$E14,U$1),'ROLLING SCHED'!$A:$A,1,FALSE),"x")&lt;&gt;"x","x",IF(IFERROR(VLOOKUP(CONCATENATE($D14,$E14,U$1+7),'ROLLING SCHED'!$A:$A,1,FALSE),"y")&lt;&gt;"y","y",""))</f>
        <v/>
      </c>
      <c r="V14" s="9" t="str">
        <f>IF(IFERROR(VLOOKUP(CONCATENATE($D14,$E14,V$1),'ROLLING SCHED'!$A:$A,1,FALSE),"x")&lt;&gt;"x","x",IF(IFERROR(VLOOKUP(CONCATENATE($D14,$E14,V$1+7),'ROLLING SCHED'!$A:$A,1,FALSE),"y")&lt;&gt;"y","y",""))</f>
        <v/>
      </c>
      <c r="W14" s="9" t="str">
        <f>IF(IFERROR(VLOOKUP(CONCATENATE($D14,$E14,W$1),'ROLLING SCHED'!$A:$A,1,FALSE),"x")&lt;&gt;"x","x",IF(IFERROR(VLOOKUP(CONCATENATE($D14,$E14,W$1+7),'ROLLING SCHED'!$A:$A,1,FALSE),"y")&lt;&gt;"y","y",""))</f>
        <v/>
      </c>
      <c r="X14" s="9" t="str">
        <f>IF(IFERROR(VLOOKUP(CONCATENATE($D14,$E14,X$1),'ROLLING SCHED'!$A:$A,1,FALSE),"x")&lt;&gt;"x","x",IF(IFERROR(VLOOKUP(CONCATENATE($D14,$E14,X$1+7),'ROLLING SCHED'!$A:$A,1,FALSE),"y")&lt;&gt;"y","y",""))</f>
        <v/>
      </c>
      <c r="Y14" s="9" t="str">
        <f>IF(IFERROR(VLOOKUP(CONCATENATE($D14,$E14,Y$1),'ROLLING SCHED'!$A:$A,1,FALSE),"x")&lt;&gt;"x","x",IF(IFERROR(VLOOKUP(CONCATENATE($D14,$E14,Y$1+7),'ROLLING SCHED'!$A:$A,1,FALSE),"y")&lt;&gt;"y","y",""))</f>
        <v/>
      </c>
      <c r="Z14" s="9" t="str">
        <f>IF(IFERROR(VLOOKUP(CONCATENATE($D14,$E14,Z$1),'ROLLING SCHED'!$A:$A,1,FALSE),"x")&lt;&gt;"x","x",IF(IFERROR(VLOOKUP(CONCATENATE($D14,$E14,Z$1+7),'ROLLING SCHED'!$A:$A,1,FALSE),"y")&lt;&gt;"y","y",""))</f>
        <v/>
      </c>
      <c r="AA14" s="9" t="str">
        <f>IF(IFERROR(VLOOKUP(CONCATENATE($D14,$E14,AA$1),'ROLLING SCHED'!$A:$A,1,FALSE),"x")&lt;&gt;"x","x",IF(IFERROR(VLOOKUP(CONCATENATE($D14,$E14,AA$1+7),'ROLLING SCHED'!$A:$A,1,FALSE),"y")&lt;&gt;"y","y",""))</f>
        <v/>
      </c>
      <c r="AB14" s="1" t="str">
        <f>IF(IFERROR(VLOOKUP(CONCATENATE($D14,$E14,AB$1),'ROLLING SCHED'!$A:$A,1,FALSE),"x")&lt;&gt;"x","x",IF(IFERROR(VLOOKUP(CONCATENATE($D14,$E14,AB$1+7),'ROLLING SCHED'!$A:$A,1,FALSE),"y")&lt;&gt;"y","y",""))</f>
        <v>y</v>
      </c>
      <c r="AC14" s="1" t="str">
        <f>IF(IFERROR(VLOOKUP(CONCATENATE($D14,$E14,AC$1),'ROLLING SCHED'!$A:$A,1,FALSE),"x")&lt;&gt;"x","x",IF(IFERROR(VLOOKUP(CONCATENATE($D14,$E14,AC$1+7),'ROLLING SCHED'!$A:$A,1,FALSE),"y")&lt;&gt;"y","y",""))</f>
        <v>x</v>
      </c>
      <c r="AD14" s="1" t="str">
        <f>IF(IFERROR(VLOOKUP(CONCATENATE($D14,$E14,AD$1),'ROLLING SCHED'!$A:$A,1,FALSE),"x")&lt;&gt;"x","x",IF(IFERROR(VLOOKUP(CONCATENATE($D14,$E14,AD$1+7),'ROLLING SCHED'!$A:$A,1,FALSE),"y")&lt;&gt;"y","y",""))</f>
        <v/>
      </c>
      <c r="AE14" s="1" t="str">
        <f>IF(IFERROR(VLOOKUP(CONCATENATE($D14,$E14,AE$1),'ROLLING SCHED'!$A:$A,1,FALSE),"x")&lt;&gt;"x","x",IF(IFERROR(VLOOKUP(CONCATENATE($D14,$E14,AE$1+7),'ROLLING SCHED'!$A:$A,1,FALSE),"y")&lt;&gt;"y","y",""))</f>
        <v/>
      </c>
      <c r="AF14" s="1" t="str">
        <f>IF(IFERROR(VLOOKUP(CONCATENATE($D14,$E14,AF$1),'ROLLING SCHED'!$A:$A,1,FALSE),"x")&lt;&gt;"x","x",IF(IFERROR(VLOOKUP(CONCATENATE($D14,$E14,AF$1+7),'ROLLING SCHED'!$A:$A,1,FALSE),"y")&lt;&gt;"y","y",""))</f>
        <v/>
      </c>
      <c r="AG14" s="1" t="str">
        <f>IF(IFERROR(VLOOKUP(CONCATENATE($D14,$E14,AG$1),'ROLLING SCHED'!$A:$A,1,FALSE),"x")&lt;&gt;"x","x",IF(IFERROR(VLOOKUP(CONCATENATE($D14,$E14,AG$1+7),'ROLLING SCHED'!$A:$A,1,FALSE),"y")&lt;&gt;"y","y",""))</f>
        <v/>
      </c>
      <c r="AH14" s="1" t="str">
        <f>IF(IFERROR(VLOOKUP(CONCATENATE($D14,$E14,AH$1),'ROLLING SCHED'!$A:$A,1,FALSE),"x")&lt;&gt;"x","x",IF(IFERROR(VLOOKUP(CONCATENATE($D14,$E14,AH$1+7),'ROLLING SCHED'!$A:$A,1,FALSE),"y")&lt;&gt;"y","y",""))</f>
        <v/>
      </c>
      <c r="AI14" s="1" t="str">
        <f>IF(IFERROR(VLOOKUP(CONCATENATE($D14,$E14,AI$1),'ROLLING SCHED'!$A:$A,1,FALSE),"x")&lt;&gt;"x","x",IF(IFERROR(VLOOKUP(CONCATENATE($D14,$E14,AI$1+7),'ROLLING SCHED'!$A:$A,1,FALSE),"y")&lt;&gt;"y","y",""))</f>
        <v/>
      </c>
      <c r="AJ14" s="1" t="str">
        <f>IF(IFERROR(VLOOKUP(CONCATENATE($D14,$E14,AJ$1),'ROLLING SCHED'!$A:$A,1,FALSE),"x")&lt;&gt;"x","x",IF(IFERROR(VLOOKUP(CONCATENATE($D14,$E14,AJ$1+7),'ROLLING SCHED'!$A:$A,1,FALSE),"y")&lt;&gt;"y","y",""))</f>
        <v/>
      </c>
      <c r="AK14" s="1" t="str">
        <f>IF(IFERROR(VLOOKUP(CONCATENATE($D14,$E14,AK$1),'ROLLING SCHED'!$A:$A,1,FALSE),"x")&lt;&gt;"x","x",IF(IFERROR(VLOOKUP(CONCATENATE($D14,$E14,AK$1+7),'ROLLING SCHED'!$A:$A,1,FALSE),"y")&lt;&gt;"y","y",""))</f>
        <v>y</v>
      </c>
      <c r="AL14" s="1" t="str">
        <f>IF(IFERROR(VLOOKUP(CONCATENATE($D14,$E14,AL$1),'ROLLING SCHED'!$A:$A,1,FALSE),"x")&lt;&gt;"x","x",IF(IFERROR(VLOOKUP(CONCATENATE($D14,$E14,AL$1+7),'ROLLING SCHED'!$A:$A,1,FALSE),"y")&lt;&gt;"y","y",""))</f>
        <v>x</v>
      </c>
      <c r="AM14" s="1" t="str">
        <f>IF(IFERROR(VLOOKUP(CONCATENATE($D14,$E14,AM$1),'ROLLING SCHED'!$A:$A,1,FALSE),"x")&lt;&gt;"x","x",IF(IFERROR(VLOOKUP(CONCATENATE($D14,$E14,AM$1+7),'ROLLING SCHED'!$A:$A,1,FALSE),"y")&lt;&gt;"y","y",""))</f>
        <v/>
      </c>
      <c r="AN14" s="1" t="str">
        <f>IF(IFERROR(VLOOKUP(CONCATENATE($D14,$E14,AN$1),'ROLLING SCHED'!$A:$A,1,FALSE),"x")&lt;&gt;"x","x",IF(IFERROR(VLOOKUP(CONCATENATE($D14,$E14,AN$1+7),'ROLLING SCHED'!$A:$A,1,FALSE),"y")&lt;&gt;"y","y",""))</f>
        <v/>
      </c>
      <c r="AO14" s="1" t="str">
        <f>IF(IFERROR(VLOOKUP(CONCATENATE($D14,$E14,AO$1),'ROLLING SCHED'!$A:$A,1,FALSE),"x")&lt;&gt;"x","x",IF(IFERROR(VLOOKUP(CONCATENATE($D14,$E14,AO$1+7),'ROLLING SCHED'!$A:$A,1,FALSE),"y")&lt;&gt;"y","y",""))</f>
        <v/>
      </c>
      <c r="AP14" s="1" t="str">
        <f>IF(IFERROR(VLOOKUP(CONCATENATE($D14,$E14,AP$1),'ROLLING SCHED'!$A:$A,1,FALSE),"x")&lt;&gt;"x","x",IF(IFERROR(VLOOKUP(CONCATENATE($D14,$E14,AP$1+7),'ROLLING SCHED'!$A:$A,1,FALSE),"y")&lt;&gt;"y","y",""))</f>
        <v/>
      </c>
      <c r="AQ14" s="1" t="str">
        <f>IF(IFERROR(VLOOKUP(CONCATENATE($D14,$E14,AQ$1),'ROLLING SCHED'!$A:$A,1,FALSE),"x")&lt;&gt;"x","x",IF(IFERROR(VLOOKUP(CONCATENATE($D14,$E14,AQ$1+7),'ROLLING SCHED'!$A:$A,1,FALSE),"y")&lt;&gt;"y","y",""))</f>
        <v/>
      </c>
      <c r="AR14" s="1" t="str">
        <f>IF(IFERROR(VLOOKUP(CONCATENATE($D14,$E14,AR$1),'ROLLING SCHED'!$A:$A,1,FALSE),"x")&lt;&gt;"x","x",IF(IFERROR(VLOOKUP(CONCATENATE($D14,$E14,AR$1+7),'ROLLING SCHED'!$A:$A,1,FALSE),"y")&lt;&gt;"y","y",""))</f>
        <v/>
      </c>
      <c r="AS14" s="1" t="str">
        <f>IF(IFERROR(VLOOKUP(CONCATENATE($D14,$E14,AS$1),'ROLLING SCHED'!$A:$A,1,FALSE),"x")&lt;&gt;"x","x",IF(IFERROR(VLOOKUP(CONCATENATE($D14,$E14,AS$1+7),'ROLLING SCHED'!$A:$A,1,FALSE),"y")&lt;&gt;"y","y",""))</f>
        <v/>
      </c>
      <c r="AT14" s="1" t="str">
        <f>IF(IFERROR(VLOOKUP(CONCATENATE($D14,$E14,AT$1),'ROLLING SCHED'!$A:$A,1,FALSE),"x")&lt;&gt;"x","x",IF(IFERROR(VLOOKUP(CONCATENATE($D14,$E14,AT$1+7),'ROLLING SCHED'!$A:$A,1,FALSE),"y")&lt;&gt;"y","y",""))</f>
        <v>y</v>
      </c>
      <c r="AU14" s="1" t="str">
        <f>IF(IFERROR(VLOOKUP(CONCATENATE($D14,$E14,AU$1),'ROLLING SCHED'!$A:$A,1,FALSE),"x")&lt;&gt;"x","x",IF(IFERROR(VLOOKUP(CONCATENATE($D14,$E14,AU$1+7),'ROLLING SCHED'!$A:$A,1,FALSE),"y")&lt;&gt;"y","y",""))</f>
        <v>x</v>
      </c>
      <c r="AV14" s="1" t="str">
        <f>IF(IFERROR(VLOOKUP(CONCATENATE($D14,$E14,AV$1),'ROLLING SCHED'!$A:$A,1,FALSE),"x")&lt;&gt;"x","x",IF(IFERROR(VLOOKUP(CONCATENATE($D14,$E14,AV$1+7),'ROLLING SCHED'!$A:$A,1,FALSE),"y")&lt;&gt;"y","y",""))</f>
        <v/>
      </c>
      <c r="AW14" s="1" t="str">
        <f>IF(IFERROR(VLOOKUP(CONCATENATE($D14,$E14,AW$1),'ROLLING SCHED'!$A:$A,1,FALSE),"x")&lt;&gt;"x","x",IF(IFERROR(VLOOKUP(CONCATENATE($D14,$E14,AW$1+7),'ROLLING SCHED'!$A:$A,1,FALSE),"y")&lt;&gt;"y","y",""))</f>
        <v/>
      </c>
      <c r="AX14" s="1" t="str">
        <f>IF(IFERROR(VLOOKUP(CONCATENATE($D14,$E14,AX$1),'ROLLING SCHED'!$A:$A,1,FALSE),"x")&lt;&gt;"x","x",IF(IFERROR(VLOOKUP(CONCATENATE($D14,$E14,AX$1+7),'ROLLING SCHED'!$A:$A,1,FALSE),"y")&lt;&gt;"y","y",""))</f>
        <v/>
      </c>
      <c r="AY14" s="1" t="str">
        <f>IF(IFERROR(VLOOKUP(CONCATENATE($D14,$E14,AY$1),'ROLLING SCHED'!$A:$A,1,FALSE),"x")&lt;&gt;"x","x",IF(IFERROR(VLOOKUP(CONCATENATE($D14,$E14,AY$1+7),'ROLLING SCHED'!$A:$A,1,FALSE),"y")&lt;&gt;"y","y",""))</f>
        <v/>
      </c>
      <c r="AZ14" s="1" t="str">
        <f>IF(IFERROR(VLOOKUP(CONCATENATE($D14,$E14,AZ$1),'ROLLING SCHED'!$A:$A,1,FALSE),"x")&lt;&gt;"x","x",IF(IFERROR(VLOOKUP(CONCATENATE($D14,$E14,AZ$1+7),'ROLLING SCHED'!$A:$A,1,FALSE),"y")&lt;&gt;"y","y",""))</f>
        <v/>
      </c>
      <c r="BA14" s="1" t="str">
        <f>IF(IFERROR(VLOOKUP(CONCATENATE($D14,$E14,BA$1),'ROLLING SCHED'!$A:$A,1,FALSE),"x")&lt;&gt;"x","x",IF(IFERROR(VLOOKUP(CONCATENATE($D14,$E14,BA$1+7),'ROLLING SCHED'!$A:$A,1,FALSE),"y")&lt;&gt;"y","y",""))</f>
        <v/>
      </c>
      <c r="BB14" s="1" t="str">
        <f>IF(IFERROR(VLOOKUP(CONCATENATE($D14,$E14,BB$1),'ROLLING SCHED'!$A:$A,1,FALSE),"x")&lt;&gt;"x","x",IF(IFERROR(VLOOKUP(CONCATENATE($D14,$E14,BB$1+7),'ROLLING SCHED'!$A:$A,1,FALSE),"y")&lt;&gt;"y","y",""))</f>
        <v/>
      </c>
      <c r="BC14" s="1" t="str">
        <f>IF(IFERROR(VLOOKUP(CONCATENATE($D14,$E14,BC$1),'ROLLING SCHED'!$A:$A,1,FALSE),"x")&lt;&gt;"x","x",IF(IFERROR(VLOOKUP(CONCATENATE($D14,$E14,BC$1+7),'ROLLING SCHED'!$A:$A,1,FALSE),"y")&lt;&gt;"y","y",""))</f>
        <v>y</v>
      </c>
      <c r="BD14" s="1" t="str">
        <f>IF(IFERROR(VLOOKUP(CONCATENATE($D14,$E14,BD$1),'ROLLING SCHED'!$A:$A,1,FALSE),"x")&lt;&gt;"x","x",IF(IFERROR(VLOOKUP(CONCATENATE($D14,$E14,BD$1+7),'ROLLING SCHED'!$A:$A,1,FALSE),"y")&lt;&gt;"y","y",""))</f>
        <v>x</v>
      </c>
      <c r="BE14" s="1" t="str">
        <f>IF(IFERROR(VLOOKUP(CONCATENATE($D14,$E14,BE$1),'ROLLING SCHED'!$A:$A,1,FALSE),"x")&lt;&gt;"x","x",IF(IFERROR(VLOOKUP(CONCATENATE($D14,$E14,BE$1+7),'ROLLING SCHED'!$A:$A,1,FALSE),"y")&lt;&gt;"y","y",""))</f>
        <v/>
      </c>
      <c r="BF14" s="1" t="str">
        <f>IF(IFERROR(VLOOKUP(CONCATENATE($D14,$E14,BF$1),'ROLLING SCHED'!$A:$A,1,FALSE),"x")&lt;&gt;"x","x",IF(IFERROR(VLOOKUP(CONCATENATE($D14,$E14,BF$1+7),'ROLLING SCHED'!$A:$A,1,FALSE),"y")&lt;&gt;"y","y",""))</f>
        <v/>
      </c>
      <c r="BG14" s="1" t="str">
        <f>IF(IFERROR(VLOOKUP(CONCATENATE($D14,$E14,BG$1),'ROLLING SCHED'!$A:$A,1,FALSE),"x")&lt;&gt;"x","x",IF(IFERROR(VLOOKUP(CONCATENATE($D14,$E14,BG$1+7),'ROLLING SCHED'!$A:$A,1,FALSE),"y")&lt;&gt;"y","y",""))</f>
        <v/>
      </c>
      <c r="BH14" s="1" t="str">
        <f>IF(IFERROR(VLOOKUP(CONCATENATE($D14,$E14,BH$1),'ROLLING SCHED'!$A:$A,1,FALSE),"x")&lt;&gt;"x","x",IF(IFERROR(VLOOKUP(CONCATENATE($D14,$E14,BH$1+7),'ROLLING SCHED'!$A:$A,1,FALSE),"y")&lt;&gt;"y","y",""))</f>
        <v/>
      </c>
      <c r="BI14" s="1" t="str">
        <f>IF(IFERROR(VLOOKUP(CONCATENATE($D14,$E14,BI$1),'ROLLING SCHED'!$A:$A,1,FALSE),"x")&lt;&gt;"x","x",IF(IFERROR(VLOOKUP(CONCATENATE($D14,$E14,BI$1+7),'ROLLING SCHED'!$A:$A,1,FALSE),"y")&lt;&gt;"y","y",""))</f>
        <v/>
      </c>
      <c r="BJ14" s="1" t="str">
        <f>IF(IFERROR(VLOOKUP(CONCATENATE($D14,$E14,BJ$1),'ROLLING SCHED'!$A:$A,1,FALSE),"x")&lt;&gt;"x","x",IF(IFERROR(VLOOKUP(CONCATENATE($D14,$E14,BJ$1+7),'ROLLING SCHED'!$A:$A,1,FALSE),"y")&lt;&gt;"y","y",""))</f>
        <v/>
      </c>
      <c r="BK14" s="1" t="str">
        <f>IF(IFERROR(VLOOKUP(CONCATENATE($D14,$E14,BK$1),'ROLLING SCHED'!$A:$A,1,FALSE),"x")&lt;&gt;"x","x",IF(IFERROR(VLOOKUP(CONCATENATE($D14,$E14,BK$1+7),'ROLLING SCHED'!$A:$A,1,FALSE),"y")&lt;&gt;"y","y",""))</f>
        <v/>
      </c>
      <c r="BL14" s="1" t="str">
        <f>IF(IFERROR(VLOOKUP(CONCATENATE($D14,$E14,BL$1),'ROLLING SCHED'!$A:$A,1,FALSE),"x")&lt;&gt;"x","x",IF(IFERROR(VLOOKUP(CONCATENATE($D14,$E14,BL$1+7),'ROLLING SCHED'!$A:$A,1,FALSE),"y")&lt;&gt;"y","y",""))</f>
        <v/>
      </c>
      <c r="BM14" s="1" t="str">
        <f>IF(IFERROR(VLOOKUP(CONCATENATE($D14,$E14,BM$1),'ROLLING SCHED'!$A:$A,1,FALSE),"x")&lt;&gt;"x","x",IF(IFERROR(VLOOKUP(CONCATENATE($D14,$E14,BM$1+7),'ROLLING SCHED'!$A:$A,1,FALSE),"y")&lt;&gt;"y","y",""))</f>
        <v/>
      </c>
      <c r="BN14" s="1" t="str">
        <f>IF(IFERROR(VLOOKUP(CONCATENATE($D14,$E14,BN$1),'ROLLING SCHED'!$A:$A,1,FALSE),"x")&lt;&gt;"x","x",IF(IFERROR(VLOOKUP(CONCATENATE($D14,$E14,BN$1+7),'ROLLING SCHED'!$A:$A,1,FALSE),"y")&lt;&gt;"y","y",""))</f>
        <v/>
      </c>
      <c r="BO14" s="1" t="str">
        <f>IF(IFERROR(VLOOKUP(CONCATENATE($D14,$E14,BO$1),'ROLLING SCHED'!$A:$A,1,FALSE),"x")&lt;&gt;"x","x",IF(IFERROR(VLOOKUP(CONCATENATE($D14,$E14,BO$1+7),'ROLLING SCHED'!$A:$A,1,FALSE),"y")&lt;&gt;"y","y",""))</f>
        <v/>
      </c>
      <c r="BP14" s="1" t="str">
        <f>IF(IFERROR(VLOOKUP(CONCATENATE($D14,$E14,BP$1),'ROLLING SCHED'!$A:$A,1,FALSE),"x")&lt;&gt;"x","x",IF(IFERROR(VLOOKUP(CONCATENATE($D14,$E14,BP$1+7),'ROLLING SCHED'!$A:$A,1,FALSE),"y")&lt;&gt;"y","y",""))</f>
        <v/>
      </c>
      <c r="BQ14" s="1" t="str">
        <f>IF(IFERROR(VLOOKUP(CONCATENATE($D14,$E14,BQ$1),'ROLLING SCHED'!$A:$A,1,FALSE),"x")&lt;&gt;"x","x",IF(IFERROR(VLOOKUP(CONCATENATE($D14,$E14,BQ$1+7),'ROLLING SCHED'!$A:$A,1,FALSE),"y")&lt;&gt;"y","y",""))</f>
        <v/>
      </c>
      <c r="BR14" s="1" t="str">
        <f>IF(IFERROR(VLOOKUP(CONCATENATE($D14,$E14,BR$1),'ROLLING SCHED'!$A:$A,1,FALSE),"x")&lt;&gt;"x","x",IF(IFERROR(VLOOKUP(CONCATENATE($D14,$E14,BR$1+7),'ROLLING SCHED'!$A:$A,1,FALSE),"y")&lt;&gt;"y","y",""))</f>
        <v/>
      </c>
      <c r="BS14" s="1" t="str">
        <f>IF(IFERROR(VLOOKUP(CONCATENATE($D14,$E14,BS$1),'ROLLING SCHED'!$A:$A,1,FALSE),"x")&lt;&gt;"x","x",IF(IFERROR(VLOOKUP(CONCATENATE($D14,$E14,BS$1+7),'ROLLING SCHED'!$A:$A,1,FALSE),"y")&lt;&gt;"y","y",""))</f>
        <v/>
      </c>
      <c r="BT14" s="1" t="str">
        <f>IF(IFERROR(VLOOKUP(CONCATENATE($D14,$E14,BT$1),'ROLLING SCHED'!$A:$A,1,FALSE),"x")&lt;&gt;"x","x",IF(IFERROR(VLOOKUP(CONCATENATE($D14,$E14,BT$1+7),'ROLLING SCHED'!$A:$A,1,FALSE),"y")&lt;&gt;"y","y",""))</f>
        <v/>
      </c>
      <c r="BU14" s="1" t="str">
        <f>IF(IFERROR(VLOOKUP(CONCATENATE($D14,$E14,BU$1),'ROLLING SCHED'!$A:$A,1,FALSE),"x")&lt;&gt;"x","x",IF(IFERROR(VLOOKUP(CONCATENATE($D14,$E14,BU$1+7),'ROLLING SCHED'!$A:$A,1,FALSE),"y")&lt;&gt;"y","y",""))</f>
        <v/>
      </c>
      <c r="BV14" s="1" t="str">
        <f>IF(IFERROR(VLOOKUP(CONCATENATE($D14,$E14,BV$1),'ROLLING SCHED'!$A:$A,1,FALSE),"x")&lt;&gt;"x","x",IF(IFERROR(VLOOKUP(CONCATENATE($D14,$E14,BV$1+7),'ROLLING SCHED'!$A:$A,1,FALSE),"y")&lt;&gt;"y","y",""))</f>
        <v/>
      </c>
      <c r="BW14" s="1" t="str">
        <f>IF(IFERROR(VLOOKUP(CONCATENATE($D14,$E14,BW$1),'ROLLING SCHED'!$A:$A,1,FALSE),"x")&lt;&gt;"x","x",IF(IFERROR(VLOOKUP(CONCATENATE($D14,$E14,BW$1+7),'ROLLING SCHED'!$A:$A,1,FALSE),"y")&lt;&gt;"y","y",""))</f>
        <v/>
      </c>
      <c r="BX14" s="1" t="str">
        <f>IF(IFERROR(VLOOKUP(CONCATENATE($D14,$E14,BX$1),'ROLLING SCHED'!$A:$A,1,FALSE),"x")&lt;&gt;"x","x",IF(IFERROR(VLOOKUP(CONCATENATE($D14,$E14,BX$1+7),'ROLLING SCHED'!$A:$A,1,FALSE),"y")&lt;&gt;"y","y",""))</f>
        <v/>
      </c>
      <c r="BY14" s="1" t="str">
        <f>IF(IFERROR(VLOOKUP(CONCATENATE($D14,$E14,BY$1),'ROLLING SCHED'!$A:$A,1,FALSE),"x")&lt;&gt;"x","x",IF(IFERROR(VLOOKUP(CONCATENATE($D14,$E14,BY$1+7),'ROLLING SCHED'!$A:$A,1,FALSE),"y")&lt;&gt;"y","y",""))</f>
        <v/>
      </c>
      <c r="BZ14" s="1" t="str">
        <f>IF(IFERROR(VLOOKUP(CONCATENATE($D14,$E14,BZ$1),'ROLLING SCHED'!$A:$A,1,FALSE),"x")&lt;&gt;"x","x",IF(IFERROR(VLOOKUP(CONCATENATE($D14,$E14,BZ$1+7),'ROLLING SCHED'!$A:$A,1,FALSE),"y")&lt;&gt;"y","y",""))</f>
        <v/>
      </c>
      <c r="CA14" s="1" t="str">
        <f>IF(IFERROR(VLOOKUP(CONCATENATE($D14,$E14,CA$1),'ROLLING SCHED'!$A:$A,1,FALSE),"x")&lt;&gt;"x","x",IF(IFERROR(VLOOKUP(CONCATENATE($D14,$E14,CA$1+7),'ROLLING SCHED'!$A:$A,1,FALSE),"y")&lt;&gt;"y","y",""))</f>
        <v/>
      </c>
      <c r="CB14" s="1" t="str">
        <f>IF(IFERROR(VLOOKUP(CONCATENATE($D14,$E14,CB$1),'ROLLING SCHED'!$A:$A,1,FALSE),"x")&lt;&gt;"x","x",IF(IFERROR(VLOOKUP(CONCATENATE($D14,$E14,CB$1+7),'ROLLING SCHED'!$A:$A,1,FALSE),"y")&lt;&gt;"y","y",""))</f>
        <v/>
      </c>
      <c r="CC14" s="1" t="str">
        <f>IF(IFERROR(VLOOKUP(CONCATENATE($D14,$E14,CC$1),'ROLLING SCHED'!$A:$A,1,FALSE),"x")&lt;&gt;"x","x",IF(IFERROR(VLOOKUP(CONCATENATE($D14,$E14,CC$1+7),'ROLLING SCHED'!$A:$A,1,FALSE),"y")&lt;&gt;"y","y",""))</f>
        <v/>
      </c>
      <c r="CD14" s="1" t="str">
        <f>IF(IFERROR(VLOOKUP(CONCATENATE($D14,$E14,CD$1),'ROLLING SCHED'!$A:$A,1,FALSE),"x")&lt;&gt;"x","x",IF(IFERROR(VLOOKUP(CONCATENATE($D14,$E14,CD$1+7),'ROLLING SCHED'!$A:$A,1,FALSE),"y")&lt;&gt;"y","y",""))</f>
        <v/>
      </c>
      <c r="CE14" s="1" t="str">
        <f>IF(IFERROR(VLOOKUP(CONCATENATE($D14,$E14,CE$1),'ROLLING SCHED'!$A:$A,1,FALSE),"x")&lt;&gt;"x","x",IF(IFERROR(VLOOKUP(CONCATENATE($D14,$E14,CE$1+7),'ROLLING SCHED'!$A:$A,1,FALSE),"y")&lt;&gt;"y","y",""))</f>
        <v/>
      </c>
      <c r="CF14" s="1" t="str">
        <f>IF(IFERROR(VLOOKUP(CONCATENATE($D14,$E14,CF$1),'ROLLING SCHED'!$A:$A,1,FALSE),"x")&lt;&gt;"x","x",IF(IFERROR(VLOOKUP(CONCATENATE($D14,$E14,CF$1+7),'ROLLING SCHED'!$A:$A,1,FALSE),"y")&lt;&gt;"y","y",""))</f>
        <v/>
      </c>
      <c r="CG14" s="1" t="str">
        <f>IF(IFERROR(VLOOKUP(CONCATENATE($D14,$E14,CG$1),'ROLLING SCHED'!$A:$A,1,FALSE),"x")&lt;&gt;"x","x",IF(IFERROR(VLOOKUP(CONCATENATE($D14,$E14,CG$1+7),'ROLLING SCHED'!$A:$A,1,FALSE),"y")&lt;&gt;"y","y",""))</f>
        <v/>
      </c>
      <c r="CH14" s="1" t="str">
        <f>IF(IFERROR(VLOOKUP(CONCATENATE($D14,$E14,CH$1),'ROLLING SCHED'!$A:$A,1,FALSE),"x")&lt;&gt;"x","x",IF(IFERROR(VLOOKUP(CONCATENATE($D14,$E14,CH$1+7),'ROLLING SCHED'!$A:$A,1,FALSE),"y")&lt;&gt;"y","y",""))</f>
        <v/>
      </c>
      <c r="CI14" s="1" t="str">
        <f>IF(IFERROR(VLOOKUP(CONCATENATE($D14,$E14,CI$1),'ROLLING SCHED'!$A:$A,1,FALSE),"x")&lt;&gt;"x","x",IF(IFERROR(VLOOKUP(CONCATENATE($D14,$E14,CI$1+7),'ROLLING SCHED'!$A:$A,1,FALSE),"y")&lt;&gt;"y","y",""))</f>
        <v/>
      </c>
      <c r="CJ14" s="1" t="str">
        <f>IF(IFERROR(VLOOKUP(CONCATENATE($D14,$E14,CJ$1),'ROLLING SCHED'!$A:$A,1,FALSE),"x")&lt;&gt;"x","x",IF(IFERROR(VLOOKUP(CONCATENATE($D14,$E14,CJ$1+7),'ROLLING SCHED'!$A:$A,1,FALSE),"y")&lt;&gt;"y","y",""))</f>
        <v/>
      </c>
      <c r="CK14" s="1" t="str">
        <f>IF(IFERROR(VLOOKUP(CONCATENATE($D14,$E14,CK$1),'ROLLING SCHED'!$A:$A,1,FALSE),"x")&lt;&gt;"x","x",IF(IFERROR(VLOOKUP(CONCATENATE($D14,$E14,CK$1+7),'ROLLING SCHED'!$A:$A,1,FALSE),"y")&lt;&gt;"y","y",""))</f>
        <v/>
      </c>
      <c r="CL14" s="1" t="str">
        <f>IF(IFERROR(VLOOKUP(CONCATENATE($D14,$E14,CL$1),'ROLLING SCHED'!$A:$A,1,FALSE),"x")&lt;&gt;"x","x",IF(IFERROR(VLOOKUP(CONCATENATE($D14,$E14,CL$1+7),'ROLLING SCHED'!$A:$A,1,FALSE),"y")&lt;&gt;"y","y",""))</f>
        <v/>
      </c>
      <c r="CM14" s="1" t="str">
        <f>IF(IFERROR(VLOOKUP(CONCATENATE($D14,$E14,CM$1),'ROLLING SCHED'!$A:$A,1,FALSE),"x")&lt;&gt;"x","x",IF(IFERROR(VLOOKUP(CONCATENATE($D14,$E14,CM$1+7),'ROLLING SCHED'!$A:$A,1,FALSE),"y")&lt;&gt;"y","y",""))</f>
        <v/>
      </c>
      <c r="CN14" s="1" t="str">
        <f>IF(IFERROR(VLOOKUP(CONCATENATE($D14,$E14,CN$1),'ROLLING SCHED'!$A:$A,1,FALSE),"x")&lt;&gt;"x","x",IF(IFERROR(VLOOKUP(CONCATENATE($D14,$E14,CN$1+7),'ROLLING SCHED'!$A:$A,1,FALSE),"y")&lt;&gt;"y","y",""))</f>
        <v/>
      </c>
      <c r="CO14" s="1" t="str">
        <f>IF(IFERROR(VLOOKUP(CONCATENATE($D14,$E14,CO$1),'ROLLING SCHED'!$A:$A,1,FALSE),"x")&lt;&gt;"x","x",IF(IFERROR(VLOOKUP(CONCATENATE($D14,$E14,CO$1+7),'ROLLING SCHED'!$A:$A,1,FALSE),"y")&lt;&gt;"y","y",""))</f>
        <v/>
      </c>
      <c r="CP14" s="1" t="str">
        <f>IF(IFERROR(VLOOKUP(CONCATENATE($D14,$E14,CP$1),'ROLLING SCHED'!$A:$A,1,FALSE),"x")&lt;&gt;"x","x",IF(IFERROR(VLOOKUP(CONCATENATE($D14,$E14,CP$1+7),'ROLLING SCHED'!$A:$A,1,FALSE),"y")&lt;&gt;"y","y",""))</f>
        <v/>
      </c>
      <c r="CQ14" s="1" t="str">
        <f>IF(IFERROR(VLOOKUP(CONCATENATE($D14,$E14,CQ$1),'ROLLING SCHED'!$A:$A,1,FALSE),"x")&lt;&gt;"x","x",IF(IFERROR(VLOOKUP(CONCATENATE($D14,$E14,CQ$1+7),'ROLLING SCHED'!$A:$A,1,FALSE),"y")&lt;&gt;"y","y",""))</f>
        <v/>
      </c>
      <c r="CR14" s="1" t="str">
        <f>IF(IFERROR(VLOOKUP(CONCATENATE($D14,$E14,CR$1),'ROLLING SCHED'!$A:$A,1,FALSE),"x")&lt;&gt;"x","x",IF(IFERROR(VLOOKUP(CONCATENATE($D14,$E14,CR$1+7),'ROLLING SCHED'!$A:$A,1,FALSE),"y")&lt;&gt;"y","y",""))</f>
        <v/>
      </c>
      <c r="CS14" s="1" t="str">
        <f>IF(IFERROR(VLOOKUP(CONCATENATE($D14,$E14,CS$1),'ROLLING SCHED'!$A:$A,1,FALSE),"x")&lt;&gt;"x","x",IF(IFERROR(VLOOKUP(CONCATENATE($D14,$E14,CS$1+7),'ROLLING SCHED'!$A:$A,1,FALSE),"y")&lt;&gt;"y","y",""))</f>
        <v/>
      </c>
      <c r="CT14" s="1" t="str">
        <f>IF(IFERROR(VLOOKUP(CONCATENATE($D14,$E14,CT$1),'ROLLING SCHED'!$A:$A,1,FALSE),"x")&lt;&gt;"x","x",IF(IFERROR(VLOOKUP(CONCATENATE($D14,$E14,CT$1+7),'ROLLING SCHED'!$A:$A,1,FALSE),"y")&lt;&gt;"y","y",""))</f>
        <v/>
      </c>
      <c r="CU14" s="1" t="str">
        <f>IF(IFERROR(VLOOKUP(CONCATENATE($D14,$E14,CU$1),'ROLLING SCHED'!$A:$A,1,FALSE),"x")&lt;&gt;"x","x",IF(IFERROR(VLOOKUP(CONCATENATE($D14,$E14,CU$1+7),'ROLLING SCHED'!$A:$A,1,FALSE),"y")&lt;&gt;"y","y",""))</f>
        <v/>
      </c>
      <c r="CV14" s="1" t="str">
        <f>IF(IFERROR(VLOOKUP(CONCATENATE($D14,$E14,CV$1),'ROLLING SCHED'!$A:$A,1,FALSE),"x")&lt;&gt;"x","x",IF(IFERROR(VLOOKUP(CONCATENATE($D14,$E14,CV$1+7),'ROLLING SCHED'!$A:$A,1,FALSE),"y")&lt;&gt;"y","y",""))</f>
        <v/>
      </c>
      <c r="CW14" s="1" t="str">
        <f>IF(IFERROR(VLOOKUP(CONCATENATE($D14,$E14,CW$1),'ROLLING SCHED'!$A:$A,1,FALSE),"x")&lt;&gt;"x","x",IF(IFERROR(VLOOKUP(CONCATENATE($D14,$E14,CW$1+7),'ROLLING SCHED'!$A:$A,1,FALSE),"y")&lt;&gt;"y","y",""))</f>
        <v/>
      </c>
      <c r="CX14" s="1" t="str">
        <f>IF(IFERROR(VLOOKUP(CONCATENATE($D14,$E14,CX$1),'ROLLING SCHED'!$A:$A,1,FALSE),"x")&lt;&gt;"x","x",IF(IFERROR(VLOOKUP(CONCATENATE($D14,$E14,CX$1+7),'ROLLING SCHED'!$A:$A,1,FALSE),"y")&lt;&gt;"y","y",""))</f>
        <v/>
      </c>
      <c r="CY14" s="1" t="str">
        <f>IF(IFERROR(VLOOKUP(CONCATENATE($D14,$E14,CY$1),'ROLLING SCHED'!$A:$A,1,FALSE),"x")&lt;&gt;"x","x",IF(IFERROR(VLOOKUP(CONCATENATE($D14,$E14,CY$1+7),'ROLLING SCHED'!$A:$A,1,FALSE),"y")&lt;&gt;"y","y",""))</f>
        <v/>
      </c>
      <c r="CZ14" s="1" t="str">
        <f>IF(IFERROR(VLOOKUP(CONCATENATE($D14,$E14,CZ$1),'ROLLING SCHED'!$A:$A,1,FALSE),"x")&lt;&gt;"x","x",IF(IFERROR(VLOOKUP(CONCATENATE($D14,$E14,CZ$1+7),'ROLLING SCHED'!$A:$A,1,FALSE),"y")&lt;&gt;"y","y",""))</f>
        <v/>
      </c>
      <c r="DA14" s="1" t="str">
        <f>IF(IFERROR(VLOOKUP(CONCATENATE($D14,$E14,DA$1),'ROLLING SCHED'!$A:$A,1,FALSE),"x")&lt;&gt;"x","x",IF(IFERROR(VLOOKUP(CONCATENATE($D14,$E14,DA$1+7),'ROLLING SCHED'!$A:$A,1,FALSE),"y")&lt;&gt;"y","y",""))</f>
        <v/>
      </c>
      <c r="DB14" s="1" t="str">
        <f>IF(IFERROR(VLOOKUP(CONCATENATE($D14,$E14,DB$1),'ROLLING SCHED'!$A:$A,1,FALSE),"x")&lt;&gt;"x","x",IF(IFERROR(VLOOKUP(CONCATENATE($D14,$E14,DB$1+7),'ROLLING SCHED'!$A:$A,1,FALSE),"y")&lt;&gt;"y","y",""))</f>
        <v/>
      </c>
      <c r="DC14" s="1" t="str">
        <f>IF(IFERROR(VLOOKUP(CONCATENATE($D14,$E14,DC$1),'ROLLING SCHED'!$A:$A,1,FALSE),"x")&lt;&gt;"x","x",IF(IFERROR(VLOOKUP(CONCATENATE($D14,$E14,DC$1+7),'ROLLING SCHED'!$A:$A,1,FALSE),"y")&lt;&gt;"y","y",""))</f>
        <v/>
      </c>
      <c r="DD14" s="1" t="str">
        <f>IF(IFERROR(VLOOKUP(CONCATENATE($D14,$E14,DD$1),'ROLLING SCHED'!$A:$A,1,FALSE),"x")&lt;&gt;"x","x",IF(IFERROR(VLOOKUP(CONCATENATE($D14,$E14,DD$1+7),'ROLLING SCHED'!$A:$A,1,FALSE),"y")&lt;&gt;"y","y",""))</f>
        <v/>
      </c>
      <c r="DE14" s="1" t="str">
        <f>IF(IFERROR(VLOOKUP(CONCATENATE($D14,$E14,DE$1),'ROLLING SCHED'!$A:$A,1,FALSE),"x")&lt;&gt;"x","x",IF(IFERROR(VLOOKUP(CONCATENATE($D14,$E14,DE$1+7),'ROLLING SCHED'!$A:$A,1,FALSE),"y")&lt;&gt;"y","y",""))</f>
        <v/>
      </c>
      <c r="DF14" s="1" t="str">
        <f>IF(IFERROR(VLOOKUP(CONCATENATE($D14,$E14,DF$1),'ROLLING SCHED'!$A:$A,1,FALSE),"x")&lt;&gt;"x","x",IF(IFERROR(VLOOKUP(CONCATENATE($D14,$E14,DF$1+7),'ROLLING SCHED'!$A:$A,1,FALSE),"y")&lt;&gt;"y","y",""))</f>
        <v/>
      </c>
      <c r="DG14" s="1" t="str">
        <f>IF(IFERROR(VLOOKUP(CONCATENATE($D14,$E14,DG$1),'ROLLING SCHED'!$A:$A,1,FALSE),"x")&lt;&gt;"x","x",IF(IFERROR(VLOOKUP(CONCATENATE($D14,$E14,DG$1+7),'ROLLING SCHED'!$A:$A,1,FALSE),"y")&lt;&gt;"y","y",""))</f>
        <v/>
      </c>
      <c r="DH14" s="1" t="str">
        <f>IF(IFERROR(VLOOKUP(CONCATENATE($D14,$E14,DH$1),'ROLLING SCHED'!$A:$A,1,FALSE),"x")&lt;&gt;"x","x",IF(IFERROR(VLOOKUP(CONCATENATE($D14,$E14,DH$1+7),'ROLLING SCHED'!$A:$A,1,FALSE),"y")&lt;&gt;"y","y",""))</f>
        <v/>
      </c>
      <c r="DI14" s="1" t="str">
        <f>IF(IFERROR(VLOOKUP(CONCATENATE($D14,$E14,DI$1),'ROLLING SCHED'!$A:$A,1,FALSE),"x")&lt;&gt;"x","x",IF(IFERROR(VLOOKUP(CONCATENATE($D14,$E14,DI$1+7),'ROLLING SCHED'!$A:$A,1,FALSE),"y")&lt;&gt;"y","y",""))</f>
        <v/>
      </c>
      <c r="DJ14" s="1" t="str">
        <f>IF(IFERROR(VLOOKUP(CONCATENATE($D14,$E14,DJ$1),'ROLLING SCHED'!$A:$A,1,FALSE),"x")&lt;&gt;"x","x",IF(IFERROR(VLOOKUP(CONCATENATE($D14,$E14,DJ$1+7),'ROLLING SCHED'!$A:$A,1,FALSE),"y")&lt;&gt;"y","y",""))</f>
        <v/>
      </c>
      <c r="DK14" s="1" t="str">
        <f>IF(IFERROR(VLOOKUP(CONCATENATE($D14,$E14,DK$1),'ROLLING SCHED'!$A:$A,1,FALSE),"x")&lt;&gt;"x","x",IF(IFERROR(VLOOKUP(CONCATENATE($D14,$E14,DK$1+7),'ROLLING SCHED'!$A:$A,1,FALSE),"y")&lt;&gt;"y","y",""))</f>
        <v/>
      </c>
      <c r="DL14" s="1" t="str">
        <f>IF(IFERROR(VLOOKUP(CONCATENATE($D14,$E14,DL$1),'ROLLING SCHED'!$A:$A,1,FALSE),"x")&lt;&gt;"x","x",IF(IFERROR(VLOOKUP(CONCATENATE($D14,$E14,DL$1+7),'ROLLING SCHED'!$A:$A,1,FALSE),"y")&lt;&gt;"y","y",""))</f>
        <v/>
      </c>
      <c r="DM14" s="1" t="str">
        <f>IF(IFERROR(VLOOKUP(CONCATENATE($D14,$E14,DM$1),'ROLLING SCHED'!$A:$A,1,FALSE),"x")&lt;&gt;"x","x",IF(IFERROR(VLOOKUP(CONCATENATE($D14,$E14,DM$1+7),'ROLLING SCHED'!$A:$A,1,FALSE),"y")&lt;&gt;"y","y",""))</f>
        <v/>
      </c>
      <c r="DN14" s="1" t="str">
        <f>IF(IFERROR(VLOOKUP(CONCATENATE($D14,$E14,DN$1),'ROLLING SCHED'!$A:$A,1,FALSE),"x")&lt;&gt;"x","x",IF(IFERROR(VLOOKUP(CONCATENATE($D14,$E14,DN$1+7),'ROLLING SCHED'!$A:$A,1,FALSE),"y")&lt;&gt;"y","y",""))</f>
        <v/>
      </c>
      <c r="DO14" s="1" t="str">
        <f>IF(IFERROR(VLOOKUP(CONCATENATE($D14,$E14,DO$1),'ROLLING SCHED'!$A:$A,1,FALSE),"x")&lt;&gt;"x","x",IF(IFERROR(VLOOKUP(CONCATENATE($D14,$E14,DO$1+7),'ROLLING SCHED'!$A:$A,1,FALSE),"y")&lt;&gt;"y","y",""))</f>
        <v/>
      </c>
      <c r="DP14" s="1" t="str">
        <f>IF(IFERROR(VLOOKUP(CONCATENATE($D14,$E14,DP$1),'ROLLING SCHED'!$A:$A,1,FALSE),"x")&lt;&gt;"x","x",IF(IFERROR(VLOOKUP(CONCATENATE($D14,$E14,DP$1+7),'ROLLING SCHED'!$A:$A,1,FALSE),"y")&lt;&gt;"y","y",""))</f>
        <v/>
      </c>
      <c r="DQ14" s="1" t="str">
        <f>IF(IFERROR(VLOOKUP(CONCATENATE($D14,$E14,DQ$1),'ROLLING SCHED'!$A:$A,1,FALSE),"x")&lt;&gt;"x","x",IF(IFERROR(VLOOKUP(CONCATENATE($D14,$E14,DQ$1+7),'ROLLING SCHED'!$A:$A,1,FALSE),"y")&lt;&gt;"y","y",""))</f>
        <v/>
      </c>
      <c r="DR14" s="1" t="str">
        <f>IF(IFERROR(VLOOKUP(CONCATENATE($D14,$E14,DR$1),'ROLLING SCHED'!$A:$A,1,FALSE),"x")&lt;&gt;"x","x",IF(IFERROR(VLOOKUP(CONCATENATE($D14,$E14,DR$1+7),'ROLLING SCHED'!$A:$A,1,FALSE),"y")&lt;&gt;"y","y",""))</f>
        <v/>
      </c>
      <c r="DS14" s="1" t="str">
        <f>IF(IFERROR(VLOOKUP(CONCATENATE($D14,$E14,DS$1),'ROLLING SCHED'!$A:$A,1,FALSE),"x")&lt;&gt;"x","x",IF(IFERROR(VLOOKUP(CONCATENATE($D14,$E14,DS$1+7),'ROLLING SCHED'!$A:$A,1,FALSE),"y")&lt;&gt;"y","y",""))</f>
        <v/>
      </c>
      <c r="DT14" s="1" t="str">
        <f>IF(IFERROR(VLOOKUP(CONCATENATE($D14,$E14,DT$1),'ROLLING SCHED'!$A:$A,1,FALSE),"x")&lt;&gt;"x","x",IF(IFERROR(VLOOKUP(CONCATENATE($D14,$E14,DT$1+7),'ROLLING SCHED'!$A:$A,1,FALSE),"y")&lt;&gt;"y","y",""))</f>
        <v/>
      </c>
      <c r="DU14" s="1" t="str">
        <f>IF(IFERROR(VLOOKUP(CONCATENATE($D14,$E14,DU$1),'ROLLING SCHED'!$A:$A,1,FALSE),"x")&lt;&gt;"x","x",IF(IFERROR(VLOOKUP(CONCATENATE($D14,$E14,DU$1+7),'ROLLING SCHED'!$A:$A,1,FALSE),"y")&lt;&gt;"y","y",""))</f>
        <v/>
      </c>
      <c r="DV14" s="1" t="str">
        <f>IF(IFERROR(VLOOKUP(CONCATENATE($D14,$E14,DV$1),'ROLLING SCHED'!$A:$A,1,FALSE),"x")&lt;&gt;"x","x",IF(IFERROR(VLOOKUP(CONCATENATE($D14,$E14,DV$1+7),'ROLLING SCHED'!$A:$A,1,FALSE),"y")&lt;&gt;"y","y",""))</f>
        <v/>
      </c>
      <c r="DW14" s="1" t="str">
        <f>IF(IFERROR(VLOOKUP(CONCATENATE($D14,$E14,DW$1),'ROLLING SCHED'!$A:$A,1,FALSE),"x")&lt;&gt;"x","x",IF(IFERROR(VLOOKUP(CONCATENATE($D14,$E14,DW$1+7),'ROLLING SCHED'!$A:$A,1,FALSE),"y")&lt;&gt;"y","y",""))</f>
        <v/>
      </c>
    </row>
    <row r="15" spans="1:127" outlineLevel="1" x14ac:dyDescent="0.3">
      <c r="A15" s="96" t="str">
        <f t="shared" si="75"/>
        <v>106028776Production Calculation</v>
      </c>
      <c r="B15" s="20">
        <f t="shared" si="67"/>
        <v>106028776</v>
      </c>
      <c r="C15" s="20" t="str">
        <f t="shared" si="68"/>
        <v>L 2 1/2X2 1/2X1/4 GGMULTI 50'00"</v>
      </c>
      <c r="D15" s="20">
        <f t="shared" si="69"/>
        <v>1333</v>
      </c>
      <c r="E15" s="20" t="str">
        <f t="shared" si="70"/>
        <v>2-1/2" ANG</v>
      </c>
      <c r="F15" s="4" t="s">
        <v>207</v>
      </c>
      <c r="H15" s="1">
        <f>MAX(IFERROR(IF(H14="x",HLOOKUP("y",I14:$DW19,5,FALSE),0)+IF(H14="x",HLOOKUP("y",I14:$DW19,6,FALSE)*-1-IF(H14="x",SUM(G15:$H15),0),0),0),0)</f>
        <v>0</v>
      </c>
      <c r="I15" s="1">
        <f>MAX(IFERROR(IF(I14="x",HLOOKUP("y",J14:$DW19,5,FALSE),0)+IF(I14="x",HLOOKUP("y",J14:$DW19,6,FALSE)*-1-IF(I14="x",SUM(H15:$H15),0),0),0),0)</f>
        <v>0</v>
      </c>
      <c r="J15" s="1">
        <f>MAX(IFERROR(IF(J14="x",HLOOKUP("y",K14:$DW19,5,FALSE),0)+IF(J14="x",HLOOKUP("y",K14:$DW19,6,FALSE)*-1-IF(J14="x",SUM($H15:I15),0),0),0),0)</f>
        <v>0</v>
      </c>
      <c r="K15" s="112">
        <f>MAX(IFERROR(IF(K14="x",HLOOKUP("y",L14:$DW19,5,FALSE),0)+IF(K14="x",HLOOKUP("y",L14:$DW19,6,FALSE)*-1-IF(K14="x",SUM($H15:J15),0),0),0),0)</f>
        <v>0</v>
      </c>
      <c r="L15" s="112">
        <f>MAX(IFERROR(IF(L14="x",HLOOKUP("y",M14:$DW19,5,FALSE),0)+IF(L14="x",HLOOKUP("y",M14:$DW19,6,FALSE)*-1-IF(L14="x",SUM($H15:K15),0),0),0),0)</f>
        <v>0</v>
      </c>
      <c r="M15" s="112">
        <f>MAX(IFERROR(IF(M14="x",HLOOKUP("y",N14:$DW19,5,FALSE),0)+IF(M14="x",HLOOKUP("y",N14:$DW19,6,FALSE)*-1-IF(M14="x",SUM($H15:L15),0),0),0),0)</f>
        <v>0</v>
      </c>
      <c r="N15" s="112">
        <f>MAX(IFERROR(IF(N14="x",HLOOKUP("y",O14:$DW19,5,FALSE),0)+IF(N14="x",HLOOKUP("y",O14:$DW19,6,FALSE)*-1-IF(N14="x",SUM($H15:M15),0),0),0),0)</f>
        <v>0</v>
      </c>
      <c r="O15" s="112">
        <f>MAX(IFERROR(IF(O14="x",HLOOKUP("y",P14:$DW19,5,FALSE),0)+IF(O14="x",HLOOKUP("y",P14:$DW19,6,FALSE)*-1-IF(O14="x",SUM($H15:N15),0),0),0),0)</f>
        <v>0</v>
      </c>
      <c r="P15" s="112">
        <f>MAX(IFERROR(IF(P14="x",HLOOKUP("y",Q14:$DW19,5,FALSE),0)+IF(P14="x",HLOOKUP("y",Q14:$DW19,6,FALSE)*-1-IF(P14="x",SUM($H15:O15),0),0),0),0)</f>
        <v>0</v>
      </c>
      <c r="Q15" s="112">
        <f>MAX(IFERROR(IF(Q14="x",HLOOKUP("y",R14:$DW19,5,FALSE),0)+IF(Q14="x",HLOOKUP("y",R14:$DW19,6,FALSE)*-1-IF(Q14="x",SUM($H15:P15),0),0),0),0)</f>
        <v>0</v>
      </c>
      <c r="R15" s="112">
        <f>MAX(IFERROR(IF(R14="x",HLOOKUP("y",S14:$DW19,5,FALSE),0)+IF(R14="x",HLOOKUP("y",S14:$DW19,6,FALSE)*-1-IF(R14="x",SUM($H15:Q15),0),0),0),0)</f>
        <v>0</v>
      </c>
      <c r="S15" s="9">
        <f>MAX(IFERROR(IF(S14="x",HLOOKUP("y",T14:$DW19,5,FALSE),0)+IF(S14="x",HLOOKUP("y",T14:$DW19,6,FALSE)*-1-IF(S14="x",SUM($H15:R15),0),0),0),0)</f>
        <v>0</v>
      </c>
      <c r="T15" s="9">
        <f>MAX(IFERROR(IF(T14="x",HLOOKUP("y",U14:$DW19,5,FALSE),0)+IF(T14="x",HLOOKUP("y",U14:$DW19,6,FALSE)*-1-IF(T14="x",SUM($H15:S15),0),0),0),0)</f>
        <v>0</v>
      </c>
      <c r="U15" s="9">
        <f>MAX(IFERROR(IF(U14="x",HLOOKUP("y",V14:$DW19,5,FALSE),0)+IF(U14="x",HLOOKUP("y",V14:$DW19,6,FALSE)*-1-IF(U14="x",SUM($H15:T15),0),0),0),0)</f>
        <v>0</v>
      </c>
      <c r="V15" s="9">
        <f>MAX(IFERROR(IF(V14="x",HLOOKUP("y",W14:$DW19,5,FALSE),0)+IF(V14="x",HLOOKUP("y",W14:$DW19,6,FALSE)*-1-IF(V14="x",SUM($H15:U15),0),0),0),0)</f>
        <v>0</v>
      </c>
      <c r="W15" s="9">
        <f>MAX(IFERROR(IF(W14="x",HLOOKUP("y",X14:$DW19,5,FALSE),0)+IF(W14="x",HLOOKUP("y",X14:$DW19,6,FALSE)*-1-IF(W14="x",SUM($H15:V15),0),0),0),0)</f>
        <v>0</v>
      </c>
      <c r="X15" s="9">
        <f>MAX(IFERROR(IF(X14="x",HLOOKUP("y",Y14:$DW19,5,FALSE),0)+IF(X14="x",HLOOKUP("y",Y14:$DW19,6,FALSE)*-1-IF(X14="x",SUM($H15:W15),0),0),0),0)</f>
        <v>0</v>
      </c>
      <c r="Y15" s="9">
        <f>MAX(IFERROR(IF(Y14="x",HLOOKUP("y",Z14:$DW19,5,FALSE),0)+IF(Y14="x",HLOOKUP("y",Z14:$DW19,6,FALSE)*-1-IF(Y14="x",SUM($H15:X15),0),0),0),0)</f>
        <v>0</v>
      </c>
      <c r="Z15" s="9">
        <f>MAX(IFERROR(IF(Z14="x",HLOOKUP("y",AA14:$DW19,5,FALSE),0)+IF(Z14="x",HLOOKUP("y",AA14:$DW19,6,FALSE)*-1-IF(Z14="x",SUM($H15:Y15),0),0),0),0)</f>
        <v>0</v>
      </c>
      <c r="AA15" s="9">
        <f>MAX(IFERROR(IF(AA14="x",HLOOKUP("y",AB14:$DW19,5,FALSE),0)+IF(AA14="x",HLOOKUP("y",AB14:$DW19,6,FALSE)*-1-IF(AA14="x",SUM($H15:Z15),0),0),0),0)</f>
        <v>0</v>
      </c>
      <c r="AB15" s="1">
        <f>MAX(IFERROR(IF(AB14="x",HLOOKUP("y",AC14:$DW19,5,FALSE),0)+IF(AB14="x",HLOOKUP("y",AC14:$DW19,6,FALSE)*-1-IF(AB14="x",SUM($H15:AA15),0),0),0),0)</f>
        <v>0</v>
      </c>
      <c r="AC15" s="1">
        <f>MAX(IFERROR(IF(AC14="x",HLOOKUP("y",AD14:$DW19,5,FALSE),0)+IF(AC14="x",HLOOKUP("y",AD14:$DW19,6,FALSE)*-1-IF(AC14="x",SUM($H15:AB15),0),0),0),0)</f>
        <v>0</v>
      </c>
      <c r="AD15" s="1">
        <f>MAX(IFERROR(IF(AD14="x",HLOOKUP("y",AE14:$DW19,5,FALSE),0)+IF(AD14="x",HLOOKUP("y",AE14:$DW19,6,FALSE)*-1-IF(AD14="x",SUM($H15:AC15),0),0),0),0)</f>
        <v>0</v>
      </c>
      <c r="AE15" s="1">
        <f>MAX(IFERROR(IF(AE14="x",HLOOKUP("y",AF14:$DW19,5,FALSE),0)+IF(AE14="x",HLOOKUP("y",AF14:$DW19,6,FALSE)*-1-IF(AE14="x",SUM($H15:AD15),0),0),0),0)</f>
        <v>0</v>
      </c>
      <c r="AF15" s="1">
        <f>MAX(IFERROR(IF(AF14="x",HLOOKUP("y",AG14:$DW19,5,FALSE),0)+IF(AF14="x",HLOOKUP("y",AG14:$DW19,6,FALSE)*-1-IF(AF14="x",SUM($H15:AE15),0),0),0),0)</f>
        <v>0</v>
      </c>
      <c r="AG15" s="1">
        <f>MAX(IFERROR(IF(AG14="x",HLOOKUP("y",AH14:$DW19,5,FALSE),0)+IF(AG14="x",HLOOKUP("y",AH14:$DW19,6,FALSE)*-1-IF(AG14="x",SUM($H15:AF15),0),0),0),0)</f>
        <v>0</v>
      </c>
      <c r="AH15" s="1">
        <f>MAX(IFERROR(IF(AH14="x",HLOOKUP("y",AI14:$DW19,5,FALSE),0)+IF(AH14="x",HLOOKUP("y",AI14:$DW19,6,FALSE)*-1-IF(AH14="x",SUM($H15:AG15),0),0),0),0)</f>
        <v>0</v>
      </c>
      <c r="AI15" s="1">
        <f>MAX(IFERROR(IF(AI14="x",HLOOKUP("y",AJ14:$DW19,5,FALSE),0)+IF(AI14="x",HLOOKUP("y",AJ14:$DW19,6,FALSE)*-1-IF(AI14="x",SUM($H15:AH15),0),0),0),0)</f>
        <v>0</v>
      </c>
      <c r="AJ15" s="1">
        <f>MAX(IFERROR(IF(AJ14="x",HLOOKUP("y",AK14:$DW19,5,FALSE),0)+IF(AJ14="x",HLOOKUP("y",AK14:$DW19,6,FALSE)*-1-IF(AJ14="x",SUM($H15:AI15),0),0),0),0)</f>
        <v>0</v>
      </c>
      <c r="AK15" s="1">
        <f>MAX(IFERROR(IF(AK14="x",HLOOKUP("y",AL14:$DW19,5,FALSE),0)+IF(AK14="x",HLOOKUP("y",AL14:$DW19,6,FALSE)*-1-IF(AK14="x",SUM($H15:AJ15),0),0),0),0)</f>
        <v>0</v>
      </c>
      <c r="AL15" s="1">
        <f>MAX(IFERROR(IF(AL14="x",HLOOKUP("y",AM14:$DW19,5,FALSE),0)+IF(AL14="x",HLOOKUP("y",AM14:$DW19,6,FALSE)*-1-IF(AL14="x",SUM($H15:AK15),0),0),0),0)</f>
        <v>0</v>
      </c>
      <c r="AM15" s="1">
        <f>MAX(IFERROR(IF(AM14="x",HLOOKUP("y",AN14:$DW19,5,FALSE),0)+IF(AM14="x",HLOOKUP("y",AN14:$DW19,6,FALSE)*-1-IF(AM14="x",SUM($H15:AL15),0),0),0),0)</f>
        <v>0</v>
      </c>
      <c r="AN15" s="1">
        <f>MAX(IFERROR(IF(AN14="x",HLOOKUP("y",AO14:$DW19,5,FALSE),0)+IF(AN14="x",HLOOKUP("y",AO14:$DW19,6,FALSE)*-1-IF(AN14="x",SUM($H15:AM15),0),0),0),0)</f>
        <v>0</v>
      </c>
      <c r="AO15" s="1">
        <f>MAX(IFERROR(IF(AO14="x",HLOOKUP("y",AP14:$DW19,5,FALSE),0)+IF(AO14="x",HLOOKUP("y",AP14:$DW19,6,FALSE)*-1-IF(AO14="x",SUM($H15:AN15),0),0),0),0)</f>
        <v>0</v>
      </c>
      <c r="AP15" s="1">
        <f>MAX(IFERROR(IF(AP14="x",HLOOKUP("y",AQ14:$DW19,5,FALSE),0)+IF(AP14="x",HLOOKUP("y",AQ14:$DW19,6,FALSE)*-1-IF(AP14="x",SUM($H15:AO15),0),0),0),0)</f>
        <v>0</v>
      </c>
      <c r="AQ15" s="1">
        <f>MAX(IFERROR(IF(AQ14="x",HLOOKUP("y",AR14:$DW19,5,FALSE),0)+IF(AQ14="x",HLOOKUP("y",AR14:$DW19,6,FALSE)*-1-IF(AQ14="x",SUM($H15:AP15),0),0),0),0)</f>
        <v>0</v>
      </c>
      <c r="AR15" s="1">
        <f>MAX(IFERROR(IF(AR14="x",HLOOKUP("y",AS14:$DW19,5,FALSE),0)+IF(AR14="x",HLOOKUP("y",AS14:$DW19,6,FALSE)*-1-IF(AR14="x",SUM($H15:AQ15),0),0),0),0)</f>
        <v>0</v>
      </c>
      <c r="AS15" s="1">
        <f>MAX(IFERROR(IF(AS14="x",HLOOKUP("y",AT14:$DW19,5,FALSE),0)+IF(AS14="x",HLOOKUP("y",AT14:$DW19,6,FALSE)*-1-IF(AS14="x",SUM($H15:AR15),0),0),0),0)</f>
        <v>0</v>
      </c>
      <c r="AT15" s="1">
        <f>MAX(IFERROR(IF(AT14="x",HLOOKUP("y",AU14:$DW19,5,FALSE),0)+IF(AT14="x",HLOOKUP("y",AU14:$DW19,6,FALSE)*-1-IF(AT14="x",SUM($H15:AS15),0),0),0),0)</f>
        <v>0</v>
      </c>
      <c r="AU15" s="1">
        <f>MAX(IFERROR(IF(AU14="x",HLOOKUP("y",AV14:$DW19,5,FALSE),0)+IF(AU14="x",HLOOKUP("y",AV14:$DW19,6,FALSE)*-1-IF(AU14="x",SUM($H15:AT15),0),0),0),0)</f>
        <v>0</v>
      </c>
      <c r="AV15" s="1">
        <f>MAX(IFERROR(IF(AV14="x",HLOOKUP("y",AW14:$DW19,5,FALSE),0)+IF(AV14="x",HLOOKUP("y",AW14:$DW19,6,FALSE)*-1-IF(AV14="x",SUM($H15:AU15),0),0),0),0)</f>
        <v>0</v>
      </c>
      <c r="AW15" s="1">
        <f>MAX(IFERROR(IF(AW14="x",HLOOKUP("y",AX14:$DW19,5,FALSE),0)+IF(AW14="x",HLOOKUP("y",AX14:$DW19,6,FALSE)*-1-IF(AW14="x",SUM($H15:AV15),0),0),0),0)</f>
        <v>0</v>
      </c>
      <c r="AX15" s="1">
        <f>MAX(IFERROR(IF(AX14="x",HLOOKUP("y",AY14:$DW19,5,FALSE),0)+IF(AX14="x",HLOOKUP("y",AY14:$DW19,6,FALSE)*-1-IF(AX14="x",SUM($H15:AW15),0),0),0),0)</f>
        <v>0</v>
      </c>
      <c r="AY15" s="1">
        <f>MAX(IFERROR(IF(AY14="x",HLOOKUP("y",AZ14:$DW19,5,FALSE),0)+IF(AY14="x",HLOOKUP("y",AZ14:$DW19,6,FALSE)*-1-IF(AY14="x",SUM($H15:AX15),0),0),0),0)</f>
        <v>0</v>
      </c>
      <c r="AZ15" s="1">
        <f>MAX(IFERROR(IF(AZ14="x",HLOOKUP("y",BA14:$DW19,5,FALSE),0)+IF(AZ14="x",HLOOKUP("y",BA14:$DW19,6,FALSE)*-1-IF(AZ14="x",SUM($H15:AY15),0),0),0),0)</f>
        <v>0</v>
      </c>
      <c r="BA15" s="1">
        <f>MAX(IFERROR(IF(BA14="x",HLOOKUP("y",BB14:$DW19,5,FALSE),0)+IF(BA14="x",HLOOKUP("y",BB14:$DW19,6,FALSE)*-1-IF(BA14="x",SUM($H15:AZ15),0),0),0),0)</f>
        <v>0</v>
      </c>
      <c r="BB15" s="1">
        <f>MAX(IFERROR(IF(BB14="x",HLOOKUP("y",BC14:$DW19,5,FALSE),0)+IF(BB14="x",HLOOKUP("y",BC14:$DW19,6,FALSE)*-1-IF(BB14="x",SUM($H15:BA15),0),0),0),0)</f>
        <v>0</v>
      </c>
      <c r="BC15" s="1">
        <f>MAX(IFERROR(IF(BC14="x",HLOOKUP("y",BD14:$DW19,5,FALSE),0)+IF(BC14="x",HLOOKUP("y",BD14:$DW19,6,FALSE)*-1-IF(BC14="x",SUM($H15:BB15),0),0),0),0)</f>
        <v>0</v>
      </c>
      <c r="BD15" s="1">
        <f>MAX(IFERROR(IF(BD14="x",HLOOKUP("y",BE14:$DW19,5,FALSE),0)+IF(BD14="x",HLOOKUP("y",BE14:$DW19,6,FALSE)*-1-IF(BD14="x",SUM($H15:BC15),0),0),0),0)</f>
        <v>0</v>
      </c>
      <c r="BE15" s="1">
        <f>MAX(IFERROR(IF(BE14="x",HLOOKUP("y",BF14:$DW19,5,FALSE),0)+IF(BE14="x",HLOOKUP("y",BF14:$DW19,6,FALSE)*-1-IF(BE14="x",SUM($H15:BD15),0),0),0),0)</f>
        <v>0</v>
      </c>
      <c r="BF15" s="1">
        <f>MAX(IFERROR(IF(BF14="x",HLOOKUP("y",BG14:$DW19,5,FALSE),0)+IF(BF14="x",HLOOKUP("y",BG14:$DW19,6,FALSE)*-1-IF(BF14="x",SUM($H15:BE15),0),0),0),0)</f>
        <v>0</v>
      </c>
      <c r="BG15" s="1">
        <f>MAX(IFERROR(IF(BG14="x",HLOOKUP("y",BH14:$DW19,5,FALSE),0)+IF(BG14="x",HLOOKUP("y",BH14:$DW19,6,FALSE)*-1-IF(BG14="x",SUM($H15:BF15),0),0),0),0)</f>
        <v>0</v>
      </c>
      <c r="BH15" s="1">
        <f>MAX(IFERROR(IF(BH14="x",HLOOKUP("y",BI14:$DW19,5,FALSE),0)+IF(BH14="x",HLOOKUP("y",BI14:$DW19,6,FALSE)*-1-IF(BH14="x",SUM($H15:BG15),0),0),0),0)</f>
        <v>0</v>
      </c>
      <c r="BI15" s="1">
        <f>MAX(IFERROR(IF(BI14="x",HLOOKUP("y",BJ14:$DW19,5,FALSE),0)+IF(BI14="x",HLOOKUP("y",BJ14:$DW19,6,FALSE)*-1-IF(BI14="x",SUM($H15:BH15),0),0),0),0)</f>
        <v>0</v>
      </c>
      <c r="BJ15" s="1">
        <f>MAX(IFERROR(IF(BJ14="x",HLOOKUP("y",BK14:$DW19,5,FALSE),0)+IF(BJ14="x",HLOOKUP("y",BK14:$DW19,6,FALSE)*-1-IF(BJ14="x",SUM($H15:BI15),0),0),0),0)</f>
        <v>0</v>
      </c>
      <c r="BK15" s="1">
        <f>MAX(IFERROR(IF(BK14="x",HLOOKUP("y",BL14:$DW19,5,FALSE),0)+IF(BK14="x",HLOOKUP("y",BL14:$DW19,6,FALSE)*-1-IF(BK14="x",SUM($H15:BJ15),0),0),0),0)</f>
        <v>0</v>
      </c>
      <c r="BL15" s="1">
        <f>MAX(IFERROR(IF(BL14="x",HLOOKUP("y",BM14:$DW19,5,FALSE),0)+IF(BL14="x",HLOOKUP("y",BM14:$DW19,6,FALSE)*-1-IF(BL14="x",SUM($H15:BK15),0),0),0),0)</f>
        <v>0</v>
      </c>
      <c r="BM15" s="1">
        <f>MAX(IFERROR(IF(BM14="x",HLOOKUP("y",BN14:$DW19,5,FALSE),0)+IF(BM14="x",HLOOKUP("y",BN14:$DW19,6,FALSE)*-1-IF(BM14="x",SUM($H15:BL15),0),0),0),0)</f>
        <v>0</v>
      </c>
      <c r="BN15" s="1">
        <f>MAX(IFERROR(IF(BN14="x",HLOOKUP("y",BO14:$DW19,5,FALSE),0)+IF(BN14="x",HLOOKUP("y",BO14:$DW19,6,FALSE)*-1-IF(BN14="x",SUM($H15:BM15),0),0),0),0)</f>
        <v>0</v>
      </c>
      <c r="BO15" s="1">
        <f>MAX(IFERROR(IF(BO14="x",HLOOKUP("y",BP14:$DW19,5,FALSE),0)+IF(BO14="x",HLOOKUP("y",BP14:$DW19,6,FALSE)*-1-IF(BO14="x",SUM($H15:BN15),0),0),0),0)</f>
        <v>0</v>
      </c>
      <c r="BP15" s="1">
        <f>MAX(IFERROR(IF(BP14="x",HLOOKUP("y",BQ14:$DW19,5,FALSE),0)+IF(BP14="x",HLOOKUP("y",BQ14:$DW19,6,FALSE)*-1-IF(BP14="x",SUM($H15:BO15),0),0),0),0)</f>
        <v>0</v>
      </c>
      <c r="BQ15" s="1">
        <f>MAX(IFERROR(IF(BQ14="x",HLOOKUP("y",BR14:$DW19,5,FALSE),0)+IF(BQ14="x",HLOOKUP("y",BR14:$DW19,6,FALSE)*-1-IF(BQ14="x",SUM($H15:BP15),0),0),0),0)</f>
        <v>0</v>
      </c>
      <c r="BR15" s="1">
        <f>MAX(IFERROR(IF(BR14="x",HLOOKUP("y",BS14:$DW19,5,FALSE),0)+IF(BR14="x",HLOOKUP("y",BS14:$DW19,6,FALSE)*-1-IF(BR14="x",SUM($H15:BQ15),0),0),0),0)</f>
        <v>0</v>
      </c>
      <c r="BS15" s="1">
        <f>MAX(IFERROR(IF(BS14="x",HLOOKUP("y",BT14:$DW19,5,FALSE),0)+IF(BS14="x",HLOOKUP("y",BT14:$DW19,6,FALSE)*-1-IF(BS14="x",SUM($H15:BR15),0),0),0),0)</f>
        <v>0</v>
      </c>
      <c r="BT15" s="1">
        <f>MAX(IFERROR(IF(BT14="x",HLOOKUP("y",BU14:$DW19,5,FALSE),0)+IF(BT14="x",HLOOKUP("y",BU14:$DW19,6,FALSE)*-1-IF(BT14="x",SUM($H15:BS15),0),0),0),0)</f>
        <v>0</v>
      </c>
      <c r="BU15" s="1">
        <f>MAX(IFERROR(IF(BU14="x",HLOOKUP("y",BV14:$DW19,5,FALSE),0)+IF(BU14="x",HLOOKUP("y",BV14:$DW19,6,FALSE)*-1-IF(BU14="x",SUM($H15:BT15),0),0),0),0)</f>
        <v>0</v>
      </c>
      <c r="BV15" s="1">
        <f>MAX(IFERROR(IF(BV14="x",HLOOKUP("y",BW14:$DW19,5,FALSE),0)+IF(BV14="x",HLOOKUP("y",BW14:$DW19,6,FALSE)*-1-IF(BV14="x",SUM($H15:BU15),0),0),0),0)</f>
        <v>0</v>
      </c>
      <c r="BW15" s="1">
        <f>MAX(IFERROR(IF(BW14="x",HLOOKUP("y",BX14:$DW19,5,FALSE),0)+IF(BW14="x",HLOOKUP("y",BX14:$DW19,6,FALSE)*-1-IF(BW14="x",SUM($H15:BV15),0),0),0),0)</f>
        <v>0</v>
      </c>
      <c r="BX15" s="1">
        <f>MAX(IFERROR(IF(BX14="x",HLOOKUP("y",BY14:$DW19,5,FALSE),0)+IF(BX14="x",HLOOKUP("y",BY14:$DW19,6,FALSE)*-1-IF(BX14="x",SUM($H15:BW15),0),0),0),0)</f>
        <v>0</v>
      </c>
      <c r="BY15" s="1">
        <f>MAX(IFERROR(IF(BY14="x",HLOOKUP("y",BZ14:$DW19,5,FALSE),0)+IF(BY14="x",HLOOKUP("y",BZ14:$DW19,6,FALSE)*-1-IF(BY14="x",SUM($H15:BX15),0),0),0),0)</f>
        <v>0</v>
      </c>
      <c r="BZ15" s="1">
        <f>MAX(IFERROR(IF(BZ14="x",HLOOKUP("y",CA14:$DW19,5,FALSE),0)+IF(BZ14="x",HLOOKUP("y",CA14:$DW19,6,FALSE)*-1-IF(BZ14="x",SUM($H15:BY15),0),0),0),0)</f>
        <v>0</v>
      </c>
      <c r="CA15" s="1">
        <f>MAX(IFERROR(IF(CA14="x",HLOOKUP("y",CB14:$DW19,5,FALSE),0)+IF(CA14="x",HLOOKUP("y",CB14:$DW19,6,FALSE)*-1-IF(CA14="x",SUM($H15:BZ15),0),0),0),0)</f>
        <v>0</v>
      </c>
      <c r="CB15" s="1">
        <f>MAX(IFERROR(IF(CB14="x",HLOOKUP("y",CC14:$DW19,5,FALSE),0)+IF(CB14="x",HLOOKUP("y",CC14:$DW19,6,FALSE)*-1-IF(CB14="x",SUM($H15:CA15),0),0),0),0)</f>
        <v>0</v>
      </c>
      <c r="CC15" s="1">
        <f>MAX(IFERROR(IF(CC14="x",HLOOKUP("y",CD14:$DW19,5,FALSE),0)+IF(CC14="x",HLOOKUP("y",CD14:$DW19,6,FALSE)*-1-IF(CC14="x",SUM($H15:CB15),0),0),0),0)</f>
        <v>0</v>
      </c>
      <c r="CD15" s="1">
        <f>MAX(IFERROR(IF(CD14="x",HLOOKUP("y",CE14:$DW19,5,FALSE),0)+IF(CD14="x",HLOOKUP("y",CE14:$DW19,6,FALSE)*-1-IF(CD14="x",SUM($H15:CC15),0),0),0),0)</f>
        <v>0</v>
      </c>
      <c r="CE15" s="1">
        <f>MAX(IFERROR(IF(CE14="x",HLOOKUP("y",CF14:$DW19,5,FALSE),0)+IF(CE14="x",HLOOKUP("y",CF14:$DW19,6,FALSE)*-1-IF(CE14="x",SUM($H15:CD15),0),0),0),0)</f>
        <v>0</v>
      </c>
      <c r="CF15" s="1">
        <f>MAX(IFERROR(IF(CF14="x",HLOOKUP("y",CG14:$DW19,5,FALSE),0)+IF(CF14="x",HLOOKUP("y",CG14:$DW19,6,FALSE)*-1-IF(CF14="x",SUM($H15:CE15),0),0),0),0)</f>
        <v>0</v>
      </c>
      <c r="CG15" s="1">
        <f>MAX(IFERROR(IF(CG14="x",HLOOKUP("y",CH14:$DW19,5,FALSE),0)+IF(CG14="x",HLOOKUP("y",CH14:$DW19,6,FALSE)*-1-IF(CG14="x",SUM($H15:CF15),0),0),0),0)</f>
        <v>0</v>
      </c>
      <c r="CH15" s="1">
        <f>MAX(IFERROR(IF(CH14="x",HLOOKUP("y",CI14:$DW19,5,FALSE),0)+IF(CH14="x",HLOOKUP("y",CI14:$DW19,6,FALSE)*-1-IF(CH14="x",SUM($H15:CG15),0),0),0),0)</f>
        <v>0</v>
      </c>
      <c r="CI15" s="1">
        <f>MAX(IFERROR(IF(CI14="x",HLOOKUP("y",CJ14:$DW19,5,FALSE),0)+IF(CI14="x",HLOOKUP("y",CJ14:$DW19,6,FALSE)*-1-IF(CI14="x",SUM($H15:CH15),0),0),0),0)</f>
        <v>0</v>
      </c>
      <c r="CJ15" s="1">
        <f>MAX(IFERROR(IF(CJ14="x",HLOOKUP("y",CK14:$DW19,5,FALSE),0)+IF(CJ14="x",HLOOKUP("y",CK14:$DW19,6,FALSE)*-1-IF(CJ14="x",SUM($H15:CI15),0),0),0),0)</f>
        <v>0</v>
      </c>
      <c r="CK15" s="1">
        <f>MAX(IFERROR(IF(CK14="x",HLOOKUP("y",CL14:$DW19,5,FALSE),0)+IF(CK14="x",HLOOKUP("y",CL14:$DW19,6,FALSE)*-1-IF(CK14="x",SUM($H15:CJ15),0),0),0),0)</f>
        <v>0</v>
      </c>
      <c r="CL15" s="1">
        <f>MAX(IFERROR(IF(CL14="x",HLOOKUP("y",CM14:$DW19,5,FALSE),0)+IF(CL14="x",HLOOKUP("y",CM14:$DW19,6,FALSE)*-1-IF(CL14="x",SUM($H15:CK15),0),0),0),0)</f>
        <v>0</v>
      </c>
      <c r="CM15" s="1">
        <f>MAX(IFERROR(IF(CM14="x",HLOOKUP("y",CN14:$DW19,5,FALSE),0)+IF(CM14="x",HLOOKUP("y",CN14:$DW19,6,FALSE)*-1-IF(CM14="x",SUM($H15:CL15),0),0),0),0)</f>
        <v>0</v>
      </c>
      <c r="CN15" s="1">
        <f>MAX(IFERROR(IF(CN14="x",HLOOKUP("y",CO14:$DW19,5,FALSE),0)+IF(CN14="x",HLOOKUP("y",CO14:$DW19,6,FALSE)*-1-IF(CN14="x",SUM($H15:CM15),0),0),0),0)</f>
        <v>0</v>
      </c>
      <c r="CO15" s="1">
        <f>MAX(IFERROR(IF(CO14="x",HLOOKUP("y",CP14:$DW19,5,FALSE),0)+IF(CO14="x",HLOOKUP("y",CP14:$DW19,6,FALSE)*-1-IF(CO14="x",SUM($H15:CN15),0),0),0),0)</f>
        <v>0</v>
      </c>
      <c r="CP15" s="1">
        <f>MAX(IFERROR(IF(CP14="x",HLOOKUP("y",CQ14:$DW19,5,FALSE),0)+IF(CP14="x",HLOOKUP("y",CQ14:$DW19,6,FALSE)*-1-IF(CP14="x",SUM($H15:CO15),0),0),0),0)</f>
        <v>0</v>
      </c>
      <c r="CQ15" s="1">
        <f>MAX(IFERROR(IF(CQ14="x",HLOOKUP("y",CR14:$DW19,5,FALSE),0)+IF(CQ14="x",HLOOKUP("y",CR14:$DW19,6,FALSE)*-1-IF(CQ14="x",SUM($H15:CP15),0),0),0),0)</f>
        <v>0</v>
      </c>
      <c r="CR15" s="1">
        <f>MAX(IFERROR(IF(CR14="x",HLOOKUP("y",CS14:$DW19,5,FALSE),0)+IF(CR14="x",HLOOKUP("y",CS14:$DW19,6,FALSE)*-1-IF(CR14="x",SUM($H15:CQ15),0),0),0),0)</f>
        <v>0</v>
      </c>
      <c r="CS15" s="1">
        <f>MAX(IFERROR(IF(CS14="x",HLOOKUP("y",CT14:$DW19,5,FALSE),0)+IF(CS14="x",HLOOKUP("y",CT14:$DW19,6,FALSE)*-1-IF(CS14="x",SUM($H15:CR15),0),0),0),0)</f>
        <v>0</v>
      </c>
      <c r="CT15" s="1">
        <f>MAX(IFERROR(IF(CT14="x",HLOOKUP("y",CU14:$DW19,5,FALSE),0)+IF(CT14="x",HLOOKUP("y",CU14:$DW19,6,FALSE)*-1-IF(CT14="x",SUM($H15:CS15),0),0),0),0)</f>
        <v>0</v>
      </c>
      <c r="CU15" s="1">
        <f>MAX(IFERROR(IF(CU14="x",HLOOKUP("y",CV14:$DW19,5,FALSE),0)+IF(CU14="x",HLOOKUP("y",CV14:$DW19,6,FALSE)*-1-IF(CU14="x",SUM($H15:CT15),0),0),0),0)</f>
        <v>0</v>
      </c>
      <c r="CV15" s="1">
        <f>MAX(IFERROR(IF(CV14="x",HLOOKUP("y",CW14:$DW19,5,FALSE),0)+IF(CV14="x",HLOOKUP("y",CW14:$DW19,6,FALSE)*-1-IF(CV14="x",SUM($H15:CU15),0),0),0),0)</f>
        <v>0</v>
      </c>
      <c r="CW15" s="1">
        <f>MAX(IFERROR(IF(CW14="x",HLOOKUP("y",CX14:$DW19,5,FALSE),0)+IF(CW14="x",HLOOKUP("y",CX14:$DW19,6,FALSE)*-1-IF(CW14="x",SUM($H15:CV15),0),0),0),0)</f>
        <v>0</v>
      </c>
      <c r="CX15" s="1">
        <f>MAX(IFERROR(IF(CX14="x",HLOOKUP("y",CY14:$DW19,5,FALSE),0)+IF(CX14="x",HLOOKUP("y",CY14:$DW19,6,FALSE)*-1-IF(CX14="x",SUM($H15:CW15),0),0),0),0)</f>
        <v>0</v>
      </c>
      <c r="CY15" s="1">
        <f>MAX(IFERROR(IF(CY14="x",HLOOKUP("y",CZ14:$DW19,5,FALSE),0)+IF(CY14="x",HLOOKUP("y",CZ14:$DW19,6,FALSE)*-1-IF(CY14="x",SUM($H15:CX15),0),0),0),0)</f>
        <v>0</v>
      </c>
      <c r="CZ15" s="1">
        <f>MAX(IFERROR(IF(CZ14="x",HLOOKUP("y",DA14:$DW19,5,FALSE),0)+IF(CZ14="x",HLOOKUP("y",DA14:$DW19,6,FALSE)*-1-IF(CZ14="x",SUM($H15:CY15),0),0),0),0)</f>
        <v>0</v>
      </c>
      <c r="DA15" s="1">
        <f>MAX(IFERROR(IF(DA14="x",HLOOKUP("y",DB14:$DW19,5,FALSE),0)+IF(DA14="x",HLOOKUP("y",DB14:$DW19,6,FALSE)*-1-IF(DA14="x",SUM($H15:CZ15),0),0),0),0)</f>
        <v>0</v>
      </c>
      <c r="DB15" s="1">
        <f>MAX(IFERROR(IF(DB14="x",HLOOKUP("y",DC14:$DW19,5,FALSE),0)+IF(DB14="x",HLOOKUP("y",DC14:$DW19,6,FALSE)*-1-IF(DB14="x",SUM($H15:DA15),0),0),0),0)</f>
        <v>0</v>
      </c>
      <c r="DC15" s="1">
        <f>MAX(IFERROR(IF(DC14="x",HLOOKUP("y",DD14:$DW19,5,FALSE),0)+IF(DC14="x",HLOOKUP("y",DD14:$DW19,6,FALSE)*-1-IF(DC14="x",SUM($H15:DB15),0),0),0),0)</f>
        <v>0</v>
      </c>
      <c r="DD15" s="1">
        <f>MAX(IFERROR(IF(DD14="x",HLOOKUP("y",DE14:$DW19,5,FALSE),0)+IF(DD14="x",HLOOKUP("y",DE14:$DW19,6,FALSE)*-1-IF(DD14="x",SUM($H15:DC15),0),0),0),0)</f>
        <v>0</v>
      </c>
      <c r="DE15" s="1">
        <f>MAX(IFERROR(IF(DE14="x",HLOOKUP("y",DF14:$DW19,5,FALSE),0)+IF(DE14="x",HLOOKUP("y",DF14:$DW19,6,FALSE)*-1-IF(DE14="x",SUM($H15:DD15),0),0),0),0)</f>
        <v>0</v>
      </c>
      <c r="DF15" s="1">
        <f>MAX(IFERROR(IF(DF14="x",HLOOKUP("y",DG14:$DW19,5,FALSE),0)+IF(DF14="x",HLOOKUP("y",DG14:$DW19,6,FALSE)*-1-IF(DF14="x",SUM($H15:DE15),0),0),0),0)</f>
        <v>0</v>
      </c>
      <c r="DG15" s="1">
        <f>MAX(IFERROR(IF(DG14="x",HLOOKUP("y",DH14:$DW19,5,FALSE),0)+IF(DG14="x",HLOOKUP("y",DH14:$DW19,6,FALSE)*-1-IF(DG14="x",SUM($H15:DF15),0),0),0),0)</f>
        <v>0</v>
      </c>
      <c r="DH15" s="1">
        <f>MAX(IFERROR(IF(DH14="x",HLOOKUP("y",DI14:$DW19,5,FALSE),0)+IF(DH14="x",HLOOKUP("y",DI14:$DW19,6,FALSE)*-1-IF(DH14="x",SUM($H15:DG15),0),0),0),0)</f>
        <v>0</v>
      </c>
      <c r="DI15" s="1">
        <f>MAX(IFERROR(IF(DI14="x",HLOOKUP("y",DJ14:$DW19,5,FALSE),0)+IF(DI14="x",HLOOKUP("y",DJ14:$DW19,6,FALSE)*-1-IF(DI14="x",SUM($H15:DH15),0),0),0),0)</f>
        <v>0</v>
      </c>
      <c r="DJ15" s="1">
        <f>MAX(IFERROR(IF(DJ14="x",HLOOKUP("y",DK14:$DW19,5,FALSE),0)+IF(DJ14="x",HLOOKUP("y",DK14:$DW19,6,FALSE)*-1-IF(DJ14="x",SUM($H15:DI15),0),0),0),0)</f>
        <v>0</v>
      </c>
      <c r="DK15" s="1">
        <f>MAX(IFERROR(IF(DK14="x",HLOOKUP("y",DL14:$DW19,5,FALSE),0)+IF(DK14="x",HLOOKUP("y",DL14:$DW19,6,FALSE)*-1-IF(DK14="x",SUM($H15:DJ15),0),0),0),0)</f>
        <v>0</v>
      </c>
      <c r="DL15" s="1">
        <f>MAX(IFERROR(IF(DL14="x",HLOOKUP("y",DM14:$DW19,5,FALSE),0)+IF(DL14="x",HLOOKUP("y",DM14:$DW19,6,FALSE)*-1-IF(DL14="x",SUM($H15:DK15),0),0),0),0)</f>
        <v>0</v>
      </c>
      <c r="DM15" s="1">
        <f>MAX(IFERROR(IF(DM14="x",HLOOKUP("y",DN14:$DW19,5,FALSE),0)+IF(DM14="x",HLOOKUP("y",DN14:$DW19,6,FALSE)*-1-IF(DM14="x",SUM($H15:DL15),0),0),0),0)</f>
        <v>0</v>
      </c>
      <c r="DN15" s="1">
        <f>MAX(IFERROR(IF(DN14="x",HLOOKUP("y",DO14:$DW19,5,FALSE),0)+IF(DN14="x",HLOOKUP("y",DO14:$DW19,6,FALSE)*-1-IF(DN14="x",SUM($H15:DM15),0),0),0),0)</f>
        <v>0</v>
      </c>
      <c r="DO15" s="1">
        <f>MAX(IFERROR(IF(DO14="x",HLOOKUP("y",DP14:$DW19,5,FALSE),0)+IF(DO14="x",HLOOKUP("y",DP14:$DW19,6,FALSE)*-1-IF(DO14="x",SUM($H15:DN15),0),0),0),0)</f>
        <v>0</v>
      </c>
      <c r="DP15" s="1">
        <f>MAX(IFERROR(IF(DP14="x",HLOOKUP("y",DQ14:$DW19,5,FALSE),0)+IF(DP14="x",HLOOKUP("y",DQ14:$DW19,6,FALSE)*-1-IF(DP14="x",SUM($H15:DO15),0),0),0),0)</f>
        <v>0</v>
      </c>
      <c r="DQ15" s="1">
        <f>MAX(IFERROR(IF(DQ14="x",HLOOKUP("y",DR14:$DW19,5,FALSE),0)+IF(DQ14="x",HLOOKUP("y",DR14:$DW19,6,FALSE)*-1-IF(DQ14="x",SUM($H15:DP15),0),0),0),0)</f>
        <v>0</v>
      </c>
      <c r="DR15" s="1">
        <f>MAX(IFERROR(IF(DR14="x",HLOOKUP("y",DS14:$DW19,5,FALSE),0)+IF(DR14="x",HLOOKUP("y",DS14:$DW19,6,FALSE)*-1-IF(DR14="x",SUM($H15:DQ15),0),0),0),0)</f>
        <v>0</v>
      </c>
      <c r="DS15" s="1">
        <f>MAX(IFERROR(IF(DS14="x",HLOOKUP("y",DT14:$DW19,5,FALSE),0)+IF(DS14="x",HLOOKUP("y",DT14:$DW19,6,FALSE)*-1-IF(DS14="x",SUM($H15:DR15),0),0),0),0)</f>
        <v>0</v>
      </c>
      <c r="DT15" s="1">
        <f>MAX(IFERROR(IF(DT14="x",HLOOKUP("y",DU14:$DW19,5,FALSE),0)+IF(DT14="x",HLOOKUP("y",DU14:$DW19,6,FALSE)*-1-IF(DT14="x",SUM($H15:DS15),0),0),0),0)</f>
        <v>0</v>
      </c>
      <c r="DU15" s="1">
        <f>MAX(IFERROR(IF(DU14="x",HLOOKUP("y",DV14:$DW19,5,FALSE),0)+IF(DU14="x",HLOOKUP("y",DV14:$DW19,6,FALSE)*-1-IF(DU14="x",SUM($H15:DT15),0),0),0),0)</f>
        <v>0</v>
      </c>
      <c r="DV15" s="1">
        <f>MAX(IFERROR(IF(DV14="x",HLOOKUP("y",DW14:$DW19,5,FALSE),0)+IF(DV14="x",HLOOKUP("y",DW14:$DW19,6,FALSE)*-1-IF(DV14="x",SUM($H15:DU15),0),0),0),0)</f>
        <v>0</v>
      </c>
      <c r="DW15" s="1">
        <f>MAX(IFERROR(IF(DW14="x",HLOOKUP("y",$DW14:DX19,5,FALSE),0)+IF(DW14="x",HLOOKUP("y",$DW14:DX19,6,FALSE)*-1-IF(DW14="x",SUM($H15:DV15),0),0),0),0)</f>
        <v>0</v>
      </c>
    </row>
    <row r="16" spans="1:127" outlineLevel="1" x14ac:dyDescent="0.3">
      <c r="A16" s="96" t="str">
        <f t="shared" si="75"/>
        <v>106028776Production</v>
      </c>
      <c r="B16" s="20">
        <f t="shared" si="67"/>
        <v>106028776</v>
      </c>
      <c r="C16" s="20" t="str">
        <f t="shared" si="68"/>
        <v>L 2 1/2X2 1/2X1/4 GGMULTI 50'00"</v>
      </c>
      <c r="D16" s="20">
        <f t="shared" si="69"/>
        <v>1333</v>
      </c>
      <c r="E16" s="20" t="str">
        <f t="shared" si="70"/>
        <v>2-1/2" ANG</v>
      </c>
      <c r="F16" s="4" t="s">
        <v>172</v>
      </c>
      <c r="H16" s="1">
        <v>0</v>
      </c>
      <c r="I16" s="1">
        <v>0</v>
      </c>
      <c r="J16" s="1">
        <v>0</v>
      </c>
      <c r="K16" s="112">
        <v>0</v>
      </c>
      <c r="L16" s="112">
        <v>0</v>
      </c>
      <c r="M16" s="112">
        <v>0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</row>
    <row r="17" spans="1:127" outlineLevel="1" x14ac:dyDescent="0.3">
      <c r="A17" s="96" t="str">
        <f t="shared" si="75"/>
        <v>106028776Production from another Mill / SKU</v>
      </c>
      <c r="B17" s="20">
        <f t="shared" si="67"/>
        <v>106028776</v>
      </c>
      <c r="C17" s="20" t="str">
        <f t="shared" si="68"/>
        <v>L 2 1/2X2 1/2X1/4 GGMULTI 50'00"</v>
      </c>
      <c r="D17" s="20">
        <f t="shared" si="69"/>
        <v>1333</v>
      </c>
      <c r="E17" s="20" t="str">
        <f t="shared" si="70"/>
        <v>2-1/2" ANG</v>
      </c>
      <c r="F17" s="35" t="s">
        <v>208</v>
      </c>
      <c r="H17" s="68">
        <f>VLOOKUP(B17,FORECAST!$D:$X,21,FALSE)</f>
        <v>0</v>
      </c>
      <c r="I17" s="1"/>
      <c r="J17" s="1"/>
      <c r="K17" s="112"/>
      <c r="L17" s="112"/>
      <c r="M17" s="112"/>
      <c r="N17" s="112"/>
      <c r="O17" s="112"/>
      <c r="P17" s="112"/>
      <c r="Q17" s="112"/>
      <c r="R17" s="112"/>
      <c r="S17" s="9"/>
      <c r="T17" s="9"/>
      <c r="U17" s="9"/>
      <c r="V17" s="9"/>
      <c r="W17" s="9"/>
      <c r="X17" s="9"/>
      <c r="Y17" s="9"/>
      <c r="Z17" s="9"/>
      <c r="AA17" s="9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s="1" customFormat="1" outlineLevel="1" x14ac:dyDescent="0.3">
      <c r="A18" s="96" t="str">
        <f t="shared" si="75"/>
        <v>106028776Safety Stock</v>
      </c>
      <c r="B18" s="20">
        <f t="shared" si="67"/>
        <v>106028776</v>
      </c>
      <c r="C18" s="20" t="str">
        <f t="shared" si="68"/>
        <v>L 2 1/2X2 1/2X1/4 GGMULTI 50'00"</v>
      </c>
      <c r="D18" s="20">
        <f t="shared" si="69"/>
        <v>1333</v>
      </c>
      <c r="E18" s="20" t="str">
        <f t="shared" si="70"/>
        <v>2-1/2" ANG</v>
      </c>
      <c r="F18" s="5" t="s">
        <v>74</v>
      </c>
      <c r="G18" s="37">
        <f>VLOOKUP(B18,FORECAST!$D:$W,4,FALSE)</f>
        <v>150</v>
      </c>
      <c r="H18" s="38">
        <f>G18</f>
        <v>150</v>
      </c>
      <c r="I18" s="38">
        <f t="shared" ref="I18" si="76">H18</f>
        <v>150</v>
      </c>
      <c r="J18" s="38">
        <f t="shared" ref="J18" si="77">I18</f>
        <v>150</v>
      </c>
      <c r="K18" s="114">
        <f t="shared" ref="K18:L18" si="78">J18</f>
        <v>150</v>
      </c>
      <c r="L18" s="114">
        <f t="shared" si="78"/>
        <v>150</v>
      </c>
      <c r="M18" s="114">
        <f t="shared" ref="M18" si="79">L18</f>
        <v>150</v>
      </c>
      <c r="N18" s="114">
        <f t="shared" ref="N18" si="80">M18</f>
        <v>150</v>
      </c>
      <c r="O18" s="114">
        <f t="shared" ref="O18" si="81">N18</f>
        <v>150</v>
      </c>
      <c r="P18" s="114">
        <f t="shared" ref="P18" si="82">O18</f>
        <v>150</v>
      </c>
      <c r="Q18" s="114">
        <f t="shared" ref="Q18" si="83">P18</f>
        <v>150</v>
      </c>
      <c r="R18" s="114">
        <f t="shared" ref="R18" si="84">Q18</f>
        <v>150</v>
      </c>
      <c r="S18" s="118">
        <f t="shared" ref="S18" si="85">R18</f>
        <v>150</v>
      </c>
      <c r="T18" s="118">
        <f t="shared" ref="T18" si="86">S18</f>
        <v>150</v>
      </c>
      <c r="U18" s="118">
        <f t="shared" ref="U18" si="87">T18</f>
        <v>150</v>
      </c>
      <c r="V18" s="118">
        <f t="shared" ref="V18" si="88">U18</f>
        <v>150</v>
      </c>
      <c r="W18" s="118">
        <f t="shared" ref="W18" si="89">V18</f>
        <v>150</v>
      </c>
      <c r="X18" s="118">
        <f t="shared" ref="X18" si="90">W18</f>
        <v>150</v>
      </c>
      <c r="Y18" s="118">
        <f t="shared" ref="Y18" si="91">X18</f>
        <v>150</v>
      </c>
      <c r="Z18" s="118">
        <f t="shared" ref="Z18" si="92">Y18</f>
        <v>150</v>
      </c>
      <c r="AA18" s="118">
        <f t="shared" ref="AA18" si="93">Z18</f>
        <v>150</v>
      </c>
      <c r="AB18" s="38">
        <f t="shared" ref="AB18" si="94">AA18</f>
        <v>150</v>
      </c>
      <c r="AC18" s="38">
        <f t="shared" ref="AC18" si="95">AB18</f>
        <v>150</v>
      </c>
      <c r="AD18" s="38">
        <f t="shared" ref="AD18" si="96">AC18</f>
        <v>150</v>
      </c>
      <c r="AE18" s="38">
        <f t="shared" ref="AE18" si="97">AD18</f>
        <v>150</v>
      </c>
      <c r="AF18" s="38">
        <f t="shared" ref="AF18" si="98">AE18</f>
        <v>150</v>
      </c>
      <c r="AG18" s="38">
        <f t="shared" ref="AG18" si="99">AF18</f>
        <v>150</v>
      </c>
      <c r="AH18" s="38">
        <f t="shared" ref="AH18" si="100">AG18</f>
        <v>150</v>
      </c>
      <c r="AI18" s="38">
        <f t="shared" ref="AI18" si="101">AH18</f>
        <v>150</v>
      </c>
      <c r="AJ18" s="38">
        <f t="shared" ref="AJ18" si="102">AI18</f>
        <v>150</v>
      </c>
      <c r="AK18" s="38">
        <f t="shared" ref="AK18" si="103">AJ18</f>
        <v>150</v>
      </c>
      <c r="AL18" s="38">
        <f t="shared" ref="AL18" si="104">AK18</f>
        <v>150</v>
      </c>
      <c r="AM18" s="38">
        <f t="shared" ref="AM18" si="105">AL18</f>
        <v>150</v>
      </c>
      <c r="AN18" s="38">
        <f t="shared" ref="AN18" si="106">AM18</f>
        <v>150</v>
      </c>
      <c r="AO18" s="38">
        <f t="shared" ref="AO18" si="107">AN18</f>
        <v>150</v>
      </c>
      <c r="AP18" s="38">
        <f t="shared" ref="AP18" si="108">AO18</f>
        <v>150</v>
      </c>
      <c r="AQ18" s="38">
        <f t="shared" ref="AQ18" si="109">AP18</f>
        <v>150</v>
      </c>
      <c r="AR18" s="38">
        <f t="shared" ref="AR18" si="110">AQ18</f>
        <v>150</v>
      </c>
      <c r="AS18" s="38">
        <f t="shared" ref="AS18" si="111">AR18</f>
        <v>150</v>
      </c>
      <c r="AT18" s="38">
        <f t="shared" ref="AT18" si="112">AS18</f>
        <v>150</v>
      </c>
      <c r="AU18" s="38">
        <f t="shared" ref="AU18" si="113">AT18</f>
        <v>150</v>
      </c>
      <c r="AV18" s="38">
        <f t="shared" ref="AV18" si="114">AU18</f>
        <v>150</v>
      </c>
      <c r="AW18" s="38">
        <f t="shared" ref="AW18" si="115">AV18</f>
        <v>150</v>
      </c>
      <c r="AX18" s="38">
        <f t="shared" ref="AX18" si="116">AW18</f>
        <v>150</v>
      </c>
      <c r="AY18" s="38">
        <f t="shared" ref="AY18" si="117">AX18</f>
        <v>150</v>
      </c>
      <c r="AZ18" s="38">
        <f t="shared" ref="AZ18" si="118">AY18</f>
        <v>150</v>
      </c>
      <c r="BA18" s="38">
        <f t="shared" ref="BA18" si="119">AZ18</f>
        <v>150</v>
      </c>
      <c r="BB18" s="38">
        <f t="shared" ref="BB18" si="120">BA18</f>
        <v>150</v>
      </c>
      <c r="BC18" s="38">
        <f t="shared" ref="BC18" si="121">BB18</f>
        <v>150</v>
      </c>
      <c r="BD18" s="38">
        <f t="shared" ref="BD18" si="122">BC18</f>
        <v>150</v>
      </c>
      <c r="BE18" s="38">
        <f t="shared" ref="BE18" si="123">BD18</f>
        <v>150</v>
      </c>
      <c r="BF18" s="38">
        <f t="shared" ref="BF18" si="124">BE18</f>
        <v>150</v>
      </c>
      <c r="BG18" s="38">
        <f t="shared" ref="BG18" si="125">BF18</f>
        <v>150</v>
      </c>
      <c r="BH18" s="38">
        <f t="shared" ref="BH18" si="126">BG18</f>
        <v>150</v>
      </c>
      <c r="BI18" s="38">
        <f t="shared" ref="BI18" si="127">BH18</f>
        <v>150</v>
      </c>
      <c r="BJ18" s="38">
        <f t="shared" ref="BJ18" si="128">BI18</f>
        <v>150</v>
      </c>
      <c r="BK18" s="38">
        <f t="shared" ref="BK18" si="129">BJ18</f>
        <v>150</v>
      </c>
      <c r="BL18" s="38">
        <f t="shared" ref="BL18" si="130">BK18</f>
        <v>150</v>
      </c>
      <c r="BM18" s="38">
        <f t="shared" ref="BM18" si="131">BL18</f>
        <v>150</v>
      </c>
      <c r="BN18" s="38">
        <f t="shared" ref="BN18" si="132">BM18</f>
        <v>150</v>
      </c>
      <c r="BO18" s="38">
        <f t="shared" ref="BO18" si="133">BN18</f>
        <v>150</v>
      </c>
      <c r="BP18" s="38">
        <f t="shared" ref="BP18" si="134">BO18</f>
        <v>150</v>
      </c>
      <c r="BQ18" s="38">
        <f t="shared" ref="BQ18" si="135">BP18</f>
        <v>150</v>
      </c>
      <c r="BR18" s="38">
        <f t="shared" ref="BR18" si="136">BQ18</f>
        <v>150</v>
      </c>
      <c r="BS18" s="38">
        <f t="shared" ref="BS18" si="137">BR18</f>
        <v>150</v>
      </c>
      <c r="BT18" s="38">
        <f t="shared" ref="BT18" si="138">BS18</f>
        <v>150</v>
      </c>
      <c r="BU18" s="38">
        <f t="shared" ref="BU18" si="139">BT18</f>
        <v>150</v>
      </c>
      <c r="BV18" s="38">
        <f t="shared" ref="BV18" si="140">BU18</f>
        <v>150</v>
      </c>
      <c r="BW18" s="38">
        <f t="shared" ref="BW18" si="141">BV18</f>
        <v>150</v>
      </c>
      <c r="BX18" s="38">
        <f t="shared" ref="BX18" si="142">BW18</f>
        <v>150</v>
      </c>
      <c r="BY18" s="38">
        <f t="shared" ref="BY18" si="143">BX18</f>
        <v>150</v>
      </c>
      <c r="BZ18" s="38">
        <f t="shared" ref="BZ18" si="144">BY18</f>
        <v>150</v>
      </c>
      <c r="CA18" s="38">
        <f t="shared" ref="CA18" si="145">BZ18</f>
        <v>150</v>
      </c>
      <c r="CB18" s="38">
        <f t="shared" ref="CB18" si="146">CA18</f>
        <v>150</v>
      </c>
      <c r="CC18" s="38">
        <f t="shared" ref="CC18" si="147">CB18</f>
        <v>150</v>
      </c>
      <c r="CD18" s="38">
        <f t="shared" ref="CD18" si="148">CC18</f>
        <v>150</v>
      </c>
      <c r="CE18" s="38">
        <f t="shared" ref="CE18" si="149">CD18</f>
        <v>150</v>
      </c>
      <c r="CF18" s="38">
        <f t="shared" ref="CF18" si="150">CE18</f>
        <v>150</v>
      </c>
      <c r="CG18" s="38">
        <f t="shared" ref="CG18" si="151">CF18</f>
        <v>150</v>
      </c>
      <c r="CH18" s="38">
        <f t="shared" ref="CH18" si="152">CG18</f>
        <v>150</v>
      </c>
      <c r="CI18" s="38">
        <f t="shared" ref="CI18" si="153">CH18</f>
        <v>150</v>
      </c>
      <c r="CJ18" s="38">
        <f t="shared" ref="CJ18" si="154">CI18</f>
        <v>150</v>
      </c>
      <c r="CK18" s="38">
        <f t="shared" ref="CK18" si="155">CJ18</f>
        <v>150</v>
      </c>
      <c r="CL18" s="38">
        <f t="shared" ref="CL18" si="156">CK18</f>
        <v>150</v>
      </c>
      <c r="CM18" s="38">
        <f t="shared" ref="CM18" si="157">CL18</f>
        <v>150</v>
      </c>
      <c r="CN18" s="38">
        <f t="shared" ref="CN18" si="158">CM18</f>
        <v>150</v>
      </c>
      <c r="CO18" s="38">
        <f t="shared" ref="CO18" si="159">CN18</f>
        <v>150</v>
      </c>
      <c r="CP18" s="38">
        <f t="shared" ref="CP18" si="160">CO18</f>
        <v>150</v>
      </c>
      <c r="CQ18" s="38">
        <f t="shared" ref="CQ18" si="161">CP18</f>
        <v>150</v>
      </c>
      <c r="CR18" s="38">
        <f t="shared" ref="CR18" si="162">CQ18</f>
        <v>150</v>
      </c>
      <c r="CS18" s="38">
        <f t="shared" ref="CS18" si="163">CR18</f>
        <v>150</v>
      </c>
      <c r="CT18" s="38">
        <f t="shared" ref="CT18" si="164">CS18</f>
        <v>150</v>
      </c>
      <c r="CU18" s="38">
        <f t="shared" ref="CU18" si="165">CT18</f>
        <v>150</v>
      </c>
      <c r="CV18" s="38">
        <f t="shared" ref="CV18" si="166">CU18</f>
        <v>150</v>
      </c>
      <c r="CW18" s="38">
        <f t="shared" ref="CW18" si="167">CV18</f>
        <v>150</v>
      </c>
      <c r="CX18" s="38">
        <f t="shared" ref="CX18" si="168">CW18</f>
        <v>150</v>
      </c>
      <c r="CY18" s="38">
        <f t="shared" ref="CY18" si="169">CX18</f>
        <v>150</v>
      </c>
      <c r="CZ18" s="38">
        <f t="shared" ref="CZ18" si="170">CY18</f>
        <v>150</v>
      </c>
      <c r="DA18" s="38">
        <f t="shared" ref="DA18" si="171">CZ18</f>
        <v>150</v>
      </c>
      <c r="DB18" s="38">
        <f t="shared" ref="DB18" si="172">DA18</f>
        <v>150</v>
      </c>
      <c r="DC18" s="38">
        <f t="shared" ref="DC18" si="173">DB18</f>
        <v>150</v>
      </c>
      <c r="DD18" s="38">
        <f t="shared" ref="DD18" si="174">DC18</f>
        <v>150</v>
      </c>
      <c r="DE18" s="38">
        <f t="shared" ref="DE18" si="175">DD18</f>
        <v>150</v>
      </c>
      <c r="DF18" s="38">
        <f t="shared" ref="DF18" si="176">DE18</f>
        <v>150</v>
      </c>
      <c r="DG18" s="38">
        <f t="shared" ref="DG18" si="177">DF18</f>
        <v>150</v>
      </c>
      <c r="DH18" s="38">
        <f t="shared" ref="DH18" si="178">DG18</f>
        <v>150</v>
      </c>
      <c r="DI18" s="38">
        <f t="shared" ref="DI18" si="179">DH18</f>
        <v>150</v>
      </c>
      <c r="DJ18" s="38">
        <f t="shared" ref="DJ18" si="180">DI18</f>
        <v>150</v>
      </c>
      <c r="DK18" s="38">
        <f t="shared" ref="DK18" si="181">DJ18</f>
        <v>150</v>
      </c>
      <c r="DL18" s="38">
        <f t="shared" ref="DL18" si="182">DK18</f>
        <v>150</v>
      </c>
      <c r="DM18" s="38">
        <f t="shared" ref="DM18" si="183">DL18</f>
        <v>150</v>
      </c>
      <c r="DN18" s="38">
        <f t="shared" ref="DN18" si="184">DM18</f>
        <v>150</v>
      </c>
      <c r="DO18" s="38">
        <f t="shared" ref="DO18" si="185">DN18</f>
        <v>150</v>
      </c>
      <c r="DP18" s="38">
        <f t="shared" ref="DP18" si="186">DO18</f>
        <v>150</v>
      </c>
      <c r="DQ18" s="38">
        <f t="shared" ref="DQ18" si="187">DP18</f>
        <v>150</v>
      </c>
      <c r="DR18" s="38">
        <f t="shared" ref="DR18" si="188">DQ18</f>
        <v>150</v>
      </c>
      <c r="DS18" s="38">
        <f t="shared" ref="DS18" si="189">DR18</f>
        <v>150</v>
      </c>
      <c r="DT18" s="38">
        <f t="shared" ref="DT18" si="190">DS18</f>
        <v>150</v>
      </c>
      <c r="DU18" s="38">
        <f t="shared" ref="DU18" si="191">DT18</f>
        <v>150</v>
      </c>
      <c r="DV18" s="38">
        <f t="shared" ref="DV18" si="192">DU18</f>
        <v>150</v>
      </c>
      <c r="DW18" s="38">
        <f t="shared" ref="DW18" si="193">DV18</f>
        <v>150</v>
      </c>
    </row>
    <row r="19" spans="1:127" outlineLevel="1" x14ac:dyDescent="0.3">
      <c r="A19" s="96" t="str">
        <f t="shared" si="75"/>
        <v>106028776Projected Stock</v>
      </c>
      <c r="B19" s="20">
        <f t="shared" si="67"/>
        <v>106028776</v>
      </c>
      <c r="C19" s="20" t="str">
        <f t="shared" si="68"/>
        <v>L 2 1/2X2 1/2X1/4 GGMULTI 50'00"</v>
      </c>
      <c r="D19" s="20">
        <f t="shared" si="69"/>
        <v>1333</v>
      </c>
      <c r="E19" s="20" t="str">
        <f t="shared" si="70"/>
        <v>2-1/2" ANG</v>
      </c>
      <c r="F19" s="4" t="s">
        <v>209</v>
      </c>
      <c r="G19" s="1">
        <f>SUM(G11:G12)</f>
        <v>383</v>
      </c>
      <c r="H19" s="1">
        <f>G19-H13+H16+H17</f>
        <v>380.43333333333334</v>
      </c>
      <c r="I19" s="1">
        <f t="shared" ref="I19" si="194">H19-I13+I16+I17</f>
        <v>360.6</v>
      </c>
      <c r="J19" s="1">
        <f t="shared" ref="J19" si="195">I19-J13+J16+J17</f>
        <v>340.76666666666671</v>
      </c>
      <c r="K19" s="112">
        <f t="shared" ref="K19" si="196">J19-K13+K16+K17</f>
        <v>320.93333333333339</v>
      </c>
      <c r="L19" s="112">
        <f t="shared" ref="L19" si="197">K19-L13+L16+L17</f>
        <v>301.10000000000008</v>
      </c>
      <c r="M19" s="112">
        <f t="shared" ref="M19" si="198">L19-M13+M16+M17</f>
        <v>289.2000000000001</v>
      </c>
      <c r="N19" s="112">
        <f t="shared" ref="N19" si="199">M19-N13+N16+N17</f>
        <v>277.30000000000013</v>
      </c>
      <c r="O19" s="112">
        <f t="shared" ref="O19" si="200">N19-O13+O16+O17</f>
        <v>265.40000000000015</v>
      </c>
      <c r="P19" s="112">
        <f t="shared" ref="P19" si="201">O19-P13+P16+P17</f>
        <v>253.50000000000014</v>
      </c>
      <c r="Q19" s="112">
        <f t="shared" ref="Q19" si="202">P19-Q13+Q16+Q17</f>
        <v>241.60000000000014</v>
      </c>
      <c r="R19" s="112">
        <f t="shared" ref="R19" si="203">Q19-R13+R16+R17</f>
        <v>238.10000000000014</v>
      </c>
      <c r="S19" s="9">
        <f t="shared" ref="S19" si="204">R19-S13+S16+S17</f>
        <v>234.60000000000014</v>
      </c>
      <c r="T19" s="9">
        <f t="shared" ref="T19" si="205">S19-T13+T16+T17</f>
        <v>231.10000000000014</v>
      </c>
      <c r="U19" s="9">
        <f t="shared" ref="U19" si="206">T19-U13+U16+U17</f>
        <v>227.60000000000014</v>
      </c>
      <c r="V19" s="9">
        <f t="shared" ref="V19" si="207">U19-V13+V16+V17</f>
        <v>218.26666666666679</v>
      </c>
      <c r="W19" s="9">
        <f t="shared" ref="W19" si="208">V19-W13+W16+W17</f>
        <v>208.93333333333345</v>
      </c>
      <c r="X19" s="9">
        <f t="shared" ref="X19" si="209">W19-X13+X16+X17</f>
        <v>199.60000000000011</v>
      </c>
      <c r="Y19" s="9">
        <f t="shared" ref="Y19" si="210">X19-Y13+Y16+Y17</f>
        <v>190.26666666666677</v>
      </c>
      <c r="Z19" s="9">
        <f t="shared" ref="Z19" si="211">Y19-Z13+Z16+Z17</f>
        <v>180.93333333333342</v>
      </c>
      <c r="AA19" s="9">
        <f t="shared" ref="AA19" si="212">Z19-AA13+AA16+AA17</f>
        <v>180.23333333333343</v>
      </c>
      <c r="AB19" s="1">
        <f t="shared" ref="AB19" si="213">AA19-AB13+AB16+AB17</f>
        <v>179.53333333333345</v>
      </c>
      <c r="AC19" s="1">
        <f t="shared" ref="AC19" si="214">AB19-AC13+AC16+AC17</f>
        <v>178.83333333333346</v>
      </c>
      <c r="AD19" s="1">
        <f t="shared" ref="AD19" si="215">AC19-AD13+AD16+AD17</f>
        <v>178.13333333333347</v>
      </c>
      <c r="AE19" s="1">
        <f t="shared" ref="AE19" si="216">AD19-AE13+AE16+AE17</f>
        <v>177.43333333333348</v>
      </c>
      <c r="AF19" s="1">
        <f t="shared" ref="AF19" si="217">AE19-AF13+AF16+AF17</f>
        <v>176.73333333333349</v>
      </c>
      <c r="AG19" s="1">
        <f t="shared" ref="AG19" si="218">AF19-AG13+AG16+AG17</f>
        <v>176.0333333333335</v>
      </c>
      <c r="AH19" s="1">
        <f t="shared" ref="AH19" si="219">AG19-AH13+AH16+AH17</f>
        <v>175.33333333333351</v>
      </c>
      <c r="AI19" s="1">
        <f t="shared" ref="AI19" si="220">AH19-AI13+AI16+AI17</f>
        <v>174.63333333333352</v>
      </c>
      <c r="AJ19" s="1">
        <f t="shared" ref="AJ19" si="221">AI19-AJ13+AJ16+AJ17</f>
        <v>173.93333333333354</v>
      </c>
      <c r="AK19" s="1">
        <f t="shared" ref="AK19" si="222">AJ19-AK13+AK16+AK17</f>
        <v>173.23333333333355</v>
      </c>
      <c r="AL19" s="1">
        <f t="shared" ref="AL19" si="223">AK19-AL13+AL16+AL17</f>
        <v>172.53333333333356</v>
      </c>
      <c r="AM19" s="1">
        <f t="shared" ref="AM19" si="224">AL19-AM13+AM16+AM17</f>
        <v>171.83333333333357</v>
      </c>
      <c r="AN19" s="1">
        <f t="shared" ref="AN19" si="225">AM19-AN13+AN16+AN17</f>
        <v>171.13333333333358</v>
      </c>
      <c r="AO19" s="1">
        <f t="shared" ref="AO19" si="226">AN19-AO13+AO16+AO17</f>
        <v>170.43333333333359</v>
      </c>
      <c r="AP19" s="1">
        <f t="shared" ref="AP19" si="227">AO19-AP13+AP16+AP17</f>
        <v>169.7333333333336</v>
      </c>
      <c r="AQ19" s="1">
        <f t="shared" ref="AQ19" si="228">AP19-AQ13+AQ16+AQ17</f>
        <v>169.03333333333362</v>
      </c>
      <c r="AR19" s="1">
        <f t="shared" ref="AR19" si="229">AQ19-AR13+AR16+AR17</f>
        <v>168.33333333333363</v>
      </c>
      <c r="AS19" s="1">
        <f t="shared" ref="AS19" si="230">AR19-AS13+AS16+AS17</f>
        <v>167.63333333333364</v>
      </c>
      <c r="AT19" s="1">
        <f t="shared" ref="AT19" si="231">AS19-AT13+AT16+AT17</f>
        <v>166.93333333333365</v>
      </c>
      <c r="AU19" s="1">
        <f t="shared" ref="AU19" si="232">AT19-AU13+AU16+AU17</f>
        <v>166.23333333333366</v>
      </c>
      <c r="AV19" s="1">
        <f t="shared" ref="AV19" si="233">AU19-AV13+AV16+AV17</f>
        <v>165.53333333333367</v>
      </c>
      <c r="AW19" s="1">
        <f t="shared" ref="AW19" si="234">AV19-AW13+AW16+AW17</f>
        <v>164.83333333333368</v>
      </c>
      <c r="AX19" s="1">
        <f t="shared" ref="AX19" si="235">AW19-AX13+AX16+AX17</f>
        <v>164.1333333333337</v>
      </c>
      <c r="AY19" s="1">
        <f t="shared" ref="AY19" si="236">AX19-AY13+AY16+AY17</f>
        <v>163.43333333333371</v>
      </c>
      <c r="AZ19" s="1">
        <f t="shared" ref="AZ19" si="237">AY19-AZ13+AZ16+AZ17</f>
        <v>162.73333333333372</v>
      </c>
      <c r="BA19" s="1">
        <f t="shared" ref="BA19" si="238">AZ19-BA13+BA16+BA17</f>
        <v>162.03333333333373</v>
      </c>
      <c r="BB19" s="1">
        <f t="shared" ref="BB19" si="239">BA19-BB13+BB16+BB17</f>
        <v>161.33333333333374</v>
      </c>
      <c r="BC19" s="1">
        <f t="shared" ref="BC19" si="240">BB19-BC13+BC16+BC17</f>
        <v>160.63333333333375</v>
      </c>
      <c r="BD19" s="1">
        <f t="shared" ref="BD19" si="241">BC19-BD13+BD16+BD17</f>
        <v>159.93333333333376</v>
      </c>
      <c r="BE19" s="1">
        <f t="shared" ref="BE19" si="242">BD19-BE13+BE16+BE17</f>
        <v>159.23333333333377</v>
      </c>
      <c r="BF19" s="1">
        <f t="shared" ref="BF19" si="243">BE19-BF13+BF16+BF17</f>
        <v>158.53333333333379</v>
      </c>
      <c r="BG19" s="1">
        <f t="shared" ref="BG19" si="244">BF19-BG13+BG16+BG17</f>
        <v>157.8333333333338</v>
      </c>
      <c r="BH19" s="1">
        <f t="shared" ref="BH19" si="245">BG19-BH13+BH16+BH17</f>
        <v>157.13333333333381</v>
      </c>
      <c r="BI19" s="1">
        <f t="shared" ref="BI19" si="246">BH19-BI13+BI16+BI17</f>
        <v>156.43333333333382</v>
      </c>
      <c r="BJ19" s="1">
        <f t="shared" ref="BJ19" si="247">BI19-BJ13+BJ16+BJ17</f>
        <v>155.73333333333383</v>
      </c>
      <c r="BK19" s="1">
        <f t="shared" ref="BK19" si="248">BJ19-BK13+BK16+BK17</f>
        <v>155.03333333333384</v>
      </c>
      <c r="BL19" s="1">
        <f t="shared" ref="BL19" si="249">BK19-BL13+BL16+BL17</f>
        <v>154.33333333333385</v>
      </c>
      <c r="BM19" s="1">
        <f t="shared" ref="BM19" si="250">BL19-BM13+BM16+BM17</f>
        <v>153.63333333333387</v>
      </c>
      <c r="BN19" s="1">
        <f t="shared" ref="BN19" si="251">BM19-BN13+BN16+BN17</f>
        <v>152.93333333333388</v>
      </c>
      <c r="BO19" s="1">
        <f t="shared" ref="BO19" si="252">BN19-BO13+BO16+BO17</f>
        <v>152.23333333333389</v>
      </c>
      <c r="BP19" s="1">
        <f t="shared" ref="BP19" si="253">BO19-BP13+BP16+BP17</f>
        <v>151.5333333333339</v>
      </c>
      <c r="BQ19" s="1">
        <f t="shared" ref="BQ19" si="254">BP19-BQ13+BQ16+BQ17</f>
        <v>150.83333333333391</v>
      </c>
      <c r="BR19" s="1">
        <f t="shared" ref="BR19" si="255">BQ19-BR13+BR16+BR17</f>
        <v>150.13333333333392</v>
      </c>
      <c r="BS19" s="1">
        <f t="shared" ref="BS19" si="256">BR19-BS13+BS16+BS17</f>
        <v>149.43333333333393</v>
      </c>
      <c r="BT19" s="1">
        <f t="shared" ref="BT19" si="257">BS19-BT13+BT16+BT17</f>
        <v>148.73333333333395</v>
      </c>
      <c r="BU19" s="1">
        <f t="shared" ref="BU19" si="258">BT19-BU13+BU16+BU17</f>
        <v>148.03333333333396</v>
      </c>
      <c r="BV19" s="1">
        <f t="shared" ref="BV19" si="259">BU19-BV13+BV16+BV17</f>
        <v>147.33333333333397</v>
      </c>
      <c r="BW19" s="1">
        <f t="shared" ref="BW19" si="260">BV19-BW13+BW16+BW17</f>
        <v>146.63333333333398</v>
      </c>
      <c r="BX19" s="1">
        <f t="shared" ref="BX19" si="261">BW19-BX13+BX16+BX17</f>
        <v>145.93333333333399</v>
      </c>
      <c r="BY19" s="1">
        <f t="shared" ref="BY19" si="262">BX19-BY13+BY16+BY17</f>
        <v>145.233333333334</v>
      </c>
      <c r="BZ19" s="1">
        <f t="shared" ref="BZ19" si="263">BY19-BZ13+BZ16+BZ17</f>
        <v>144.53333333333401</v>
      </c>
      <c r="CA19" s="1">
        <f t="shared" ref="CA19" si="264">BZ19-CA13+CA16+CA17</f>
        <v>143.83333333333402</v>
      </c>
      <c r="CB19" s="1">
        <f t="shared" ref="CB19" si="265">CA19-CB13+CB16+CB17</f>
        <v>143.13333333333404</v>
      </c>
      <c r="CC19" s="1">
        <f t="shared" ref="CC19" si="266">CB19-CC13+CC16+CC17</f>
        <v>142.43333333333405</v>
      </c>
      <c r="CD19" s="1">
        <f t="shared" ref="CD19" si="267">CC19-CD13+CD16+CD17</f>
        <v>141.73333333333406</v>
      </c>
      <c r="CE19" s="1">
        <f t="shared" ref="CE19" si="268">CD19-CE13+CE16+CE17</f>
        <v>141.03333333333407</v>
      </c>
      <c r="CF19" s="1">
        <f t="shared" ref="CF19" si="269">CE19-CF13+CF16+CF17</f>
        <v>140.33333333333408</v>
      </c>
      <c r="CG19" s="1">
        <f t="shared" ref="CG19" si="270">CF19-CG13+CG16+CG17</f>
        <v>139.63333333333409</v>
      </c>
      <c r="CH19" s="1">
        <f t="shared" ref="CH19" si="271">CG19-CH13+CH16+CH17</f>
        <v>138.9333333333341</v>
      </c>
      <c r="CI19" s="1">
        <f t="shared" ref="CI19" si="272">CH19-CI13+CI16+CI17</f>
        <v>138.23333333333412</v>
      </c>
      <c r="CJ19" s="1">
        <f t="shared" ref="CJ19" si="273">CI19-CJ13+CJ16+CJ17</f>
        <v>137.53333333333413</v>
      </c>
      <c r="CK19" s="1">
        <f t="shared" ref="CK19" si="274">CJ19-CK13+CK16+CK17</f>
        <v>136.83333333333414</v>
      </c>
      <c r="CL19" s="1">
        <f t="shared" ref="CL19" si="275">CK19-CL13+CL16+CL17</f>
        <v>136.13333333333415</v>
      </c>
      <c r="CM19" s="1">
        <f t="shared" ref="CM19" si="276">CL19-CM13+CM16+CM17</f>
        <v>135.43333333333416</v>
      </c>
      <c r="CN19" s="1">
        <f t="shared" ref="CN19" si="277">CM19-CN13+CN16+CN17</f>
        <v>134.73333333333417</v>
      </c>
      <c r="CO19" s="1">
        <f t="shared" ref="CO19" si="278">CN19-CO13+CO16+CO17</f>
        <v>134.03333333333418</v>
      </c>
      <c r="CP19" s="1">
        <f t="shared" ref="CP19" si="279">CO19-CP13+CP16+CP17</f>
        <v>133.3333333333342</v>
      </c>
      <c r="CQ19" s="1">
        <f t="shared" ref="CQ19" si="280">CP19-CQ13+CQ16+CQ17</f>
        <v>132.63333333333421</v>
      </c>
      <c r="CR19" s="1">
        <f t="shared" ref="CR19" si="281">CQ19-CR13+CR16+CR17</f>
        <v>131.93333333333422</v>
      </c>
      <c r="CS19" s="1">
        <f t="shared" ref="CS19" si="282">CR19-CS13+CS16+CS17</f>
        <v>131.23333333333423</v>
      </c>
      <c r="CT19" s="1">
        <f t="shared" ref="CT19" si="283">CS19-CT13+CT16+CT17</f>
        <v>130.53333333333424</v>
      </c>
      <c r="CU19" s="1">
        <f t="shared" ref="CU19" si="284">CT19-CU13+CU16+CU17</f>
        <v>129.83333333333425</v>
      </c>
      <c r="CV19" s="1">
        <f t="shared" ref="CV19" si="285">CU19-CV13+CV16+CV17</f>
        <v>129.13333333333426</v>
      </c>
      <c r="CW19" s="1">
        <f t="shared" ref="CW19" si="286">CV19-CW13+CW16+CW17</f>
        <v>128.43333333333428</v>
      </c>
      <c r="CX19" s="1">
        <f t="shared" ref="CX19" si="287">CW19-CX13+CX16+CX17</f>
        <v>127.73333333333427</v>
      </c>
      <c r="CY19" s="1">
        <f t="shared" ref="CY19" si="288">CX19-CY13+CY16+CY17</f>
        <v>127.03333333333427</v>
      </c>
      <c r="CZ19" s="1">
        <f t="shared" ref="CZ19" si="289">CY19-CZ13+CZ16+CZ17</f>
        <v>126.33333333333427</v>
      </c>
      <c r="DA19" s="1">
        <f t="shared" ref="DA19" si="290">CZ19-DA13+DA16+DA17</f>
        <v>125.63333333333426</v>
      </c>
      <c r="DB19" s="1">
        <f t="shared" ref="DB19" si="291">DA19-DB13+DB16+DB17</f>
        <v>124.93333333333426</v>
      </c>
      <c r="DC19" s="1">
        <f t="shared" ref="DC19" si="292">DB19-DC13+DC16+DC17</f>
        <v>124.23333333333426</v>
      </c>
      <c r="DD19" s="1">
        <f t="shared" ref="DD19" si="293">DC19-DD13+DD16+DD17</f>
        <v>123.53333333333426</v>
      </c>
      <c r="DE19" s="1">
        <f t="shared" ref="DE19" si="294">DD19-DE13+DE16+DE17</f>
        <v>122.83333333333425</v>
      </c>
      <c r="DF19" s="1">
        <f t="shared" ref="DF19" si="295">DE19-DF13+DF16+DF17</f>
        <v>122.13333333333425</v>
      </c>
      <c r="DG19" s="1">
        <f t="shared" ref="DG19" si="296">DF19-DG13+DG16+DG17</f>
        <v>121.43333333333425</v>
      </c>
      <c r="DH19" s="1">
        <f t="shared" ref="DH19" si="297">DG19-DH13+DH16+DH17</f>
        <v>120.73333333333424</v>
      </c>
      <c r="DI19" s="1">
        <f t="shared" ref="DI19" si="298">DH19-DI13+DI16+DI17</f>
        <v>120.03333333333424</v>
      </c>
      <c r="DJ19" s="1">
        <f t="shared" ref="DJ19" si="299">DI19-DJ13+DJ16+DJ17</f>
        <v>119.33333333333424</v>
      </c>
      <c r="DK19" s="1">
        <f t="shared" ref="DK19" si="300">DJ19-DK13+DK16+DK17</f>
        <v>118.63333333333424</v>
      </c>
      <c r="DL19" s="1">
        <f t="shared" ref="DL19" si="301">DK19-DL13+DL16+DL17</f>
        <v>117.93333333333423</v>
      </c>
      <c r="DM19" s="1">
        <f t="shared" ref="DM19" si="302">DL19-DM13+DM16+DM17</f>
        <v>117.23333333333423</v>
      </c>
      <c r="DN19" s="1">
        <f t="shared" ref="DN19" si="303">DM19-DN13+DN16+DN17</f>
        <v>116.53333333333423</v>
      </c>
      <c r="DO19" s="1">
        <f t="shared" ref="DO19" si="304">DN19-DO13+DO16+DO17</f>
        <v>115.83333333333422</v>
      </c>
      <c r="DP19" s="1">
        <f t="shared" ref="DP19" si="305">DO19-DP13+DP16+DP17</f>
        <v>115.13333333333422</v>
      </c>
      <c r="DQ19" s="1">
        <f t="shared" ref="DQ19" si="306">DP19-DQ13+DQ16+DQ17</f>
        <v>114.43333333333422</v>
      </c>
      <c r="DR19" s="1">
        <f t="shared" ref="DR19" si="307">DQ19-DR13+DR16+DR17</f>
        <v>113.73333333333422</v>
      </c>
      <c r="DS19" s="1">
        <f t="shared" ref="DS19" si="308">DR19-DS13+DS16+DS17</f>
        <v>113.03333333333421</v>
      </c>
      <c r="DT19" s="1">
        <f t="shared" ref="DT19" si="309">DS19-DT13+DT16+DT17</f>
        <v>112.33333333333421</v>
      </c>
      <c r="DU19" s="1">
        <f t="shared" ref="DU19" si="310">DT19-DU13+DU16+DU17</f>
        <v>111.63333333333421</v>
      </c>
      <c r="DV19" s="1">
        <f t="shared" ref="DV19" si="311">DU19-DV13+DV16+DV17</f>
        <v>110.9333333333342</v>
      </c>
      <c r="DW19" s="1">
        <f t="shared" ref="DW19" si="312">DV19-DW13+DW16+DW17</f>
        <v>110.2333333333342</v>
      </c>
    </row>
    <row r="20" spans="1:127" ht="28.8" x14ac:dyDescent="0.3">
      <c r="A20" s="96" t="str">
        <f t="shared" si="66"/>
        <v>106029036Header</v>
      </c>
      <c r="B20" s="11">
        <v>106029036</v>
      </c>
      <c r="C20" s="11" t="s">
        <v>61</v>
      </c>
      <c r="D20" s="11">
        <f>VLOOKUP($B20,FORECAST!$D:$V,18,FALSE)</f>
        <v>1334</v>
      </c>
      <c r="E20" s="11" t="str">
        <f>VLOOKUP($B20,FORECAST!$D:$V,19,FALSE)</f>
        <v>2" ANG</v>
      </c>
      <c r="F20" s="11" t="s">
        <v>200</v>
      </c>
      <c r="G20" s="43" t="s">
        <v>151</v>
      </c>
      <c r="H20" s="43" t="s">
        <v>201</v>
      </c>
      <c r="I20" s="43" t="s">
        <v>125</v>
      </c>
      <c r="J20" s="43" t="s">
        <v>97</v>
      </c>
      <c r="K20" s="111" t="s">
        <v>202</v>
      </c>
      <c r="L20" s="111" t="s">
        <v>203</v>
      </c>
      <c r="M20" s="112"/>
      <c r="N20" s="112"/>
      <c r="O20" s="112"/>
      <c r="P20" s="112"/>
      <c r="Q20" s="112"/>
      <c r="R20" s="112"/>
      <c r="S20" s="9"/>
      <c r="T20" s="9"/>
      <c r="U20" s="9"/>
      <c r="V20" s="9"/>
      <c r="W20" s="9"/>
      <c r="X20" s="9"/>
      <c r="Y20" s="9"/>
      <c r="Z20" s="9"/>
      <c r="AA20" s="9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</row>
    <row r="21" spans="1:127" outlineLevel="1" x14ac:dyDescent="0.3">
      <c r="A21" s="96" t="str">
        <f t="shared" ref="A21:A28" si="313">CONCATENATE(B21,F21)</f>
        <v>106029036Inventory</v>
      </c>
      <c r="B21" s="20">
        <f t="shared" si="67"/>
        <v>106029036</v>
      </c>
      <c r="C21" s="20" t="str">
        <f t="shared" si="68"/>
        <v>L 2X2X.145 A529-50 50'00"</v>
      </c>
      <c r="D21" s="20">
        <f t="shared" si="69"/>
        <v>1334</v>
      </c>
      <c r="E21" s="20" t="str">
        <f t="shared" si="70"/>
        <v>2" ANG</v>
      </c>
      <c r="F21" s="11" t="s">
        <v>204</v>
      </c>
      <c r="G21" s="68">
        <f>SUM(H21:L21)</f>
        <v>440</v>
      </c>
      <c r="H21" s="36">
        <f>SUMIFS(FORECAST!$I:$I,FORECAST!$D:$D,MRP!$B21)</f>
        <v>395</v>
      </c>
      <c r="I21" s="36">
        <f>SUMIFS(FORECAST!$Q:$Q,FORECAST!$D:$D,B21)</f>
        <v>45</v>
      </c>
      <c r="J21" s="36">
        <f>SUMIFS(FORECAST!$R:$R,FORECAST!$D:$D,B21)</f>
        <v>0</v>
      </c>
      <c r="K21" s="112">
        <f>SUMIFS(FORECAST!$S:$S,FORECAST!$D:$D,B21)</f>
        <v>0</v>
      </c>
      <c r="L21" s="112">
        <f>SUMIFS(FORECAST!$T:$T,FORECAST!$D:$D,B21)</f>
        <v>0</v>
      </c>
      <c r="M21" s="112"/>
      <c r="N21" s="112"/>
      <c r="O21" s="112"/>
      <c r="P21" s="112"/>
      <c r="Q21" s="112"/>
      <c r="R21" s="112"/>
      <c r="S21" s="9"/>
      <c r="T21" s="9"/>
      <c r="U21" s="9"/>
      <c r="V21" s="9"/>
      <c r="W21" s="9"/>
      <c r="X21" s="9"/>
      <c r="Y21" s="9"/>
      <c r="Z21" s="9"/>
      <c r="AA21" s="9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</row>
    <row r="22" spans="1:127" outlineLevel="1" x14ac:dyDescent="0.3">
      <c r="A22" s="96" t="str">
        <f t="shared" si="313"/>
        <v>106029036Shipments</v>
      </c>
      <c r="B22" s="20">
        <f t="shared" si="67"/>
        <v>106029036</v>
      </c>
      <c r="C22" s="20" t="str">
        <f t="shared" si="68"/>
        <v>L 2X2X.145 A529-50 50'00"</v>
      </c>
      <c r="D22" s="20">
        <f t="shared" si="69"/>
        <v>1334</v>
      </c>
      <c r="E22" s="20" t="str">
        <f t="shared" si="70"/>
        <v>2" ANG</v>
      </c>
      <c r="F22" s="4" t="s">
        <v>205</v>
      </c>
      <c r="H22" s="66" cm="1">
        <f t="array" ref="H22">IFERROR(VLOOKUP($B22,FORECAST!$D$2:$O$25,7+H$75,FALSE)/30*7,G22)</f>
        <v>21.466666666666669</v>
      </c>
      <c r="I22" s="66" cm="1">
        <f t="array" ref="I22">IFERROR(VLOOKUP($B22,FORECAST!$D$2:$O$25,7+I$75,FALSE)/30*7,H22)</f>
        <v>95.2</v>
      </c>
      <c r="J22" s="66" cm="1">
        <f t="array" ref="J22">IFERROR(VLOOKUP($B22,FORECAST!$D$2:$O$25,7+J$75,FALSE)/30*7,I22)</f>
        <v>95.2</v>
      </c>
      <c r="K22" s="113" cm="1">
        <f t="array" ref="K22">IFERROR(VLOOKUP($B22,FORECAST!$D$2:$O$25,7+K$75,FALSE)/30*7,J22)</f>
        <v>95.2</v>
      </c>
      <c r="L22" s="113" cm="1">
        <f t="array" ref="L22">IFERROR(VLOOKUP($B22,FORECAST!$D$2:$O$25,7+L$75,FALSE)/30*7,K22)</f>
        <v>95.2</v>
      </c>
      <c r="M22" s="113" cm="1">
        <f t="array" ref="M22">IFERROR(VLOOKUP($B22,FORECAST!$D$2:$O$25,7+M$75,FALSE)/30*7,L22)</f>
        <v>66.5</v>
      </c>
      <c r="N22" s="113" cm="1">
        <f t="array" ref="N22">IFERROR(VLOOKUP($B22,FORECAST!$D$2:$O$25,7+N$75,FALSE)/30*7,M22)</f>
        <v>66.5</v>
      </c>
      <c r="O22" s="113" cm="1">
        <f t="array" ref="O22">IFERROR(VLOOKUP($B22,FORECAST!$D$2:$O$25,7+O$75,FALSE)/30*7,N22)</f>
        <v>66.5</v>
      </c>
      <c r="P22" s="113" cm="1">
        <f t="array" ref="P22">IFERROR(VLOOKUP($B22,FORECAST!$D$2:$O$25,7+P$75,FALSE)/30*7,O22)</f>
        <v>66.5</v>
      </c>
      <c r="Q22" s="113" cm="1">
        <f t="array" ref="Q22">IFERROR(VLOOKUP($B22,FORECAST!$D$2:$O$25,7+Q$75,FALSE)/30*7,P22)</f>
        <v>66.5</v>
      </c>
      <c r="R22" s="113" cm="1">
        <f t="array" ref="R22">IFERROR(VLOOKUP($B22,FORECAST!$D$2:$O$25,7+R$75,FALSE)/30*7,Q22)</f>
        <v>39.199999999999996</v>
      </c>
      <c r="S22" s="117" cm="1">
        <f t="array" ref="S22">IFERROR(VLOOKUP($B22,FORECAST!$D$2:$O$25,7+S$75,FALSE)/30*7,R22)</f>
        <v>39.199999999999996</v>
      </c>
      <c r="T22" s="117" cm="1">
        <f t="array" ref="T22">IFERROR(VLOOKUP($B22,FORECAST!$D$2:$O$25,7+T$75,FALSE)/30*7,S22)</f>
        <v>39.199999999999996</v>
      </c>
      <c r="U22" s="117" cm="1">
        <f t="array" ref="U22">IFERROR(VLOOKUP($B22,FORECAST!$D$2:$O$25,7+U$75,FALSE)/30*7,T22)</f>
        <v>39.199999999999996</v>
      </c>
      <c r="V22" s="117" cm="1">
        <f t="array" ref="V22">IFERROR(VLOOKUP($B22,FORECAST!$D$2:$O$25,7+V$75,FALSE)/30*7,U22)</f>
        <v>19.833333333333336</v>
      </c>
      <c r="W22" s="117" cm="1">
        <f t="array" ref="W22">IFERROR(VLOOKUP($B22,FORECAST!$D$2:$O$25,7+W$75,FALSE)/30*7,V22)</f>
        <v>19.833333333333336</v>
      </c>
      <c r="X22" s="117" cm="1">
        <f t="array" ref="X22">IFERROR(VLOOKUP($B22,FORECAST!$D$2:$O$25,7+X$75,FALSE)/30*7,W22)</f>
        <v>19.833333333333336</v>
      </c>
      <c r="Y22" s="117" cm="1">
        <f t="array" ref="Y22">IFERROR(VLOOKUP($B22,FORECAST!$D$2:$O$25,7+Y$75,FALSE)/30*7,X22)</f>
        <v>19.833333333333336</v>
      </c>
      <c r="Z22" s="117" cm="1">
        <f t="array" ref="Z22">IFERROR(VLOOKUP($B22,FORECAST!$D$2:$O$25,7+Z$75,FALSE)/30*7,Y22)</f>
        <v>19.833333333333336</v>
      </c>
      <c r="AA22" s="117" cm="1">
        <f t="array" ref="AA22">IFERROR(VLOOKUP($B22,FORECAST!$D$2:$O$25,7+AA$75,FALSE)/30*7,Z22)</f>
        <v>1.6333333333333333</v>
      </c>
      <c r="AB22" s="19" cm="1">
        <f t="array" ref="AB22">IFERROR(VLOOKUP($B22,FORECAST!$D$2:$O$25,7+AB$75,FALSE)/30*7,AA22)</f>
        <v>1.6333333333333333</v>
      </c>
      <c r="AC22" s="19" cm="1">
        <f t="array" ref="AC22">IFERROR(VLOOKUP($B22,FORECAST!$D$2:$O$25,7+AC$75,FALSE)/30*7,AB22)</f>
        <v>1.6333333333333333</v>
      </c>
      <c r="AD22" s="19" cm="1">
        <f t="array" ref="AD22">IFERROR(VLOOKUP($B22,FORECAST!$D$2:$O$25,7+AD$75,FALSE)/30*7,AC22)</f>
        <v>1.6333333333333333</v>
      </c>
      <c r="AE22" s="19" cm="1">
        <f t="array" ref="AE22">IFERROR(VLOOKUP($B22,FORECAST!$D$2:$O$25,7+AE$75,FALSE)/30*7,AD22)</f>
        <v>1.6333333333333333</v>
      </c>
      <c r="AF22" s="19" cm="1">
        <f t="array" ref="AF22">IFERROR(VLOOKUP($B22,FORECAST!$D$2:$O$25,7+AF$75,FALSE)/30*7,AE22)</f>
        <v>1.6333333333333333</v>
      </c>
      <c r="AG22" s="19" cm="1">
        <f t="array" ref="AG22">IFERROR(VLOOKUP($B22,FORECAST!$D$2:$O$25,7+AG$75,FALSE)/30*7,AF22)</f>
        <v>1.6333333333333333</v>
      </c>
      <c r="AH22" s="19" cm="1">
        <f t="array" ref="AH22">IFERROR(VLOOKUP($B22,FORECAST!$D$2:$O$25,7+AH$75,FALSE)/30*7,AG22)</f>
        <v>1.6333333333333333</v>
      </c>
      <c r="AI22" s="19" cm="1">
        <f t="array" ref="AI22">IFERROR(VLOOKUP($B22,FORECAST!$D$2:$O$25,7+AI$75,FALSE)/30*7,AH22)</f>
        <v>1.6333333333333333</v>
      </c>
      <c r="AJ22" s="19" cm="1">
        <f t="array" ref="AJ22">IFERROR(VLOOKUP($B22,FORECAST!$D$2:$O$25,7+AJ$75,FALSE)/30*7,AI22)</f>
        <v>1.6333333333333333</v>
      </c>
      <c r="AK22" s="19" cm="1">
        <f t="array" ref="AK22">IFERROR(VLOOKUP($B22,FORECAST!$D$2:$O$25,7+AK$75,FALSE)/30*7,AJ22)</f>
        <v>1.6333333333333333</v>
      </c>
      <c r="AL22" s="19" cm="1">
        <f t="array" ref="AL22">IFERROR(VLOOKUP($B22,FORECAST!$D$2:$O$25,7+AL$75,FALSE)/30*7,AK22)</f>
        <v>1.6333333333333333</v>
      </c>
      <c r="AM22" s="19" cm="1">
        <f t="array" ref="AM22">IFERROR(VLOOKUP($B22,FORECAST!$D$2:$O$25,7+AM$75,FALSE)/30*7,AL22)</f>
        <v>1.6333333333333333</v>
      </c>
      <c r="AN22" s="19" cm="1">
        <f t="array" ref="AN22">IFERROR(VLOOKUP($B22,FORECAST!$D$2:$O$25,7+AN$75,FALSE)/30*7,AM22)</f>
        <v>1.6333333333333333</v>
      </c>
      <c r="AO22" s="19" cm="1">
        <f t="array" ref="AO22">IFERROR(VLOOKUP($B22,FORECAST!$D$2:$O$25,7+AO$75,FALSE)/30*7,AN22)</f>
        <v>1.6333333333333333</v>
      </c>
      <c r="AP22" s="19" cm="1">
        <f t="array" ref="AP22">IFERROR(VLOOKUP($B22,FORECAST!$D$2:$O$25,7+AP$75,FALSE)/30*7,AO22)</f>
        <v>1.6333333333333333</v>
      </c>
      <c r="AQ22" s="19" cm="1">
        <f t="array" ref="AQ22">IFERROR(VLOOKUP($B22,FORECAST!$D$2:$O$25,7+AQ$75,FALSE)/30*7,AP22)</f>
        <v>1.6333333333333333</v>
      </c>
      <c r="AR22" s="19" cm="1">
        <f t="array" ref="AR22">IFERROR(VLOOKUP($B22,FORECAST!$D$2:$O$25,7+AR$75,FALSE)/30*7,AQ22)</f>
        <v>1.6333333333333333</v>
      </c>
      <c r="AS22" s="19" cm="1">
        <f t="array" ref="AS22">IFERROR(VLOOKUP($B22,FORECAST!$D$2:$O$25,7+AS$75,FALSE)/30*7,AR22)</f>
        <v>1.6333333333333333</v>
      </c>
      <c r="AT22" s="19" cm="1">
        <f t="array" ref="AT22">IFERROR(VLOOKUP($B22,FORECAST!$D$2:$O$25,7+AT$75,FALSE)/30*7,AS22)</f>
        <v>1.6333333333333333</v>
      </c>
      <c r="AU22" s="19" cm="1">
        <f t="array" ref="AU22">IFERROR(VLOOKUP($B22,FORECAST!$D$2:$O$25,7+AU$75,FALSE)/30*7,AT22)</f>
        <v>1.6333333333333333</v>
      </c>
      <c r="AV22" s="19" cm="1">
        <f t="array" ref="AV22">IFERROR(VLOOKUP($B22,FORECAST!$D$2:$O$25,7+AV$75,FALSE)/30*7,AU22)</f>
        <v>1.6333333333333333</v>
      </c>
      <c r="AW22" s="19" cm="1">
        <f t="array" ref="AW22">IFERROR(VLOOKUP($B22,FORECAST!$D$2:$O$25,7+AW$75,FALSE)/30*7,AV22)</f>
        <v>1.6333333333333333</v>
      </c>
      <c r="AX22" s="19" cm="1">
        <f t="array" ref="AX22">IFERROR(VLOOKUP($B22,FORECAST!$D$2:$O$25,7+AX$75,FALSE)/30*7,AW22)</f>
        <v>1.6333333333333333</v>
      </c>
      <c r="AY22" s="19" cm="1">
        <f t="array" ref="AY22">IFERROR(VLOOKUP($B22,FORECAST!$D$2:$O$25,7+AY$75,FALSE)/30*7,AX22)</f>
        <v>1.6333333333333333</v>
      </c>
      <c r="AZ22" s="19" cm="1">
        <f t="array" ref="AZ22">IFERROR(VLOOKUP($B22,FORECAST!$D$2:$O$25,7+AZ$75,FALSE)/30*7,AY22)</f>
        <v>1.6333333333333333</v>
      </c>
      <c r="BA22" s="19" cm="1">
        <f t="array" ref="BA22">IFERROR(VLOOKUP($B22,FORECAST!$D$2:$O$25,7+BA$75,FALSE)/30*7,AZ22)</f>
        <v>1.6333333333333333</v>
      </c>
      <c r="BB22" s="19" cm="1">
        <f t="array" ref="BB22">IFERROR(VLOOKUP($B22,FORECAST!$D$2:$O$25,7+BB$75,FALSE)/30*7,BA22)</f>
        <v>1.6333333333333333</v>
      </c>
      <c r="BC22" s="19" cm="1">
        <f t="array" ref="BC22">IFERROR(VLOOKUP($B22,FORECAST!$D$2:$O$25,7+BC$75,FALSE)/30*7,BB22)</f>
        <v>1.6333333333333333</v>
      </c>
      <c r="BD22" s="19" cm="1">
        <f t="array" ref="BD22">IFERROR(VLOOKUP($B22,FORECAST!$D$2:$O$25,7+BD$75,FALSE)/30*7,BC22)</f>
        <v>1.6333333333333333</v>
      </c>
      <c r="BE22" s="19" cm="1">
        <f t="array" ref="BE22">IFERROR(VLOOKUP($B22,FORECAST!$D$2:$O$25,7+BE$75,FALSE)/30*7,BD22)</f>
        <v>1.6333333333333333</v>
      </c>
      <c r="BF22" s="19" cm="1">
        <f t="array" ref="BF22">IFERROR(VLOOKUP($B22,FORECAST!$D$2:$O$25,7+BF$75,FALSE)/30*7,BE22)</f>
        <v>1.6333333333333333</v>
      </c>
      <c r="BG22" s="19" cm="1">
        <f t="array" ref="BG22">IFERROR(VLOOKUP($B22,FORECAST!$D$2:$O$25,7+BG$75,FALSE)/30*7,BF22)</f>
        <v>1.6333333333333333</v>
      </c>
      <c r="BH22" s="19" cm="1">
        <f t="array" ref="BH22">IFERROR(VLOOKUP($B22,FORECAST!$D$2:$O$25,7+BH$75,FALSE)/30*7,BG22)</f>
        <v>1.6333333333333333</v>
      </c>
      <c r="BI22" s="19" cm="1">
        <f t="array" ref="BI22">IFERROR(VLOOKUP($B22,FORECAST!$D$2:$O$25,7+BI$75,FALSE)/30*7,BH22)</f>
        <v>1.6333333333333333</v>
      </c>
      <c r="BJ22" s="19" cm="1">
        <f t="array" ref="BJ22">IFERROR(VLOOKUP($B22,FORECAST!$D$2:$O$25,7+BJ$75,FALSE)/30*7,BI22)</f>
        <v>1.6333333333333333</v>
      </c>
      <c r="BK22" s="19" cm="1">
        <f t="array" ref="BK22">IFERROR(VLOOKUP($B22,FORECAST!$D$2:$O$25,7+BK$75,FALSE)/30*7,BJ22)</f>
        <v>1.6333333333333333</v>
      </c>
      <c r="BL22" s="19" cm="1">
        <f t="array" ref="BL22">IFERROR(VLOOKUP($B22,FORECAST!$D$2:$O$25,7+BL$75,FALSE)/30*7,BK22)</f>
        <v>1.6333333333333333</v>
      </c>
      <c r="BM22" s="19" cm="1">
        <f t="array" ref="BM22">IFERROR(VLOOKUP($B22,FORECAST!$D$2:$O$25,7+BM$75,FALSE)/30*7,BL22)</f>
        <v>1.6333333333333333</v>
      </c>
      <c r="BN22" s="19" cm="1">
        <f t="array" ref="BN22">IFERROR(VLOOKUP($B22,FORECAST!$D$2:$O$25,7+BN$75,FALSE)/30*7,BM22)</f>
        <v>1.6333333333333333</v>
      </c>
      <c r="BO22" s="19" cm="1">
        <f t="array" ref="BO22">IFERROR(VLOOKUP($B22,FORECAST!$D$2:$O$25,7+BO$75,FALSE)/30*7,BN22)</f>
        <v>1.6333333333333333</v>
      </c>
      <c r="BP22" s="19" cm="1">
        <f t="array" ref="BP22">IFERROR(VLOOKUP($B22,FORECAST!$D$2:$O$25,7+BP$75,FALSE)/30*7,BO22)</f>
        <v>1.6333333333333333</v>
      </c>
      <c r="BQ22" s="19" cm="1">
        <f t="array" ref="BQ22">IFERROR(VLOOKUP($B22,FORECAST!$D$2:$O$25,7+BQ$75,FALSE)/30*7,BP22)</f>
        <v>1.6333333333333333</v>
      </c>
      <c r="BR22" s="19" cm="1">
        <f t="array" ref="BR22">IFERROR(VLOOKUP($B22,FORECAST!$D$2:$O$25,7+BR$75,FALSE)/30*7,BQ22)</f>
        <v>1.6333333333333333</v>
      </c>
      <c r="BS22" s="19" cm="1">
        <f t="array" ref="BS22">IFERROR(VLOOKUP($B22,FORECAST!$D$2:$O$25,7+BS$75,FALSE)/30*7,BR22)</f>
        <v>1.6333333333333333</v>
      </c>
      <c r="BT22" s="19" cm="1">
        <f t="array" ref="BT22">IFERROR(VLOOKUP($B22,FORECAST!$D$2:$O$25,7+BT$75,FALSE)/30*7,BS22)</f>
        <v>1.6333333333333333</v>
      </c>
      <c r="BU22" s="19" cm="1">
        <f t="array" ref="BU22">IFERROR(VLOOKUP($B22,FORECAST!$D$2:$O$25,7+BU$75,FALSE)/30*7,BT22)</f>
        <v>1.6333333333333333</v>
      </c>
      <c r="BV22" s="19" cm="1">
        <f t="array" ref="BV22">IFERROR(VLOOKUP($B22,FORECAST!$D$2:$O$25,7+BV$75,FALSE)/30*7,BU22)</f>
        <v>1.6333333333333333</v>
      </c>
      <c r="BW22" s="19" cm="1">
        <f t="array" ref="BW22">IFERROR(VLOOKUP($B22,FORECAST!$D$2:$O$25,7+BW$75,FALSE)/30*7,BV22)</f>
        <v>1.6333333333333333</v>
      </c>
      <c r="BX22" s="19" cm="1">
        <f t="array" ref="BX22">IFERROR(VLOOKUP($B22,FORECAST!$D$2:$O$25,7+BX$75,FALSE)/30*7,BW22)</f>
        <v>1.6333333333333333</v>
      </c>
      <c r="BY22" s="19" cm="1">
        <f t="array" ref="BY22">IFERROR(VLOOKUP($B22,FORECAST!$D$2:$O$25,7+BY$75,FALSE)/30*7,BX22)</f>
        <v>1.6333333333333333</v>
      </c>
      <c r="BZ22" s="19" cm="1">
        <f t="array" ref="BZ22">IFERROR(VLOOKUP($B22,FORECAST!$D$2:$O$25,7+BZ$75,FALSE)/30*7,BY22)</f>
        <v>1.6333333333333333</v>
      </c>
      <c r="CA22" s="19" cm="1">
        <f t="array" ref="CA22">IFERROR(VLOOKUP($B22,FORECAST!$D$2:$O$25,7+CA$75,FALSE)/30*7,BZ22)</f>
        <v>1.6333333333333333</v>
      </c>
      <c r="CB22" s="19" cm="1">
        <f t="array" ref="CB22">IFERROR(VLOOKUP($B22,FORECAST!$D$2:$O$25,7+CB$75,FALSE)/30*7,CA22)</f>
        <v>1.6333333333333333</v>
      </c>
      <c r="CC22" s="19" cm="1">
        <f t="array" ref="CC22">IFERROR(VLOOKUP($B22,FORECAST!$D$2:$O$25,7+CC$75,FALSE)/30*7,CB22)</f>
        <v>1.6333333333333333</v>
      </c>
      <c r="CD22" s="19" cm="1">
        <f t="array" ref="CD22">IFERROR(VLOOKUP($B22,FORECAST!$D$2:$O$25,7+CD$75,FALSE)/30*7,CC22)</f>
        <v>1.6333333333333333</v>
      </c>
      <c r="CE22" s="19" cm="1">
        <f t="array" ref="CE22">IFERROR(VLOOKUP($B22,FORECAST!$D$2:$O$25,7+CE$75,FALSE)/30*7,CD22)</f>
        <v>1.6333333333333333</v>
      </c>
      <c r="CF22" s="19" cm="1">
        <f t="array" ref="CF22">IFERROR(VLOOKUP($B22,FORECAST!$D$2:$O$25,7+CF$75,FALSE)/30*7,CE22)</f>
        <v>1.6333333333333333</v>
      </c>
      <c r="CG22" s="19" cm="1">
        <f t="array" ref="CG22">IFERROR(VLOOKUP($B22,FORECAST!$D$2:$O$25,7+CG$75,FALSE)/30*7,CF22)</f>
        <v>1.6333333333333333</v>
      </c>
      <c r="CH22" s="19" cm="1">
        <f t="array" ref="CH22">IFERROR(VLOOKUP($B22,FORECAST!$D$2:$O$25,7+CH$75,FALSE)/30*7,CG22)</f>
        <v>1.6333333333333333</v>
      </c>
      <c r="CI22" s="19" cm="1">
        <f t="array" ref="CI22">IFERROR(VLOOKUP($B22,FORECAST!$D$2:$O$25,7+CI$75,FALSE)/30*7,CH22)</f>
        <v>1.6333333333333333</v>
      </c>
      <c r="CJ22" s="19" cm="1">
        <f t="array" ref="CJ22">IFERROR(VLOOKUP($B22,FORECAST!$D$2:$O$25,7+CJ$75,FALSE)/30*7,CI22)</f>
        <v>1.6333333333333333</v>
      </c>
      <c r="CK22" s="19" cm="1">
        <f t="array" ref="CK22">IFERROR(VLOOKUP($B22,FORECAST!$D$2:$O$25,7+CK$75,FALSE)/30*7,CJ22)</f>
        <v>1.6333333333333333</v>
      </c>
      <c r="CL22" s="19" cm="1">
        <f t="array" ref="CL22">IFERROR(VLOOKUP($B22,FORECAST!$D$2:$O$25,7+CL$75,FALSE)/30*7,CK22)</f>
        <v>1.6333333333333333</v>
      </c>
      <c r="CM22" s="19" cm="1">
        <f t="array" ref="CM22">IFERROR(VLOOKUP($B22,FORECAST!$D$2:$O$25,7+CM$75,FALSE)/30*7,CL22)</f>
        <v>1.6333333333333333</v>
      </c>
      <c r="CN22" s="19" cm="1">
        <f t="array" ref="CN22">IFERROR(VLOOKUP($B22,FORECAST!$D$2:$O$25,7+CN$75,FALSE)/30*7,CM22)</f>
        <v>1.6333333333333333</v>
      </c>
      <c r="CO22" s="19" cm="1">
        <f t="array" ref="CO22">IFERROR(VLOOKUP($B22,FORECAST!$D$2:$O$25,7+CO$75,FALSE)/30*7,CN22)</f>
        <v>1.6333333333333333</v>
      </c>
      <c r="CP22" s="19" cm="1">
        <f t="array" ref="CP22">IFERROR(VLOOKUP($B22,FORECAST!$D$2:$O$25,7+CP$75,FALSE)/30*7,CO22)</f>
        <v>1.6333333333333333</v>
      </c>
      <c r="CQ22" s="19" cm="1">
        <f t="array" ref="CQ22">IFERROR(VLOOKUP($B22,FORECAST!$D$2:$O$25,7+CQ$75,FALSE)/30*7,CP22)</f>
        <v>1.6333333333333333</v>
      </c>
      <c r="CR22" s="19" cm="1">
        <f t="array" ref="CR22">IFERROR(VLOOKUP($B22,FORECAST!$D$2:$O$25,7+CR$75,FALSE)/30*7,CQ22)</f>
        <v>1.6333333333333333</v>
      </c>
      <c r="CS22" s="19" cm="1">
        <f t="array" ref="CS22">IFERROR(VLOOKUP($B22,FORECAST!$D$2:$O$25,7+CS$75,FALSE)/30*7,CR22)</f>
        <v>1.6333333333333333</v>
      </c>
      <c r="CT22" s="19" cm="1">
        <f t="array" ref="CT22">IFERROR(VLOOKUP($B22,FORECAST!$D$2:$O$25,7+CT$75,FALSE)/30*7,CS22)</f>
        <v>1.6333333333333333</v>
      </c>
      <c r="CU22" s="19" cm="1">
        <f t="array" ref="CU22">IFERROR(VLOOKUP($B22,FORECAST!$D$2:$O$25,7+CU$75,FALSE)/30*7,CT22)</f>
        <v>1.6333333333333333</v>
      </c>
      <c r="CV22" s="19" cm="1">
        <f t="array" ref="CV22">IFERROR(VLOOKUP($B22,FORECAST!$D$2:$O$25,7+CV$75,FALSE)/30*7,CU22)</f>
        <v>1.6333333333333333</v>
      </c>
      <c r="CW22" s="19" cm="1">
        <f t="array" ref="CW22">IFERROR(VLOOKUP($B22,FORECAST!$D$2:$O$25,7+CW$75,FALSE)/30*7,CV22)</f>
        <v>1.6333333333333333</v>
      </c>
      <c r="CX22" s="19" cm="1">
        <f t="array" ref="CX22">IFERROR(VLOOKUP($B22,FORECAST!$D$2:$O$25,7+CX$75,FALSE)/30*7,CW22)</f>
        <v>1.6333333333333333</v>
      </c>
      <c r="CY22" s="19" cm="1">
        <f t="array" ref="CY22">IFERROR(VLOOKUP($B22,FORECAST!$D$2:$O$25,7+CY$75,FALSE)/30*7,CX22)</f>
        <v>1.6333333333333333</v>
      </c>
      <c r="CZ22" s="19" cm="1">
        <f t="array" ref="CZ22">IFERROR(VLOOKUP($B22,FORECAST!$D$2:$O$25,7+CZ$75,FALSE)/30*7,CY22)</f>
        <v>1.6333333333333333</v>
      </c>
      <c r="DA22" s="19" cm="1">
        <f t="array" ref="DA22">IFERROR(VLOOKUP($B22,FORECAST!$D$2:$O$25,7+DA$75,FALSE)/30*7,CZ22)</f>
        <v>1.6333333333333333</v>
      </c>
      <c r="DB22" s="19" cm="1">
        <f t="array" ref="DB22">IFERROR(VLOOKUP($B22,FORECAST!$D$2:$O$25,7+DB$75,FALSE)/30*7,DA22)</f>
        <v>1.6333333333333333</v>
      </c>
      <c r="DC22" s="19" cm="1">
        <f t="array" ref="DC22">IFERROR(VLOOKUP($B22,FORECAST!$D$2:$O$25,7+DC$75,FALSE)/30*7,DB22)</f>
        <v>1.6333333333333333</v>
      </c>
      <c r="DD22" s="19" cm="1">
        <f t="array" ref="DD22">IFERROR(VLOOKUP($B22,FORECAST!$D$2:$O$25,7+DD$75,FALSE)/30*7,DC22)</f>
        <v>1.6333333333333333</v>
      </c>
      <c r="DE22" s="19" cm="1">
        <f t="array" ref="DE22">IFERROR(VLOOKUP($B22,FORECAST!$D$2:$O$25,7+DE$75,FALSE)/30*7,DD22)</f>
        <v>1.6333333333333333</v>
      </c>
      <c r="DF22" s="19" cm="1">
        <f t="array" ref="DF22">IFERROR(VLOOKUP($B22,FORECAST!$D$2:$O$25,7+DF$75,FALSE)/30*7,DE22)</f>
        <v>1.6333333333333333</v>
      </c>
      <c r="DG22" s="19" cm="1">
        <f t="array" ref="DG22">IFERROR(VLOOKUP($B22,FORECAST!$D$2:$O$25,7+DG$75,FALSE)/30*7,DF22)</f>
        <v>1.6333333333333333</v>
      </c>
      <c r="DH22" s="19" cm="1">
        <f t="array" ref="DH22">IFERROR(VLOOKUP($B22,FORECAST!$D$2:$O$25,7+DH$75,FALSE)/30*7,DG22)</f>
        <v>1.6333333333333333</v>
      </c>
      <c r="DI22" s="19" cm="1">
        <f t="array" ref="DI22">IFERROR(VLOOKUP($B22,FORECAST!$D$2:$O$25,7+DI$75,FALSE)/30*7,DH22)</f>
        <v>1.6333333333333333</v>
      </c>
      <c r="DJ22" s="19" cm="1">
        <f t="array" ref="DJ22">IFERROR(VLOOKUP($B22,FORECAST!$D$2:$O$25,7+DJ$75,FALSE)/30*7,DI22)</f>
        <v>1.6333333333333333</v>
      </c>
      <c r="DK22" s="19" cm="1">
        <f t="array" ref="DK22">IFERROR(VLOOKUP($B22,FORECAST!$D$2:$O$25,7+DK$75,FALSE)/30*7,DJ22)</f>
        <v>1.6333333333333333</v>
      </c>
      <c r="DL22" s="19" cm="1">
        <f t="array" ref="DL22">IFERROR(VLOOKUP($B22,FORECAST!$D$2:$O$25,7+DL$75,FALSE)/30*7,DK22)</f>
        <v>1.6333333333333333</v>
      </c>
      <c r="DM22" s="19" cm="1">
        <f t="array" ref="DM22">IFERROR(VLOOKUP($B22,FORECAST!$D$2:$O$25,7+DM$75,FALSE)/30*7,DL22)</f>
        <v>1.6333333333333333</v>
      </c>
      <c r="DN22" s="19" cm="1">
        <f t="array" ref="DN22">IFERROR(VLOOKUP($B22,FORECAST!$D$2:$O$25,7+DN$75,FALSE)/30*7,DM22)</f>
        <v>1.6333333333333333</v>
      </c>
      <c r="DO22" s="19" cm="1">
        <f t="array" ref="DO22">IFERROR(VLOOKUP($B22,FORECAST!$D$2:$O$25,7+DO$75,FALSE)/30*7,DN22)</f>
        <v>1.6333333333333333</v>
      </c>
      <c r="DP22" s="19" cm="1">
        <f t="array" ref="DP22">IFERROR(VLOOKUP($B22,FORECAST!$D$2:$O$25,7+DP$75,FALSE)/30*7,DO22)</f>
        <v>1.6333333333333333</v>
      </c>
      <c r="DQ22" s="19" cm="1">
        <f t="array" ref="DQ22">IFERROR(VLOOKUP($B22,FORECAST!$D$2:$O$25,7+DQ$75,FALSE)/30*7,DP22)</f>
        <v>1.6333333333333333</v>
      </c>
      <c r="DR22" s="19" cm="1">
        <f t="array" ref="DR22">IFERROR(VLOOKUP($B22,FORECAST!$D$2:$O$25,7+DR$75,FALSE)/30*7,DQ22)</f>
        <v>1.6333333333333333</v>
      </c>
      <c r="DS22" s="19" cm="1">
        <f t="array" ref="DS22">IFERROR(VLOOKUP($B22,FORECAST!$D$2:$O$25,7+DS$75,FALSE)/30*7,DR22)</f>
        <v>1.6333333333333333</v>
      </c>
      <c r="DT22" s="19" cm="1">
        <f t="array" ref="DT22">IFERROR(VLOOKUP($B22,FORECAST!$D$2:$O$25,7+DT$75,FALSE)/30*7,DS22)</f>
        <v>1.6333333333333333</v>
      </c>
      <c r="DU22" s="19" cm="1">
        <f t="array" ref="DU22">IFERROR(VLOOKUP($B22,FORECAST!$D$2:$O$25,7+DU$75,FALSE)/30*7,DT22)</f>
        <v>1.6333333333333333</v>
      </c>
      <c r="DV22" s="19" cm="1">
        <f t="array" ref="DV22">IFERROR(VLOOKUP($B22,FORECAST!$D$2:$O$25,7+DV$75,FALSE)/30*7,DU22)</f>
        <v>1.6333333333333333</v>
      </c>
      <c r="DW22" s="19" cm="1">
        <f t="array" ref="DW22">IFERROR(VLOOKUP($B22,FORECAST!$D$2:$O$25,7+DW$75,FALSE)/30*7,DV22)</f>
        <v>1.6333333333333333</v>
      </c>
    </row>
    <row r="23" spans="1:127" outlineLevel="1" x14ac:dyDescent="0.3">
      <c r="A23" s="96" t="str">
        <f t="shared" si="313"/>
        <v>106029036Production Week</v>
      </c>
      <c r="B23" s="20">
        <f t="shared" si="67"/>
        <v>106029036</v>
      </c>
      <c r="C23" s="20" t="str">
        <f t="shared" si="68"/>
        <v>L 2X2X.145 A529-50 50'00"</v>
      </c>
      <c r="D23" s="20">
        <f t="shared" si="69"/>
        <v>1334</v>
      </c>
      <c r="E23" s="20" t="str">
        <f t="shared" si="70"/>
        <v>2" ANG</v>
      </c>
      <c r="F23" s="4" t="s">
        <v>206</v>
      </c>
      <c r="H23" s="1" t="str">
        <f>IF(IFERROR(VLOOKUP(CONCATENATE($D23,$E23,H$1),'ROLLING SCHED'!$A:$A,1,FALSE),"x")&lt;&gt;"x","x",IF(IFERROR(VLOOKUP(CONCATENATE($D23,$E23,H$1+7),'ROLLING SCHED'!$A:$A,1,FALSE),"y")&lt;&gt;"y","y",""))</f>
        <v/>
      </c>
      <c r="I23" s="1" t="str">
        <f>IF(IFERROR(VLOOKUP(CONCATENATE($D23,$E23,I$1),'ROLLING SCHED'!$A:$A,1,FALSE),"x")&lt;&gt;"x","x",IF(IFERROR(VLOOKUP(CONCATENATE($D23,$E23,I$1+7),'ROLLING SCHED'!$A:$A,1,FALSE),"y")&lt;&gt;"y","y",""))</f>
        <v/>
      </c>
      <c r="J23" s="1" t="str">
        <f>IF(IFERROR(VLOOKUP(CONCATENATE($D23,$E23,J$1),'ROLLING SCHED'!$A:$A,1,FALSE),"x")&lt;&gt;"x","x",IF(IFERROR(VLOOKUP(CONCATENATE($D23,$E23,J$1+7),'ROLLING SCHED'!$A:$A,1,FALSE),"y")&lt;&gt;"y","y",""))</f>
        <v/>
      </c>
      <c r="K23" s="112" t="str">
        <f>IF(IFERROR(VLOOKUP(CONCATENATE($D23,$E23,K$1),'ROLLING SCHED'!$A:$A,1,FALSE),"x")&lt;&gt;"x","x",IF(IFERROR(VLOOKUP(CONCATENATE($D23,$E23,K$1+7),'ROLLING SCHED'!$A:$A,1,FALSE),"y")&lt;&gt;"y","y",""))</f>
        <v/>
      </c>
      <c r="L23" s="112" t="str">
        <f>IF(IFERROR(VLOOKUP(CONCATENATE($D23,$E23,L$1),'ROLLING SCHED'!$A:$A,1,FALSE),"x")&lt;&gt;"x","x",IF(IFERROR(VLOOKUP(CONCATENATE($D23,$E23,L$1+7),'ROLLING SCHED'!$A:$A,1,FALSE),"y")&lt;&gt;"y","y",""))</f>
        <v>y</v>
      </c>
      <c r="M23" s="112" t="str">
        <f>IF(IFERROR(VLOOKUP(CONCATENATE($D23,$E23,M$1),'ROLLING SCHED'!$A:$A,1,FALSE),"x")&lt;&gt;"x","x",IF(IFERROR(VLOOKUP(CONCATENATE($D23,$E23,M$1+7),'ROLLING SCHED'!$A:$A,1,FALSE),"y")&lt;&gt;"y","y",""))</f>
        <v>x</v>
      </c>
      <c r="N23" s="112" t="str">
        <f>IF(IFERROR(VLOOKUP(CONCATENATE($D23,$E23,N$1),'ROLLING SCHED'!$A:$A,1,FALSE),"x")&lt;&gt;"x","x",IF(IFERROR(VLOOKUP(CONCATENATE($D23,$E23,N$1+7),'ROLLING SCHED'!$A:$A,1,FALSE),"y")&lt;&gt;"y","y",""))</f>
        <v/>
      </c>
      <c r="O23" s="112" t="str">
        <f>IF(IFERROR(VLOOKUP(CONCATENATE($D23,$E23,O$1),'ROLLING SCHED'!$A:$A,1,FALSE),"x")&lt;&gt;"x","x",IF(IFERROR(VLOOKUP(CONCATENATE($D23,$E23,O$1+7),'ROLLING SCHED'!$A:$A,1,FALSE),"y")&lt;&gt;"y","y",""))</f>
        <v/>
      </c>
      <c r="P23" s="112" t="str">
        <f>IF(IFERROR(VLOOKUP(CONCATENATE($D23,$E23,P$1),'ROLLING SCHED'!$A:$A,1,FALSE),"x")&lt;&gt;"x","x",IF(IFERROR(VLOOKUP(CONCATENATE($D23,$E23,P$1+7),'ROLLING SCHED'!$A:$A,1,FALSE),"y")&lt;&gt;"y","y",""))</f>
        <v/>
      </c>
      <c r="Q23" s="112" t="str">
        <f>IF(IFERROR(VLOOKUP(CONCATENATE($D23,$E23,Q$1),'ROLLING SCHED'!$A:$A,1,FALSE),"x")&lt;&gt;"x","x",IF(IFERROR(VLOOKUP(CONCATENATE($D23,$E23,Q$1+7),'ROLLING SCHED'!$A:$A,1,FALSE),"y")&lt;&gt;"y","y",""))</f>
        <v/>
      </c>
      <c r="R23" s="112" t="str">
        <f>IF(IFERROR(VLOOKUP(CONCATENATE($D23,$E23,R$1),'ROLLING SCHED'!$A:$A,1,FALSE),"x")&lt;&gt;"x","x",IF(IFERROR(VLOOKUP(CONCATENATE($D23,$E23,R$1+7),'ROLLING SCHED'!$A:$A,1,FALSE),"y")&lt;&gt;"y","y",""))</f>
        <v/>
      </c>
      <c r="S23" s="9" t="str">
        <f>IF(IFERROR(VLOOKUP(CONCATENATE($D23,$E23,S$1),'ROLLING SCHED'!$A:$A,1,FALSE),"x")&lt;&gt;"x","x",IF(IFERROR(VLOOKUP(CONCATENATE($D23,$E23,S$1+7),'ROLLING SCHED'!$A:$A,1,FALSE),"y")&lt;&gt;"y","y",""))</f>
        <v/>
      </c>
      <c r="T23" s="9" t="str">
        <f>IF(IFERROR(VLOOKUP(CONCATENATE($D23,$E23,T$1),'ROLLING SCHED'!$A:$A,1,FALSE),"x")&lt;&gt;"x","x",IF(IFERROR(VLOOKUP(CONCATENATE($D23,$E23,T$1+7),'ROLLING SCHED'!$A:$A,1,FALSE),"y")&lt;&gt;"y","y",""))</f>
        <v/>
      </c>
      <c r="U23" s="9" t="str">
        <f>IF(IFERROR(VLOOKUP(CONCATENATE($D23,$E23,U$1),'ROLLING SCHED'!$A:$A,1,FALSE),"x")&lt;&gt;"x","x",IF(IFERROR(VLOOKUP(CONCATENATE($D23,$E23,U$1+7),'ROLLING SCHED'!$A:$A,1,FALSE),"y")&lt;&gt;"y","y",""))</f>
        <v/>
      </c>
      <c r="V23" s="9" t="str">
        <f>IF(IFERROR(VLOOKUP(CONCATENATE($D23,$E23,V$1),'ROLLING SCHED'!$A:$A,1,FALSE),"x")&lt;&gt;"x","x",IF(IFERROR(VLOOKUP(CONCATENATE($D23,$E23,V$1+7),'ROLLING SCHED'!$A:$A,1,FALSE),"y")&lt;&gt;"y","y",""))</f>
        <v>y</v>
      </c>
      <c r="W23" s="9" t="str">
        <f>IF(IFERROR(VLOOKUP(CONCATENATE($D23,$E23,W$1),'ROLLING SCHED'!$A:$A,1,FALSE),"x")&lt;&gt;"x","x",IF(IFERROR(VLOOKUP(CONCATENATE($D23,$E23,W$1+7),'ROLLING SCHED'!$A:$A,1,FALSE),"y")&lt;&gt;"y","y",""))</f>
        <v>x</v>
      </c>
      <c r="X23" s="9" t="str">
        <f>IF(IFERROR(VLOOKUP(CONCATENATE($D23,$E23,X$1),'ROLLING SCHED'!$A:$A,1,FALSE),"x")&lt;&gt;"x","x",IF(IFERROR(VLOOKUP(CONCATENATE($D23,$E23,X$1+7),'ROLLING SCHED'!$A:$A,1,FALSE),"y")&lt;&gt;"y","y",""))</f>
        <v/>
      </c>
      <c r="Y23" s="9" t="str">
        <f>IF(IFERROR(VLOOKUP(CONCATENATE($D23,$E23,Y$1),'ROLLING SCHED'!$A:$A,1,FALSE),"x")&lt;&gt;"x","x",IF(IFERROR(VLOOKUP(CONCATENATE($D23,$E23,Y$1+7),'ROLLING SCHED'!$A:$A,1,FALSE),"y")&lt;&gt;"y","y",""))</f>
        <v/>
      </c>
      <c r="Z23" s="9" t="str">
        <f>IF(IFERROR(VLOOKUP(CONCATENATE($D23,$E23,Z$1),'ROLLING SCHED'!$A:$A,1,FALSE),"x")&lt;&gt;"x","x",IF(IFERROR(VLOOKUP(CONCATENATE($D23,$E23,Z$1+7),'ROLLING SCHED'!$A:$A,1,FALSE),"y")&lt;&gt;"y","y",""))</f>
        <v/>
      </c>
      <c r="AA23" s="9" t="str">
        <f>IF(IFERROR(VLOOKUP(CONCATENATE($D23,$E23,AA$1),'ROLLING SCHED'!$A:$A,1,FALSE),"x")&lt;&gt;"x","x",IF(IFERROR(VLOOKUP(CONCATENATE($D23,$E23,AA$1+7),'ROLLING SCHED'!$A:$A,1,FALSE),"y")&lt;&gt;"y","y",""))</f>
        <v/>
      </c>
      <c r="AB23" s="1" t="str">
        <f>IF(IFERROR(VLOOKUP(CONCATENATE($D23,$E23,AB$1),'ROLLING SCHED'!$A:$A,1,FALSE),"x")&lt;&gt;"x","x",IF(IFERROR(VLOOKUP(CONCATENATE($D23,$E23,AB$1+7),'ROLLING SCHED'!$A:$A,1,FALSE),"y")&lt;&gt;"y","y",""))</f>
        <v/>
      </c>
      <c r="AC23" s="1" t="str">
        <f>IF(IFERROR(VLOOKUP(CONCATENATE($D23,$E23,AC$1),'ROLLING SCHED'!$A:$A,1,FALSE),"x")&lt;&gt;"x","x",IF(IFERROR(VLOOKUP(CONCATENATE($D23,$E23,AC$1+7),'ROLLING SCHED'!$A:$A,1,FALSE),"y")&lt;&gt;"y","y",""))</f>
        <v/>
      </c>
      <c r="AD23" s="1" t="str">
        <f>IF(IFERROR(VLOOKUP(CONCATENATE($D23,$E23,AD$1),'ROLLING SCHED'!$A:$A,1,FALSE),"x")&lt;&gt;"x","x",IF(IFERROR(VLOOKUP(CONCATENATE($D23,$E23,AD$1+7),'ROLLING SCHED'!$A:$A,1,FALSE),"y")&lt;&gt;"y","y",""))</f>
        <v/>
      </c>
      <c r="AE23" s="1" t="str">
        <f>IF(IFERROR(VLOOKUP(CONCATENATE($D23,$E23,AE$1),'ROLLING SCHED'!$A:$A,1,FALSE),"x")&lt;&gt;"x","x",IF(IFERROR(VLOOKUP(CONCATENATE($D23,$E23,AE$1+7),'ROLLING SCHED'!$A:$A,1,FALSE),"y")&lt;&gt;"y","y",""))</f>
        <v>y</v>
      </c>
      <c r="AF23" s="1" t="str">
        <f>IF(IFERROR(VLOOKUP(CONCATENATE($D23,$E23,AF$1),'ROLLING SCHED'!$A:$A,1,FALSE),"x")&lt;&gt;"x","x",IF(IFERROR(VLOOKUP(CONCATENATE($D23,$E23,AF$1+7),'ROLLING SCHED'!$A:$A,1,FALSE),"y")&lt;&gt;"y","y",""))</f>
        <v>x</v>
      </c>
      <c r="AG23" s="1" t="str">
        <f>IF(IFERROR(VLOOKUP(CONCATENATE($D23,$E23,AG$1),'ROLLING SCHED'!$A:$A,1,FALSE),"x")&lt;&gt;"x","x",IF(IFERROR(VLOOKUP(CONCATENATE($D23,$E23,AG$1+7),'ROLLING SCHED'!$A:$A,1,FALSE),"y")&lt;&gt;"y","y",""))</f>
        <v/>
      </c>
      <c r="AH23" s="1" t="str">
        <f>IF(IFERROR(VLOOKUP(CONCATENATE($D23,$E23,AH$1),'ROLLING SCHED'!$A:$A,1,FALSE),"x")&lt;&gt;"x","x",IF(IFERROR(VLOOKUP(CONCATENATE($D23,$E23,AH$1+7),'ROLLING SCHED'!$A:$A,1,FALSE),"y")&lt;&gt;"y","y",""))</f>
        <v/>
      </c>
      <c r="AI23" s="1" t="str">
        <f>IF(IFERROR(VLOOKUP(CONCATENATE($D23,$E23,AI$1),'ROLLING SCHED'!$A:$A,1,FALSE),"x")&lt;&gt;"x","x",IF(IFERROR(VLOOKUP(CONCATENATE($D23,$E23,AI$1+7),'ROLLING SCHED'!$A:$A,1,FALSE),"y")&lt;&gt;"y","y",""))</f>
        <v/>
      </c>
      <c r="AJ23" s="1" t="str">
        <f>IF(IFERROR(VLOOKUP(CONCATENATE($D23,$E23,AJ$1),'ROLLING SCHED'!$A:$A,1,FALSE),"x")&lt;&gt;"x","x",IF(IFERROR(VLOOKUP(CONCATENATE($D23,$E23,AJ$1+7),'ROLLING SCHED'!$A:$A,1,FALSE),"y")&lt;&gt;"y","y",""))</f>
        <v/>
      </c>
      <c r="AK23" s="1" t="str">
        <f>IF(IFERROR(VLOOKUP(CONCATENATE($D23,$E23,AK$1),'ROLLING SCHED'!$A:$A,1,FALSE),"x")&lt;&gt;"x","x",IF(IFERROR(VLOOKUP(CONCATENATE($D23,$E23,AK$1+7),'ROLLING SCHED'!$A:$A,1,FALSE),"y")&lt;&gt;"y","y",""))</f>
        <v/>
      </c>
      <c r="AL23" s="1" t="str">
        <f>IF(IFERROR(VLOOKUP(CONCATENATE($D23,$E23,AL$1),'ROLLING SCHED'!$A:$A,1,FALSE),"x")&lt;&gt;"x","x",IF(IFERROR(VLOOKUP(CONCATENATE($D23,$E23,AL$1+7),'ROLLING SCHED'!$A:$A,1,FALSE),"y")&lt;&gt;"y","y",""))</f>
        <v/>
      </c>
      <c r="AM23" s="1" t="str">
        <f>IF(IFERROR(VLOOKUP(CONCATENATE($D23,$E23,AM$1),'ROLLING SCHED'!$A:$A,1,FALSE),"x")&lt;&gt;"x","x",IF(IFERROR(VLOOKUP(CONCATENATE($D23,$E23,AM$1+7),'ROLLING SCHED'!$A:$A,1,FALSE),"y")&lt;&gt;"y","y",""))</f>
        <v>y</v>
      </c>
      <c r="AN23" s="1" t="str">
        <f>IF(IFERROR(VLOOKUP(CONCATENATE($D23,$E23,AN$1),'ROLLING SCHED'!$A:$A,1,FALSE),"x")&lt;&gt;"x","x",IF(IFERROR(VLOOKUP(CONCATENATE($D23,$E23,AN$1+7),'ROLLING SCHED'!$A:$A,1,FALSE),"y")&lt;&gt;"y","y",""))</f>
        <v>x</v>
      </c>
      <c r="AO23" s="1" t="str">
        <f>IF(IFERROR(VLOOKUP(CONCATENATE($D23,$E23,AO$1),'ROLLING SCHED'!$A:$A,1,FALSE),"x")&lt;&gt;"x","x",IF(IFERROR(VLOOKUP(CONCATENATE($D23,$E23,AO$1+7),'ROLLING SCHED'!$A:$A,1,FALSE),"y")&lt;&gt;"y","y",""))</f>
        <v/>
      </c>
      <c r="AP23" s="1" t="str">
        <f>IF(IFERROR(VLOOKUP(CONCATENATE($D23,$E23,AP$1),'ROLLING SCHED'!$A:$A,1,FALSE),"x")&lt;&gt;"x","x",IF(IFERROR(VLOOKUP(CONCATENATE($D23,$E23,AP$1+7),'ROLLING SCHED'!$A:$A,1,FALSE),"y")&lt;&gt;"y","y",""))</f>
        <v/>
      </c>
      <c r="AQ23" s="1" t="str">
        <f>IF(IFERROR(VLOOKUP(CONCATENATE($D23,$E23,AQ$1),'ROLLING SCHED'!$A:$A,1,FALSE),"x")&lt;&gt;"x","x",IF(IFERROR(VLOOKUP(CONCATENATE($D23,$E23,AQ$1+7),'ROLLING SCHED'!$A:$A,1,FALSE),"y")&lt;&gt;"y","y",""))</f>
        <v/>
      </c>
      <c r="AR23" s="1" t="str">
        <f>IF(IFERROR(VLOOKUP(CONCATENATE($D23,$E23,AR$1),'ROLLING SCHED'!$A:$A,1,FALSE),"x")&lt;&gt;"x","x",IF(IFERROR(VLOOKUP(CONCATENATE($D23,$E23,AR$1+7),'ROLLING SCHED'!$A:$A,1,FALSE),"y")&lt;&gt;"y","y",""))</f>
        <v/>
      </c>
      <c r="AS23" s="1" t="str">
        <f>IF(IFERROR(VLOOKUP(CONCATENATE($D23,$E23,AS$1),'ROLLING SCHED'!$A:$A,1,FALSE),"x")&lt;&gt;"x","x",IF(IFERROR(VLOOKUP(CONCATENATE($D23,$E23,AS$1+7),'ROLLING SCHED'!$A:$A,1,FALSE),"y")&lt;&gt;"y","y",""))</f>
        <v/>
      </c>
      <c r="AT23" s="1" t="str">
        <f>IF(IFERROR(VLOOKUP(CONCATENATE($D23,$E23,AT$1),'ROLLING SCHED'!$A:$A,1,FALSE),"x")&lt;&gt;"x","x",IF(IFERROR(VLOOKUP(CONCATENATE($D23,$E23,AT$1+7),'ROLLING SCHED'!$A:$A,1,FALSE),"y")&lt;&gt;"y","y",""))</f>
        <v/>
      </c>
      <c r="AU23" s="1" t="str">
        <f>IF(IFERROR(VLOOKUP(CONCATENATE($D23,$E23,AU$1),'ROLLING SCHED'!$A:$A,1,FALSE),"x")&lt;&gt;"x","x",IF(IFERROR(VLOOKUP(CONCATENATE($D23,$E23,AU$1+7),'ROLLING SCHED'!$A:$A,1,FALSE),"y")&lt;&gt;"y","y",""))</f>
        <v/>
      </c>
      <c r="AV23" s="1" t="str">
        <f>IF(IFERROR(VLOOKUP(CONCATENATE($D23,$E23,AV$1),'ROLLING SCHED'!$A:$A,1,FALSE),"x")&lt;&gt;"x","x",IF(IFERROR(VLOOKUP(CONCATENATE($D23,$E23,AV$1+7),'ROLLING SCHED'!$A:$A,1,FALSE),"y")&lt;&gt;"y","y",""))</f>
        <v>y</v>
      </c>
      <c r="AW23" s="1" t="str">
        <f>IF(IFERROR(VLOOKUP(CONCATENATE($D23,$E23,AW$1),'ROLLING SCHED'!$A:$A,1,FALSE),"x")&lt;&gt;"x","x",IF(IFERROR(VLOOKUP(CONCATENATE($D23,$E23,AW$1+7),'ROLLING SCHED'!$A:$A,1,FALSE),"y")&lt;&gt;"y","y",""))</f>
        <v>x</v>
      </c>
      <c r="AX23" s="1" t="str">
        <f>IF(IFERROR(VLOOKUP(CONCATENATE($D23,$E23,AX$1),'ROLLING SCHED'!$A:$A,1,FALSE),"x")&lt;&gt;"x","x",IF(IFERROR(VLOOKUP(CONCATENATE($D23,$E23,AX$1+7),'ROLLING SCHED'!$A:$A,1,FALSE),"y")&lt;&gt;"y","y",""))</f>
        <v/>
      </c>
      <c r="AY23" s="1" t="str">
        <f>IF(IFERROR(VLOOKUP(CONCATENATE($D23,$E23,AY$1),'ROLLING SCHED'!$A:$A,1,FALSE),"x")&lt;&gt;"x","x",IF(IFERROR(VLOOKUP(CONCATENATE($D23,$E23,AY$1+7),'ROLLING SCHED'!$A:$A,1,FALSE),"y")&lt;&gt;"y","y",""))</f>
        <v/>
      </c>
      <c r="AZ23" s="1" t="str">
        <f>IF(IFERROR(VLOOKUP(CONCATENATE($D23,$E23,AZ$1),'ROLLING SCHED'!$A:$A,1,FALSE),"x")&lt;&gt;"x","x",IF(IFERROR(VLOOKUP(CONCATENATE($D23,$E23,AZ$1+7),'ROLLING SCHED'!$A:$A,1,FALSE),"y")&lt;&gt;"y","y",""))</f>
        <v/>
      </c>
      <c r="BA23" s="1" t="str">
        <f>IF(IFERROR(VLOOKUP(CONCATENATE($D23,$E23,BA$1),'ROLLING SCHED'!$A:$A,1,FALSE),"x")&lt;&gt;"x","x",IF(IFERROR(VLOOKUP(CONCATENATE($D23,$E23,BA$1+7),'ROLLING SCHED'!$A:$A,1,FALSE),"y")&lt;&gt;"y","y",""))</f>
        <v/>
      </c>
      <c r="BB23" s="1" t="str">
        <f>IF(IFERROR(VLOOKUP(CONCATENATE($D23,$E23,BB$1),'ROLLING SCHED'!$A:$A,1,FALSE),"x")&lt;&gt;"x","x",IF(IFERROR(VLOOKUP(CONCATENATE($D23,$E23,BB$1+7),'ROLLING SCHED'!$A:$A,1,FALSE),"y")&lt;&gt;"y","y",""))</f>
        <v/>
      </c>
      <c r="BC23" s="1" t="str">
        <f>IF(IFERROR(VLOOKUP(CONCATENATE($D23,$E23,BC$1),'ROLLING SCHED'!$A:$A,1,FALSE),"x")&lt;&gt;"x","x",IF(IFERROR(VLOOKUP(CONCATENATE($D23,$E23,BC$1+7),'ROLLING SCHED'!$A:$A,1,FALSE),"y")&lt;&gt;"y","y",""))</f>
        <v/>
      </c>
      <c r="BD23" s="1" t="str">
        <f>IF(IFERROR(VLOOKUP(CONCATENATE($D23,$E23,BD$1),'ROLLING SCHED'!$A:$A,1,FALSE),"x")&lt;&gt;"x","x",IF(IFERROR(VLOOKUP(CONCATENATE($D23,$E23,BD$1+7),'ROLLING SCHED'!$A:$A,1,FALSE),"y")&lt;&gt;"y","y",""))</f>
        <v/>
      </c>
      <c r="BE23" s="1" t="str">
        <f>IF(IFERROR(VLOOKUP(CONCATENATE($D23,$E23,BE$1),'ROLLING SCHED'!$A:$A,1,FALSE),"x")&lt;&gt;"x","x",IF(IFERROR(VLOOKUP(CONCATENATE($D23,$E23,BE$1+7),'ROLLING SCHED'!$A:$A,1,FALSE),"y")&lt;&gt;"y","y",""))</f>
        <v/>
      </c>
      <c r="BF23" s="1" t="str">
        <f>IF(IFERROR(VLOOKUP(CONCATENATE($D23,$E23,BF$1),'ROLLING SCHED'!$A:$A,1,FALSE),"x")&lt;&gt;"x","x",IF(IFERROR(VLOOKUP(CONCATENATE($D23,$E23,BF$1+7),'ROLLING SCHED'!$A:$A,1,FALSE),"y")&lt;&gt;"y","y",""))</f>
        <v/>
      </c>
      <c r="BG23" s="1" t="str">
        <f>IF(IFERROR(VLOOKUP(CONCATENATE($D23,$E23,BG$1),'ROLLING SCHED'!$A:$A,1,FALSE),"x")&lt;&gt;"x","x",IF(IFERROR(VLOOKUP(CONCATENATE($D23,$E23,BG$1+7),'ROLLING SCHED'!$A:$A,1,FALSE),"y")&lt;&gt;"y","y",""))</f>
        <v/>
      </c>
      <c r="BH23" s="1" t="str">
        <f>IF(IFERROR(VLOOKUP(CONCATENATE($D23,$E23,BH$1),'ROLLING SCHED'!$A:$A,1,FALSE),"x")&lt;&gt;"x","x",IF(IFERROR(VLOOKUP(CONCATENATE($D23,$E23,BH$1+7),'ROLLING SCHED'!$A:$A,1,FALSE),"y")&lt;&gt;"y","y",""))</f>
        <v/>
      </c>
      <c r="BI23" s="1" t="str">
        <f>IF(IFERROR(VLOOKUP(CONCATENATE($D23,$E23,BI$1),'ROLLING SCHED'!$A:$A,1,FALSE),"x")&lt;&gt;"x","x",IF(IFERROR(VLOOKUP(CONCATENATE($D23,$E23,BI$1+7),'ROLLING SCHED'!$A:$A,1,FALSE),"y")&lt;&gt;"y","y",""))</f>
        <v/>
      </c>
      <c r="BJ23" s="1" t="str">
        <f>IF(IFERROR(VLOOKUP(CONCATENATE($D23,$E23,BJ$1),'ROLLING SCHED'!$A:$A,1,FALSE),"x")&lt;&gt;"x","x",IF(IFERROR(VLOOKUP(CONCATENATE($D23,$E23,BJ$1+7),'ROLLING SCHED'!$A:$A,1,FALSE),"y")&lt;&gt;"y","y",""))</f>
        <v/>
      </c>
      <c r="BK23" s="1" t="str">
        <f>IF(IFERROR(VLOOKUP(CONCATENATE($D23,$E23,BK$1),'ROLLING SCHED'!$A:$A,1,FALSE),"x")&lt;&gt;"x","x",IF(IFERROR(VLOOKUP(CONCATENATE($D23,$E23,BK$1+7),'ROLLING SCHED'!$A:$A,1,FALSE),"y")&lt;&gt;"y","y",""))</f>
        <v/>
      </c>
      <c r="BL23" s="1" t="str">
        <f>IF(IFERROR(VLOOKUP(CONCATENATE($D23,$E23,BL$1),'ROLLING SCHED'!$A:$A,1,FALSE),"x")&lt;&gt;"x","x",IF(IFERROR(VLOOKUP(CONCATENATE($D23,$E23,BL$1+7),'ROLLING SCHED'!$A:$A,1,FALSE),"y")&lt;&gt;"y","y",""))</f>
        <v/>
      </c>
      <c r="BM23" s="1" t="str">
        <f>IF(IFERROR(VLOOKUP(CONCATENATE($D23,$E23,BM$1),'ROLLING SCHED'!$A:$A,1,FALSE),"x")&lt;&gt;"x","x",IF(IFERROR(VLOOKUP(CONCATENATE($D23,$E23,BM$1+7),'ROLLING SCHED'!$A:$A,1,FALSE),"y")&lt;&gt;"y","y",""))</f>
        <v/>
      </c>
      <c r="BN23" s="1" t="str">
        <f>IF(IFERROR(VLOOKUP(CONCATENATE($D23,$E23,BN$1),'ROLLING SCHED'!$A:$A,1,FALSE),"x")&lt;&gt;"x","x",IF(IFERROR(VLOOKUP(CONCATENATE($D23,$E23,BN$1+7),'ROLLING SCHED'!$A:$A,1,FALSE),"y")&lt;&gt;"y","y",""))</f>
        <v/>
      </c>
      <c r="BO23" s="1" t="str">
        <f>IF(IFERROR(VLOOKUP(CONCATENATE($D23,$E23,BO$1),'ROLLING SCHED'!$A:$A,1,FALSE),"x")&lt;&gt;"x","x",IF(IFERROR(VLOOKUP(CONCATENATE($D23,$E23,BO$1+7),'ROLLING SCHED'!$A:$A,1,FALSE),"y")&lt;&gt;"y","y",""))</f>
        <v/>
      </c>
      <c r="BP23" s="1" t="str">
        <f>IF(IFERROR(VLOOKUP(CONCATENATE($D23,$E23,BP$1),'ROLLING SCHED'!$A:$A,1,FALSE),"x")&lt;&gt;"x","x",IF(IFERROR(VLOOKUP(CONCATENATE($D23,$E23,BP$1+7),'ROLLING SCHED'!$A:$A,1,FALSE),"y")&lt;&gt;"y","y",""))</f>
        <v/>
      </c>
      <c r="BQ23" s="1" t="str">
        <f>IF(IFERROR(VLOOKUP(CONCATENATE($D23,$E23,BQ$1),'ROLLING SCHED'!$A:$A,1,FALSE),"x")&lt;&gt;"x","x",IF(IFERROR(VLOOKUP(CONCATENATE($D23,$E23,BQ$1+7),'ROLLING SCHED'!$A:$A,1,FALSE),"y")&lt;&gt;"y","y",""))</f>
        <v/>
      </c>
      <c r="BR23" s="1" t="str">
        <f>IF(IFERROR(VLOOKUP(CONCATENATE($D23,$E23,BR$1),'ROLLING SCHED'!$A:$A,1,FALSE),"x")&lt;&gt;"x","x",IF(IFERROR(VLOOKUP(CONCATENATE($D23,$E23,BR$1+7),'ROLLING SCHED'!$A:$A,1,FALSE),"y")&lt;&gt;"y","y",""))</f>
        <v/>
      </c>
      <c r="BS23" s="1" t="str">
        <f>IF(IFERROR(VLOOKUP(CONCATENATE($D23,$E23,BS$1),'ROLLING SCHED'!$A:$A,1,FALSE),"x")&lt;&gt;"x","x",IF(IFERROR(VLOOKUP(CONCATENATE($D23,$E23,BS$1+7),'ROLLING SCHED'!$A:$A,1,FALSE),"y")&lt;&gt;"y","y",""))</f>
        <v/>
      </c>
      <c r="BT23" s="1" t="str">
        <f>IF(IFERROR(VLOOKUP(CONCATENATE($D23,$E23,BT$1),'ROLLING SCHED'!$A:$A,1,FALSE),"x")&lt;&gt;"x","x",IF(IFERROR(VLOOKUP(CONCATENATE($D23,$E23,BT$1+7),'ROLLING SCHED'!$A:$A,1,FALSE),"y")&lt;&gt;"y","y",""))</f>
        <v/>
      </c>
      <c r="BU23" s="1" t="str">
        <f>IF(IFERROR(VLOOKUP(CONCATENATE($D23,$E23,BU$1),'ROLLING SCHED'!$A:$A,1,FALSE),"x")&lt;&gt;"x","x",IF(IFERROR(VLOOKUP(CONCATENATE($D23,$E23,BU$1+7),'ROLLING SCHED'!$A:$A,1,FALSE),"y")&lt;&gt;"y","y",""))</f>
        <v/>
      </c>
      <c r="BV23" s="1" t="str">
        <f>IF(IFERROR(VLOOKUP(CONCATENATE($D23,$E23,BV$1),'ROLLING SCHED'!$A:$A,1,FALSE),"x")&lt;&gt;"x","x",IF(IFERROR(VLOOKUP(CONCATENATE($D23,$E23,BV$1+7),'ROLLING SCHED'!$A:$A,1,FALSE),"y")&lt;&gt;"y","y",""))</f>
        <v/>
      </c>
      <c r="BW23" s="1" t="str">
        <f>IF(IFERROR(VLOOKUP(CONCATENATE($D23,$E23,BW$1),'ROLLING SCHED'!$A:$A,1,FALSE),"x")&lt;&gt;"x","x",IF(IFERROR(VLOOKUP(CONCATENATE($D23,$E23,BW$1+7),'ROLLING SCHED'!$A:$A,1,FALSE),"y")&lt;&gt;"y","y",""))</f>
        <v/>
      </c>
      <c r="BX23" s="1" t="str">
        <f>IF(IFERROR(VLOOKUP(CONCATENATE($D23,$E23,BX$1),'ROLLING SCHED'!$A:$A,1,FALSE),"x")&lt;&gt;"x","x",IF(IFERROR(VLOOKUP(CONCATENATE($D23,$E23,BX$1+7),'ROLLING SCHED'!$A:$A,1,FALSE),"y")&lt;&gt;"y","y",""))</f>
        <v/>
      </c>
      <c r="BY23" s="1" t="str">
        <f>IF(IFERROR(VLOOKUP(CONCATENATE($D23,$E23,BY$1),'ROLLING SCHED'!$A:$A,1,FALSE),"x")&lt;&gt;"x","x",IF(IFERROR(VLOOKUP(CONCATENATE($D23,$E23,BY$1+7),'ROLLING SCHED'!$A:$A,1,FALSE),"y")&lt;&gt;"y","y",""))</f>
        <v/>
      </c>
      <c r="BZ23" s="1" t="str">
        <f>IF(IFERROR(VLOOKUP(CONCATENATE($D23,$E23,BZ$1),'ROLLING SCHED'!$A:$A,1,FALSE),"x")&lt;&gt;"x","x",IF(IFERROR(VLOOKUP(CONCATENATE($D23,$E23,BZ$1+7),'ROLLING SCHED'!$A:$A,1,FALSE),"y")&lt;&gt;"y","y",""))</f>
        <v/>
      </c>
      <c r="CA23" s="1" t="str">
        <f>IF(IFERROR(VLOOKUP(CONCATENATE($D23,$E23,CA$1),'ROLLING SCHED'!$A:$A,1,FALSE),"x")&lt;&gt;"x","x",IF(IFERROR(VLOOKUP(CONCATENATE($D23,$E23,CA$1+7),'ROLLING SCHED'!$A:$A,1,FALSE),"y")&lt;&gt;"y","y",""))</f>
        <v/>
      </c>
      <c r="CB23" s="1" t="str">
        <f>IF(IFERROR(VLOOKUP(CONCATENATE($D23,$E23,CB$1),'ROLLING SCHED'!$A:$A,1,FALSE),"x")&lt;&gt;"x","x",IF(IFERROR(VLOOKUP(CONCATENATE($D23,$E23,CB$1+7),'ROLLING SCHED'!$A:$A,1,FALSE),"y")&lt;&gt;"y","y",""))</f>
        <v/>
      </c>
      <c r="CC23" s="1" t="str">
        <f>IF(IFERROR(VLOOKUP(CONCATENATE($D23,$E23,CC$1),'ROLLING SCHED'!$A:$A,1,FALSE),"x")&lt;&gt;"x","x",IF(IFERROR(VLOOKUP(CONCATENATE($D23,$E23,CC$1+7),'ROLLING SCHED'!$A:$A,1,FALSE),"y")&lt;&gt;"y","y",""))</f>
        <v/>
      </c>
      <c r="CD23" s="1" t="str">
        <f>IF(IFERROR(VLOOKUP(CONCATENATE($D23,$E23,CD$1),'ROLLING SCHED'!$A:$A,1,FALSE),"x")&lt;&gt;"x","x",IF(IFERROR(VLOOKUP(CONCATENATE($D23,$E23,CD$1+7),'ROLLING SCHED'!$A:$A,1,FALSE),"y")&lt;&gt;"y","y",""))</f>
        <v/>
      </c>
      <c r="CE23" s="1" t="str">
        <f>IF(IFERROR(VLOOKUP(CONCATENATE($D23,$E23,CE$1),'ROLLING SCHED'!$A:$A,1,FALSE),"x")&lt;&gt;"x","x",IF(IFERROR(VLOOKUP(CONCATENATE($D23,$E23,CE$1+7),'ROLLING SCHED'!$A:$A,1,FALSE),"y")&lt;&gt;"y","y",""))</f>
        <v/>
      </c>
      <c r="CF23" s="1" t="str">
        <f>IF(IFERROR(VLOOKUP(CONCATENATE($D23,$E23,CF$1),'ROLLING SCHED'!$A:$A,1,FALSE),"x")&lt;&gt;"x","x",IF(IFERROR(VLOOKUP(CONCATENATE($D23,$E23,CF$1+7),'ROLLING SCHED'!$A:$A,1,FALSE),"y")&lt;&gt;"y","y",""))</f>
        <v/>
      </c>
      <c r="CG23" s="1" t="str">
        <f>IF(IFERROR(VLOOKUP(CONCATENATE($D23,$E23,CG$1),'ROLLING SCHED'!$A:$A,1,FALSE),"x")&lt;&gt;"x","x",IF(IFERROR(VLOOKUP(CONCATENATE($D23,$E23,CG$1+7),'ROLLING SCHED'!$A:$A,1,FALSE),"y")&lt;&gt;"y","y",""))</f>
        <v/>
      </c>
      <c r="CH23" s="1" t="str">
        <f>IF(IFERROR(VLOOKUP(CONCATENATE($D23,$E23,CH$1),'ROLLING SCHED'!$A:$A,1,FALSE),"x")&lt;&gt;"x","x",IF(IFERROR(VLOOKUP(CONCATENATE($D23,$E23,CH$1+7),'ROLLING SCHED'!$A:$A,1,FALSE),"y")&lt;&gt;"y","y",""))</f>
        <v/>
      </c>
      <c r="CI23" s="1" t="str">
        <f>IF(IFERROR(VLOOKUP(CONCATENATE($D23,$E23,CI$1),'ROLLING SCHED'!$A:$A,1,FALSE),"x")&lt;&gt;"x","x",IF(IFERROR(VLOOKUP(CONCATENATE($D23,$E23,CI$1+7),'ROLLING SCHED'!$A:$A,1,FALSE),"y")&lt;&gt;"y","y",""))</f>
        <v/>
      </c>
      <c r="CJ23" s="1" t="str">
        <f>IF(IFERROR(VLOOKUP(CONCATENATE($D23,$E23,CJ$1),'ROLLING SCHED'!$A:$A,1,FALSE),"x")&lt;&gt;"x","x",IF(IFERROR(VLOOKUP(CONCATENATE($D23,$E23,CJ$1+7),'ROLLING SCHED'!$A:$A,1,FALSE),"y")&lt;&gt;"y","y",""))</f>
        <v/>
      </c>
      <c r="CK23" s="1" t="str">
        <f>IF(IFERROR(VLOOKUP(CONCATENATE($D23,$E23,CK$1),'ROLLING SCHED'!$A:$A,1,FALSE),"x")&lt;&gt;"x","x",IF(IFERROR(VLOOKUP(CONCATENATE($D23,$E23,CK$1+7),'ROLLING SCHED'!$A:$A,1,FALSE),"y")&lt;&gt;"y","y",""))</f>
        <v/>
      </c>
      <c r="CL23" s="1" t="str">
        <f>IF(IFERROR(VLOOKUP(CONCATENATE($D23,$E23,CL$1),'ROLLING SCHED'!$A:$A,1,FALSE),"x")&lt;&gt;"x","x",IF(IFERROR(VLOOKUP(CONCATENATE($D23,$E23,CL$1+7),'ROLLING SCHED'!$A:$A,1,FALSE),"y")&lt;&gt;"y","y",""))</f>
        <v/>
      </c>
      <c r="CM23" s="1" t="str">
        <f>IF(IFERROR(VLOOKUP(CONCATENATE($D23,$E23,CM$1),'ROLLING SCHED'!$A:$A,1,FALSE),"x")&lt;&gt;"x","x",IF(IFERROR(VLOOKUP(CONCATENATE($D23,$E23,CM$1+7),'ROLLING SCHED'!$A:$A,1,FALSE),"y")&lt;&gt;"y","y",""))</f>
        <v/>
      </c>
      <c r="CN23" s="1" t="str">
        <f>IF(IFERROR(VLOOKUP(CONCATENATE($D23,$E23,CN$1),'ROLLING SCHED'!$A:$A,1,FALSE),"x")&lt;&gt;"x","x",IF(IFERROR(VLOOKUP(CONCATENATE($D23,$E23,CN$1+7),'ROLLING SCHED'!$A:$A,1,FALSE),"y")&lt;&gt;"y","y",""))</f>
        <v/>
      </c>
      <c r="CO23" s="1" t="str">
        <f>IF(IFERROR(VLOOKUP(CONCATENATE($D23,$E23,CO$1),'ROLLING SCHED'!$A:$A,1,FALSE),"x")&lt;&gt;"x","x",IF(IFERROR(VLOOKUP(CONCATENATE($D23,$E23,CO$1+7),'ROLLING SCHED'!$A:$A,1,FALSE),"y")&lt;&gt;"y","y",""))</f>
        <v/>
      </c>
      <c r="CP23" s="1" t="str">
        <f>IF(IFERROR(VLOOKUP(CONCATENATE($D23,$E23,CP$1),'ROLLING SCHED'!$A:$A,1,FALSE),"x")&lt;&gt;"x","x",IF(IFERROR(VLOOKUP(CONCATENATE($D23,$E23,CP$1+7),'ROLLING SCHED'!$A:$A,1,FALSE),"y")&lt;&gt;"y","y",""))</f>
        <v/>
      </c>
      <c r="CQ23" s="1" t="str">
        <f>IF(IFERROR(VLOOKUP(CONCATENATE($D23,$E23,CQ$1),'ROLLING SCHED'!$A:$A,1,FALSE),"x")&lt;&gt;"x","x",IF(IFERROR(VLOOKUP(CONCATENATE($D23,$E23,CQ$1+7),'ROLLING SCHED'!$A:$A,1,FALSE),"y")&lt;&gt;"y","y",""))</f>
        <v/>
      </c>
      <c r="CR23" s="1" t="str">
        <f>IF(IFERROR(VLOOKUP(CONCATENATE($D23,$E23,CR$1),'ROLLING SCHED'!$A:$A,1,FALSE),"x")&lt;&gt;"x","x",IF(IFERROR(VLOOKUP(CONCATENATE($D23,$E23,CR$1+7),'ROLLING SCHED'!$A:$A,1,FALSE),"y")&lt;&gt;"y","y",""))</f>
        <v/>
      </c>
      <c r="CS23" s="1" t="str">
        <f>IF(IFERROR(VLOOKUP(CONCATENATE($D23,$E23,CS$1),'ROLLING SCHED'!$A:$A,1,FALSE),"x")&lt;&gt;"x","x",IF(IFERROR(VLOOKUP(CONCATENATE($D23,$E23,CS$1+7),'ROLLING SCHED'!$A:$A,1,FALSE),"y")&lt;&gt;"y","y",""))</f>
        <v/>
      </c>
      <c r="CT23" s="1" t="str">
        <f>IF(IFERROR(VLOOKUP(CONCATENATE($D23,$E23,CT$1),'ROLLING SCHED'!$A:$A,1,FALSE),"x")&lt;&gt;"x","x",IF(IFERROR(VLOOKUP(CONCATENATE($D23,$E23,CT$1+7),'ROLLING SCHED'!$A:$A,1,FALSE),"y")&lt;&gt;"y","y",""))</f>
        <v/>
      </c>
      <c r="CU23" s="1" t="str">
        <f>IF(IFERROR(VLOOKUP(CONCATENATE($D23,$E23,CU$1),'ROLLING SCHED'!$A:$A,1,FALSE),"x")&lt;&gt;"x","x",IF(IFERROR(VLOOKUP(CONCATENATE($D23,$E23,CU$1+7),'ROLLING SCHED'!$A:$A,1,FALSE),"y")&lt;&gt;"y","y",""))</f>
        <v/>
      </c>
      <c r="CV23" s="1" t="str">
        <f>IF(IFERROR(VLOOKUP(CONCATENATE($D23,$E23,CV$1),'ROLLING SCHED'!$A:$A,1,FALSE),"x")&lt;&gt;"x","x",IF(IFERROR(VLOOKUP(CONCATENATE($D23,$E23,CV$1+7),'ROLLING SCHED'!$A:$A,1,FALSE),"y")&lt;&gt;"y","y",""))</f>
        <v/>
      </c>
      <c r="CW23" s="1" t="str">
        <f>IF(IFERROR(VLOOKUP(CONCATENATE($D23,$E23,CW$1),'ROLLING SCHED'!$A:$A,1,FALSE),"x")&lt;&gt;"x","x",IF(IFERROR(VLOOKUP(CONCATENATE($D23,$E23,CW$1+7),'ROLLING SCHED'!$A:$A,1,FALSE),"y")&lt;&gt;"y","y",""))</f>
        <v/>
      </c>
      <c r="CX23" s="1" t="str">
        <f>IF(IFERROR(VLOOKUP(CONCATENATE($D23,$E23,CX$1),'ROLLING SCHED'!$A:$A,1,FALSE),"x")&lt;&gt;"x","x",IF(IFERROR(VLOOKUP(CONCATENATE($D23,$E23,CX$1+7),'ROLLING SCHED'!$A:$A,1,FALSE),"y")&lt;&gt;"y","y",""))</f>
        <v/>
      </c>
      <c r="CY23" s="1" t="str">
        <f>IF(IFERROR(VLOOKUP(CONCATENATE($D23,$E23,CY$1),'ROLLING SCHED'!$A:$A,1,FALSE),"x")&lt;&gt;"x","x",IF(IFERROR(VLOOKUP(CONCATENATE($D23,$E23,CY$1+7),'ROLLING SCHED'!$A:$A,1,FALSE),"y")&lt;&gt;"y","y",""))</f>
        <v/>
      </c>
      <c r="CZ23" s="1" t="str">
        <f>IF(IFERROR(VLOOKUP(CONCATENATE($D23,$E23,CZ$1),'ROLLING SCHED'!$A:$A,1,FALSE),"x")&lt;&gt;"x","x",IF(IFERROR(VLOOKUP(CONCATENATE($D23,$E23,CZ$1+7),'ROLLING SCHED'!$A:$A,1,FALSE),"y")&lt;&gt;"y","y",""))</f>
        <v/>
      </c>
      <c r="DA23" s="1" t="str">
        <f>IF(IFERROR(VLOOKUP(CONCATENATE($D23,$E23,DA$1),'ROLLING SCHED'!$A:$A,1,FALSE),"x")&lt;&gt;"x","x",IF(IFERROR(VLOOKUP(CONCATENATE($D23,$E23,DA$1+7),'ROLLING SCHED'!$A:$A,1,FALSE),"y")&lt;&gt;"y","y",""))</f>
        <v/>
      </c>
      <c r="DB23" s="1" t="str">
        <f>IF(IFERROR(VLOOKUP(CONCATENATE($D23,$E23,DB$1),'ROLLING SCHED'!$A:$A,1,FALSE),"x")&lt;&gt;"x","x",IF(IFERROR(VLOOKUP(CONCATENATE($D23,$E23,DB$1+7),'ROLLING SCHED'!$A:$A,1,FALSE),"y")&lt;&gt;"y","y",""))</f>
        <v/>
      </c>
      <c r="DC23" s="1" t="str">
        <f>IF(IFERROR(VLOOKUP(CONCATENATE($D23,$E23,DC$1),'ROLLING SCHED'!$A:$A,1,FALSE),"x")&lt;&gt;"x","x",IF(IFERROR(VLOOKUP(CONCATENATE($D23,$E23,DC$1+7),'ROLLING SCHED'!$A:$A,1,FALSE),"y")&lt;&gt;"y","y",""))</f>
        <v/>
      </c>
      <c r="DD23" s="1" t="str">
        <f>IF(IFERROR(VLOOKUP(CONCATENATE($D23,$E23,DD$1),'ROLLING SCHED'!$A:$A,1,FALSE),"x")&lt;&gt;"x","x",IF(IFERROR(VLOOKUP(CONCATENATE($D23,$E23,DD$1+7),'ROLLING SCHED'!$A:$A,1,FALSE),"y")&lt;&gt;"y","y",""))</f>
        <v/>
      </c>
      <c r="DE23" s="1" t="str">
        <f>IF(IFERROR(VLOOKUP(CONCATENATE($D23,$E23,DE$1),'ROLLING SCHED'!$A:$A,1,FALSE),"x")&lt;&gt;"x","x",IF(IFERROR(VLOOKUP(CONCATENATE($D23,$E23,DE$1+7),'ROLLING SCHED'!$A:$A,1,FALSE),"y")&lt;&gt;"y","y",""))</f>
        <v/>
      </c>
      <c r="DF23" s="1" t="str">
        <f>IF(IFERROR(VLOOKUP(CONCATENATE($D23,$E23,DF$1),'ROLLING SCHED'!$A:$A,1,FALSE),"x")&lt;&gt;"x","x",IF(IFERROR(VLOOKUP(CONCATENATE($D23,$E23,DF$1+7),'ROLLING SCHED'!$A:$A,1,FALSE),"y")&lt;&gt;"y","y",""))</f>
        <v/>
      </c>
      <c r="DG23" s="1" t="str">
        <f>IF(IFERROR(VLOOKUP(CONCATENATE($D23,$E23,DG$1),'ROLLING SCHED'!$A:$A,1,FALSE),"x")&lt;&gt;"x","x",IF(IFERROR(VLOOKUP(CONCATENATE($D23,$E23,DG$1+7),'ROLLING SCHED'!$A:$A,1,FALSE),"y")&lt;&gt;"y","y",""))</f>
        <v/>
      </c>
      <c r="DH23" s="1" t="str">
        <f>IF(IFERROR(VLOOKUP(CONCATENATE($D23,$E23,DH$1),'ROLLING SCHED'!$A:$A,1,FALSE),"x")&lt;&gt;"x","x",IF(IFERROR(VLOOKUP(CONCATENATE($D23,$E23,DH$1+7),'ROLLING SCHED'!$A:$A,1,FALSE),"y")&lt;&gt;"y","y",""))</f>
        <v/>
      </c>
      <c r="DI23" s="1" t="str">
        <f>IF(IFERROR(VLOOKUP(CONCATENATE($D23,$E23,DI$1),'ROLLING SCHED'!$A:$A,1,FALSE),"x")&lt;&gt;"x","x",IF(IFERROR(VLOOKUP(CONCATENATE($D23,$E23,DI$1+7),'ROLLING SCHED'!$A:$A,1,FALSE),"y")&lt;&gt;"y","y",""))</f>
        <v/>
      </c>
      <c r="DJ23" s="1" t="str">
        <f>IF(IFERROR(VLOOKUP(CONCATENATE($D23,$E23,DJ$1),'ROLLING SCHED'!$A:$A,1,FALSE),"x")&lt;&gt;"x","x",IF(IFERROR(VLOOKUP(CONCATENATE($D23,$E23,DJ$1+7),'ROLLING SCHED'!$A:$A,1,FALSE),"y")&lt;&gt;"y","y",""))</f>
        <v/>
      </c>
      <c r="DK23" s="1" t="str">
        <f>IF(IFERROR(VLOOKUP(CONCATENATE($D23,$E23,DK$1),'ROLLING SCHED'!$A:$A,1,FALSE),"x")&lt;&gt;"x","x",IF(IFERROR(VLOOKUP(CONCATENATE($D23,$E23,DK$1+7),'ROLLING SCHED'!$A:$A,1,FALSE),"y")&lt;&gt;"y","y",""))</f>
        <v/>
      </c>
      <c r="DL23" s="1" t="str">
        <f>IF(IFERROR(VLOOKUP(CONCATENATE($D23,$E23,DL$1),'ROLLING SCHED'!$A:$A,1,FALSE),"x")&lt;&gt;"x","x",IF(IFERROR(VLOOKUP(CONCATENATE($D23,$E23,DL$1+7),'ROLLING SCHED'!$A:$A,1,FALSE),"y")&lt;&gt;"y","y",""))</f>
        <v/>
      </c>
      <c r="DM23" s="1" t="str">
        <f>IF(IFERROR(VLOOKUP(CONCATENATE($D23,$E23,DM$1),'ROLLING SCHED'!$A:$A,1,FALSE),"x")&lt;&gt;"x","x",IF(IFERROR(VLOOKUP(CONCATENATE($D23,$E23,DM$1+7),'ROLLING SCHED'!$A:$A,1,FALSE),"y")&lt;&gt;"y","y",""))</f>
        <v/>
      </c>
      <c r="DN23" s="1" t="str">
        <f>IF(IFERROR(VLOOKUP(CONCATENATE($D23,$E23,DN$1),'ROLLING SCHED'!$A:$A,1,FALSE),"x")&lt;&gt;"x","x",IF(IFERROR(VLOOKUP(CONCATENATE($D23,$E23,DN$1+7),'ROLLING SCHED'!$A:$A,1,FALSE),"y")&lt;&gt;"y","y",""))</f>
        <v/>
      </c>
      <c r="DO23" s="1" t="str">
        <f>IF(IFERROR(VLOOKUP(CONCATENATE($D23,$E23,DO$1),'ROLLING SCHED'!$A:$A,1,FALSE),"x")&lt;&gt;"x","x",IF(IFERROR(VLOOKUP(CONCATENATE($D23,$E23,DO$1+7),'ROLLING SCHED'!$A:$A,1,FALSE),"y")&lt;&gt;"y","y",""))</f>
        <v/>
      </c>
      <c r="DP23" s="1" t="str">
        <f>IF(IFERROR(VLOOKUP(CONCATENATE($D23,$E23,DP$1),'ROLLING SCHED'!$A:$A,1,FALSE),"x")&lt;&gt;"x","x",IF(IFERROR(VLOOKUP(CONCATENATE($D23,$E23,DP$1+7),'ROLLING SCHED'!$A:$A,1,FALSE),"y")&lt;&gt;"y","y",""))</f>
        <v/>
      </c>
      <c r="DQ23" s="1" t="str">
        <f>IF(IFERROR(VLOOKUP(CONCATENATE($D23,$E23,DQ$1),'ROLLING SCHED'!$A:$A,1,FALSE),"x")&lt;&gt;"x","x",IF(IFERROR(VLOOKUP(CONCATENATE($D23,$E23,DQ$1+7),'ROLLING SCHED'!$A:$A,1,FALSE),"y")&lt;&gt;"y","y",""))</f>
        <v/>
      </c>
      <c r="DR23" s="1" t="str">
        <f>IF(IFERROR(VLOOKUP(CONCATENATE($D23,$E23,DR$1),'ROLLING SCHED'!$A:$A,1,FALSE),"x")&lt;&gt;"x","x",IF(IFERROR(VLOOKUP(CONCATENATE($D23,$E23,DR$1+7),'ROLLING SCHED'!$A:$A,1,FALSE),"y")&lt;&gt;"y","y",""))</f>
        <v/>
      </c>
      <c r="DS23" s="1" t="str">
        <f>IF(IFERROR(VLOOKUP(CONCATENATE($D23,$E23,DS$1),'ROLLING SCHED'!$A:$A,1,FALSE),"x")&lt;&gt;"x","x",IF(IFERROR(VLOOKUP(CONCATENATE($D23,$E23,DS$1+7),'ROLLING SCHED'!$A:$A,1,FALSE),"y")&lt;&gt;"y","y",""))</f>
        <v/>
      </c>
      <c r="DT23" s="1" t="str">
        <f>IF(IFERROR(VLOOKUP(CONCATENATE($D23,$E23,DT$1),'ROLLING SCHED'!$A:$A,1,FALSE),"x")&lt;&gt;"x","x",IF(IFERROR(VLOOKUP(CONCATENATE($D23,$E23,DT$1+7),'ROLLING SCHED'!$A:$A,1,FALSE),"y")&lt;&gt;"y","y",""))</f>
        <v/>
      </c>
      <c r="DU23" s="1" t="str">
        <f>IF(IFERROR(VLOOKUP(CONCATENATE($D23,$E23,DU$1),'ROLLING SCHED'!$A:$A,1,FALSE),"x")&lt;&gt;"x","x",IF(IFERROR(VLOOKUP(CONCATENATE($D23,$E23,DU$1+7),'ROLLING SCHED'!$A:$A,1,FALSE),"y")&lt;&gt;"y","y",""))</f>
        <v/>
      </c>
      <c r="DV23" s="1" t="str">
        <f>IF(IFERROR(VLOOKUP(CONCATENATE($D23,$E23,DV$1),'ROLLING SCHED'!$A:$A,1,FALSE),"x")&lt;&gt;"x","x",IF(IFERROR(VLOOKUP(CONCATENATE($D23,$E23,DV$1+7),'ROLLING SCHED'!$A:$A,1,FALSE),"y")&lt;&gt;"y","y",""))</f>
        <v/>
      </c>
      <c r="DW23" s="1" t="str">
        <f>IF(IFERROR(VLOOKUP(CONCATENATE($D23,$E23,DW$1),'ROLLING SCHED'!$A:$A,1,FALSE),"x")&lt;&gt;"x","x",IF(IFERROR(VLOOKUP(CONCATENATE($D23,$E23,DW$1+7),'ROLLING SCHED'!$A:$A,1,FALSE),"y")&lt;&gt;"y","y",""))</f>
        <v/>
      </c>
    </row>
    <row r="24" spans="1:127" outlineLevel="1" x14ac:dyDescent="0.3">
      <c r="A24" s="96" t="str">
        <f t="shared" si="313"/>
        <v>106029036Production Calculation</v>
      </c>
      <c r="B24" s="20">
        <f t="shared" si="67"/>
        <v>106029036</v>
      </c>
      <c r="C24" s="20" t="str">
        <f t="shared" si="68"/>
        <v>L 2X2X.145 A529-50 50'00"</v>
      </c>
      <c r="D24" s="20">
        <f t="shared" si="69"/>
        <v>1334</v>
      </c>
      <c r="E24" s="20" t="str">
        <f t="shared" si="70"/>
        <v>2" ANG</v>
      </c>
      <c r="F24" s="4" t="s">
        <v>207</v>
      </c>
      <c r="H24" s="1">
        <f>MAX(IFERROR(IF(H23="x",HLOOKUP("y",I23:$DW28,5,FALSE),0)+IF(H23="x",HLOOKUP("y",I23:$DW28,6,FALSE)*-1-IF(H23="x",SUM(G24:$H24),0),0),0),0)</f>
        <v>0</v>
      </c>
      <c r="I24" s="1">
        <f>MAX(IFERROR(IF(I23="x",HLOOKUP("y",J23:$DW28,5,FALSE),0)+IF(I23="x",HLOOKUP("y",J23:$DW28,6,FALSE)*-1-IF(I23="x",SUM(H24:$H24),0),0),0),0)</f>
        <v>0</v>
      </c>
      <c r="J24" s="1">
        <f>MAX(IFERROR(IF(J23="x",HLOOKUP("y",K23:$DW28,5,FALSE),0)+IF(J23="x",HLOOKUP("y",K23:$DW28,6,FALSE)*-1-IF(J23="x",SUM($H24:I24),0),0),0),0)</f>
        <v>0</v>
      </c>
      <c r="K24" s="112">
        <f>MAX(IFERROR(IF(K23="x",HLOOKUP("y",L23:$DW28,5,FALSE),0)+IF(K23="x",HLOOKUP("y",L23:$DW28,6,FALSE)*-1-IF(K23="x",SUM($H24:J24),0),0),0),0)</f>
        <v>0</v>
      </c>
      <c r="L24" s="112">
        <f>MAX(IFERROR(IF(L23="x",HLOOKUP("y",M23:$DW28,5,FALSE),0)+IF(L23="x",HLOOKUP("y",M23:$DW28,6,FALSE)*-1-IF(L23="x",SUM($H24:K24),0),0),0),0)</f>
        <v>0</v>
      </c>
      <c r="M24" s="112">
        <f>MAX(IFERROR(IF(M23="x",HLOOKUP("y",N23:$DW28,5,FALSE),0)+IF(M23="x",HLOOKUP("y",N23:$DW28,6,FALSE)*-1-IF(M23="x",SUM($H24:L24),0),0),0),0)</f>
        <v>8.5265128291212022E-14</v>
      </c>
      <c r="N24" s="112">
        <f>MAX(IFERROR(IF(N23="x",HLOOKUP("y",O23:$DW28,5,FALSE),0)+IF(N23="x",HLOOKUP("y",O23:$DW28,6,FALSE)*-1-IF(N23="x",SUM($H24:M24),0),0),0),0)</f>
        <v>0</v>
      </c>
      <c r="O24" s="112">
        <f>MAX(IFERROR(IF(O23="x",HLOOKUP("y",P23:$DW28,5,FALSE),0)+IF(O23="x",HLOOKUP("y",P23:$DW28,6,FALSE)*-1-IF(O23="x",SUM($H24:N24),0),0),0),0)</f>
        <v>0</v>
      </c>
      <c r="P24" s="112">
        <f>MAX(IFERROR(IF(P23="x",HLOOKUP("y",Q23:$DW28,5,FALSE),0)+IF(P23="x",HLOOKUP("y",Q23:$DW28,6,FALSE)*-1-IF(P23="x",SUM($H24:O24),0),0),0),0)</f>
        <v>0</v>
      </c>
      <c r="Q24" s="112">
        <f>MAX(IFERROR(IF(Q23="x",HLOOKUP("y",R23:$DW28,5,FALSE),0)+IF(Q23="x",HLOOKUP("y",R23:$DW28,6,FALSE)*-1-IF(Q23="x",SUM($H24:P24),0),0),0),0)</f>
        <v>0</v>
      </c>
      <c r="R24" s="112">
        <f>MAX(IFERROR(IF(R23="x",HLOOKUP("y",S23:$DW28,5,FALSE),0)+IF(R23="x",HLOOKUP("y",S23:$DW28,6,FALSE)*-1-IF(R23="x",SUM($H24:Q24),0),0),0),0)</f>
        <v>0</v>
      </c>
      <c r="S24" s="9">
        <f>MAX(IFERROR(IF(S23="x",HLOOKUP("y",T23:$DW28,5,FALSE),0)+IF(S23="x",HLOOKUP("y",T23:$DW28,6,FALSE)*-1-IF(S23="x",SUM($H24:R24),0),0),0),0)</f>
        <v>0</v>
      </c>
      <c r="T24" s="9">
        <f>MAX(IFERROR(IF(T23="x",HLOOKUP("y",U23:$DW28,5,FALSE),0)+IF(T23="x",HLOOKUP("y",U23:$DW28,6,FALSE)*-1-IF(T23="x",SUM($H24:S24),0),0),0),0)</f>
        <v>0</v>
      </c>
      <c r="U24" s="9">
        <f>MAX(IFERROR(IF(U23="x",HLOOKUP("y",V23:$DW28,5,FALSE),0)+IF(U23="x",HLOOKUP("y",V23:$DW28,6,FALSE)*-1-IF(U23="x",SUM($H24:T24),0),0),0),0)</f>
        <v>0</v>
      </c>
      <c r="V24" s="9">
        <f>MAX(IFERROR(IF(V23="x",HLOOKUP("y",W23:$DW28,5,FALSE),0)+IF(V23="x",HLOOKUP("y",W23:$DW28,6,FALSE)*-1-IF(V23="x",SUM($H24:U24),0),0),0),0)</f>
        <v>0</v>
      </c>
      <c r="W24" s="9">
        <f>MAX(IFERROR(IF(W23="x",HLOOKUP("y",X23:$DW28,5,FALSE),0)+IF(W23="x",HLOOKUP("y",X23:$DW28,6,FALSE)*-1-IF(W23="x",SUM($H24:V24),0),0),0),0)</f>
        <v>7.1054273576010019E-14</v>
      </c>
      <c r="X24" s="9">
        <f>MAX(IFERROR(IF(X23="x",HLOOKUP("y",Y23:$DW28,5,FALSE),0)+IF(X23="x",HLOOKUP("y",Y23:$DW28,6,FALSE)*-1-IF(X23="x",SUM($H24:W24),0),0),0),0)</f>
        <v>0</v>
      </c>
      <c r="Y24" s="9">
        <f>MAX(IFERROR(IF(Y23="x",HLOOKUP("y",Z23:$DW28,5,FALSE),0)+IF(Y23="x",HLOOKUP("y",Z23:$DW28,6,FALSE)*-1-IF(Y23="x",SUM($H24:X24),0),0),0),0)</f>
        <v>0</v>
      </c>
      <c r="Z24" s="9">
        <f>MAX(IFERROR(IF(Z23="x",HLOOKUP("y",AA23:$DW28,5,FALSE),0)+IF(Z23="x",HLOOKUP("y",AA23:$DW28,6,FALSE)*-1-IF(Z23="x",SUM($H24:Y24),0),0),0),0)</f>
        <v>0</v>
      </c>
      <c r="AA24" s="9">
        <f>MAX(IFERROR(IF(AA23="x",HLOOKUP("y",AB23:$DW28,5,FALSE),0)+IF(AA23="x",HLOOKUP("y",AB23:$DW28,6,FALSE)*-1-IF(AA23="x",SUM($H24:Z24),0),0),0),0)</f>
        <v>0</v>
      </c>
      <c r="AB24" s="1">
        <f>MAX(IFERROR(IF(AB23="x",HLOOKUP("y",AC23:$DW28,5,FALSE),0)+IF(AB23="x",HLOOKUP("y",AC23:$DW28,6,FALSE)*-1-IF(AB23="x",SUM($H24:AA24),0),0),0),0)</f>
        <v>0</v>
      </c>
      <c r="AC24" s="1">
        <f>MAX(IFERROR(IF(AC23="x",HLOOKUP("y",AD23:$DW28,5,FALSE),0)+IF(AC23="x",HLOOKUP("y",AD23:$DW28,6,FALSE)*-1-IF(AC23="x",SUM($H24:AB24),0),0),0),0)</f>
        <v>0</v>
      </c>
      <c r="AD24" s="1">
        <f>MAX(IFERROR(IF(AD23="x",HLOOKUP("y",AE23:$DW28,5,FALSE),0)+IF(AD23="x",HLOOKUP("y",AE23:$DW28,6,FALSE)*-1-IF(AD23="x",SUM($H24:AC24),0),0),0),0)</f>
        <v>0</v>
      </c>
      <c r="AE24" s="1">
        <f>MAX(IFERROR(IF(AE23="x",HLOOKUP("y",AF23:$DW28,5,FALSE),0)+IF(AE23="x",HLOOKUP("y",AF23:$DW28,6,FALSE)*-1-IF(AE23="x",SUM($H24:AD24),0),0),0),0)</f>
        <v>0</v>
      </c>
      <c r="AF24" s="1">
        <f>MAX(IFERROR(IF(AF23="x",HLOOKUP("y",AG23:$DW28,5,FALSE),0)+IF(AF23="x",HLOOKUP("y",AG23:$DW28,6,FALSE)*-1-IF(AF23="x",SUM($H24:AE24),0),0),0),0)</f>
        <v>1.1368683772161603E-13</v>
      </c>
      <c r="AG24" s="1">
        <f>MAX(IFERROR(IF(AG23="x",HLOOKUP("y",AH23:$DW28,5,FALSE),0)+IF(AG23="x",HLOOKUP("y",AH23:$DW28,6,FALSE)*-1-IF(AG23="x",SUM($H24:AF24),0),0),0),0)</f>
        <v>0</v>
      </c>
      <c r="AH24" s="1">
        <f>MAX(IFERROR(IF(AH23="x",HLOOKUP("y",AI23:$DW28,5,FALSE),0)+IF(AH23="x",HLOOKUP("y",AI23:$DW28,6,FALSE)*-1-IF(AH23="x",SUM($H24:AG24),0),0),0),0)</f>
        <v>0</v>
      </c>
      <c r="AI24" s="1">
        <f>MAX(IFERROR(IF(AI23="x",HLOOKUP("y",AJ23:$DW28,5,FALSE),0)+IF(AI23="x",HLOOKUP("y",AJ23:$DW28,6,FALSE)*-1-IF(AI23="x",SUM($H24:AH24),0),0),0),0)</f>
        <v>0</v>
      </c>
      <c r="AJ24" s="1">
        <f>MAX(IFERROR(IF(AJ23="x",HLOOKUP("y",AK23:$DW28,5,FALSE),0)+IF(AJ23="x",HLOOKUP("y",AK23:$DW28,6,FALSE)*-1-IF(AJ23="x",SUM($H24:AI24),0),0),0),0)</f>
        <v>0</v>
      </c>
      <c r="AK24" s="1">
        <f>MAX(IFERROR(IF(AK23="x",HLOOKUP("y",AL23:$DW28,5,FALSE),0)+IF(AK23="x",HLOOKUP("y",AL23:$DW28,6,FALSE)*-1-IF(AK23="x",SUM($H24:AJ24),0),0),0),0)</f>
        <v>0</v>
      </c>
      <c r="AL24" s="1">
        <f>MAX(IFERROR(IF(AL23="x",HLOOKUP("y",AM23:$DW28,5,FALSE),0)+IF(AL23="x",HLOOKUP("y",AM23:$DW28,6,FALSE)*-1-IF(AL23="x",SUM($H24:AK24),0),0),0),0)</f>
        <v>0</v>
      </c>
      <c r="AM24" s="1">
        <f>MAX(IFERROR(IF(AM23="x",HLOOKUP("y",AN23:$DW28,5,FALSE),0)+IF(AM23="x",HLOOKUP("y",AN23:$DW28,6,FALSE)*-1-IF(AM23="x",SUM($H24:AL24),0),0),0),0)</f>
        <v>0</v>
      </c>
      <c r="AN24" s="1">
        <f>MAX(IFERROR(IF(AN23="x",HLOOKUP("y",AO23:$DW28,5,FALSE),0)+IF(AN23="x",HLOOKUP("y",AO23:$DW28,6,FALSE)*-1-IF(AN23="x",SUM($H24:AM24),0),0),0),0)</f>
        <v>1.2789769243681803E-13</v>
      </c>
      <c r="AO24" s="1">
        <f>MAX(IFERROR(IF(AO23="x",HLOOKUP("y",AP23:$DW28,5,FALSE),0)+IF(AO23="x",HLOOKUP("y",AP23:$DW28,6,FALSE)*-1-IF(AO23="x",SUM($H24:AN24),0),0),0),0)</f>
        <v>0</v>
      </c>
      <c r="AP24" s="1">
        <f>MAX(IFERROR(IF(AP23="x",HLOOKUP("y",AQ23:$DW28,5,FALSE),0)+IF(AP23="x",HLOOKUP("y",AQ23:$DW28,6,FALSE)*-1-IF(AP23="x",SUM($H24:AO24),0),0),0),0)</f>
        <v>0</v>
      </c>
      <c r="AQ24" s="1">
        <f>MAX(IFERROR(IF(AQ23="x",HLOOKUP("y",AR23:$DW28,5,FALSE),0)+IF(AQ23="x",HLOOKUP("y",AR23:$DW28,6,FALSE)*-1-IF(AQ23="x",SUM($H24:AP24),0),0),0),0)</f>
        <v>0</v>
      </c>
      <c r="AR24" s="1">
        <f>MAX(IFERROR(IF(AR23="x",HLOOKUP("y",AS23:$DW28,5,FALSE),0)+IF(AR23="x",HLOOKUP("y",AS23:$DW28,6,FALSE)*-1-IF(AR23="x",SUM($H24:AQ24),0),0),0),0)</f>
        <v>0</v>
      </c>
      <c r="AS24" s="1">
        <f>MAX(IFERROR(IF(AS23="x",HLOOKUP("y",AT23:$DW28,5,FALSE),0)+IF(AS23="x",HLOOKUP("y",AT23:$DW28,6,FALSE)*-1-IF(AS23="x",SUM($H24:AR24),0),0),0),0)</f>
        <v>0</v>
      </c>
      <c r="AT24" s="1">
        <f>MAX(IFERROR(IF(AT23="x",HLOOKUP("y",AU23:$DW28,5,FALSE),0)+IF(AT23="x",HLOOKUP("y",AU23:$DW28,6,FALSE)*-1-IF(AT23="x",SUM($H24:AS24),0),0),0),0)</f>
        <v>0</v>
      </c>
      <c r="AU24" s="1">
        <f>MAX(IFERROR(IF(AU23="x",HLOOKUP("y",AV23:$DW28,5,FALSE),0)+IF(AU23="x",HLOOKUP("y",AV23:$DW28,6,FALSE)*-1-IF(AU23="x",SUM($H24:AT24),0),0),0),0)</f>
        <v>0</v>
      </c>
      <c r="AV24" s="1">
        <f>MAX(IFERROR(IF(AV23="x",HLOOKUP("y",AW23:$DW28,5,FALSE),0)+IF(AV23="x",HLOOKUP("y",AW23:$DW28,6,FALSE)*-1-IF(AV23="x",SUM($H24:AU24),0),0),0),0)</f>
        <v>0</v>
      </c>
      <c r="AW24" s="1">
        <f>MAX(IFERROR(IF(AW23="x",HLOOKUP("y",AX23:$DW28,5,FALSE),0)+IF(AW23="x",HLOOKUP("y",AX23:$DW28,6,FALSE)*-1-IF(AW23="x",SUM($H24:AV24),0),0),0),0)</f>
        <v>0</v>
      </c>
      <c r="AX24" s="1">
        <f>MAX(IFERROR(IF(AX23="x",HLOOKUP("y",AY23:$DW28,5,FALSE),0)+IF(AX23="x",HLOOKUP("y",AY23:$DW28,6,FALSE)*-1-IF(AX23="x",SUM($H24:AW24),0),0),0),0)</f>
        <v>0</v>
      </c>
      <c r="AY24" s="1">
        <f>MAX(IFERROR(IF(AY23="x",HLOOKUP("y",AZ23:$DW28,5,FALSE),0)+IF(AY23="x",HLOOKUP("y",AZ23:$DW28,6,FALSE)*-1-IF(AY23="x",SUM($H24:AX24),0),0),0),0)</f>
        <v>0</v>
      </c>
      <c r="AZ24" s="1">
        <f>MAX(IFERROR(IF(AZ23="x",HLOOKUP("y",BA23:$DW28,5,FALSE),0)+IF(AZ23="x",HLOOKUP("y",BA23:$DW28,6,FALSE)*-1-IF(AZ23="x",SUM($H24:AY24),0),0),0),0)</f>
        <v>0</v>
      </c>
      <c r="BA24" s="1">
        <f>MAX(IFERROR(IF(BA23="x",HLOOKUP("y",BB23:$DW28,5,FALSE),0)+IF(BA23="x",HLOOKUP("y",BB23:$DW28,6,FALSE)*-1-IF(BA23="x",SUM($H24:AZ24),0),0),0),0)</f>
        <v>0</v>
      </c>
      <c r="BB24" s="1">
        <f>MAX(IFERROR(IF(BB23="x",HLOOKUP("y",BC23:$DW28,5,FALSE),0)+IF(BB23="x",HLOOKUP("y",BC23:$DW28,6,FALSE)*-1-IF(BB23="x",SUM($H24:BA24),0),0),0),0)</f>
        <v>0</v>
      </c>
      <c r="BC24" s="1">
        <f>MAX(IFERROR(IF(BC23="x",HLOOKUP("y",BD23:$DW28,5,FALSE),0)+IF(BC23="x",HLOOKUP("y",BD23:$DW28,6,FALSE)*-1-IF(BC23="x",SUM($H24:BB24),0),0),0),0)</f>
        <v>0</v>
      </c>
      <c r="BD24" s="1">
        <f>MAX(IFERROR(IF(BD23="x",HLOOKUP("y",BE23:$DW28,5,FALSE),0)+IF(BD23="x",HLOOKUP("y",BE23:$DW28,6,FALSE)*-1-IF(BD23="x",SUM($H24:BC24),0),0),0),0)</f>
        <v>0</v>
      </c>
      <c r="BE24" s="1">
        <f>MAX(IFERROR(IF(BE23="x",HLOOKUP("y",BF23:$DW28,5,FALSE),0)+IF(BE23="x",HLOOKUP("y",BF23:$DW28,6,FALSE)*-1-IF(BE23="x",SUM($H24:BD24),0),0),0),0)</f>
        <v>0</v>
      </c>
      <c r="BF24" s="1">
        <f>MAX(IFERROR(IF(BF23="x",HLOOKUP("y",BG23:$DW28,5,FALSE),0)+IF(BF23="x",HLOOKUP("y",BG23:$DW28,6,FALSE)*-1-IF(BF23="x",SUM($H24:BE24),0),0),0),0)</f>
        <v>0</v>
      </c>
      <c r="BG24" s="1">
        <f>MAX(IFERROR(IF(BG23="x",HLOOKUP("y",BH23:$DW28,5,FALSE),0)+IF(BG23="x",HLOOKUP("y",BH23:$DW28,6,FALSE)*-1-IF(BG23="x",SUM($H24:BF24),0),0),0),0)</f>
        <v>0</v>
      </c>
      <c r="BH24" s="1">
        <f>MAX(IFERROR(IF(BH23="x",HLOOKUP("y",BI23:$DW28,5,FALSE),0)+IF(BH23="x",HLOOKUP("y",BI23:$DW28,6,FALSE)*-1-IF(BH23="x",SUM($H24:BG24),0),0),0),0)</f>
        <v>0</v>
      </c>
      <c r="BI24" s="1">
        <f>MAX(IFERROR(IF(BI23="x",HLOOKUP("y",BJ23:$DW28,5,FALSE),0)+IF(BI23="x",HLOOKUP("y",BJ23:$DW28,6,FALSE)*-1-IF(BI23="x",SUM($H24:BH24),0),0),0),0)</f>
        <v>0</v>
      </c>
      <c r="BJ24" s="1">
        <f>MAX(IFERROR(IF(BJ23="x",HLOOKUP("y",BK23:$DW28,5,FALSE),0)+IF(BJ23="x",HLOOKUP("y",BK23:$DW28,6,FALSE)*-1-IF(BJ23="x",SUM($H24:BI24),0),0),0),0)</f>
        <v>0</v>
      </c>
      <c r="BK24" s="1">
        <f>MAX(IFERROR(IF(BK23="x",HLOOKUP("y",BL23:$DW28,5,FALSE),0)+IF(BK23="x",HLOOKUP("y",BL23:$DW28,6,FALSE)*-1-IF(BK23="x",SUM($H24:BJ24),0),0),0),0)</f>
        <v>0</v>
      </c>
      <c r="BL24" s="1">
        <f>MAX(IFERROR(IF(BL23="x",HLOOKUP("y",BM23:$DW28,5,FALSE),0)+IF(BL23="x",HLOOKUP("y",BM23:$DW28,6,FALSE)*-1-IF(BL23="x",SUM($H24:BK24),0),0),0),0)</f>
        <v>0</v>
      </c>
      <c r="BM24" s="1">
        <f>MAX(IFERROR(IF(BM23="x",HLOOKUP("y",BN23:$DW28,5,FALSE),0)+IF(BM23="x",HLOOKUP("y",BN23:$DW28,6,FALSE)*-1-IF(BM23="x",SUM($H24:BL24),0),0),0),0)</f>
        <v>0</v>
      </c>
      <c r="BN24" s="1">
        <f>MAX(IFERROR(IF(BN23="x",HLOOKUP("y",BO23:$DW28,5,FALSE),0)+IF(BN23="x",HLOOKUP("y",BO23:$DW28,6,FALSE)*-1-IF(BN23="x",SUM($H24:BM24),0),0),0),0)</f>
        <v>0</v>
      </c>
      <c r="BO24" s="1">
        <f>MAX(IFERROR(IF(BO23="x",HLOOKUP("y",BP23:$DW28,5,FALSE),0)+IF(BO23="x",HLOOKUP("y",BP23:$DW28,6,FALSE)*-1-IF(BO23="x",SUM($H24:BN24),0),0),0),0)</f>
        <v>0</v>
      </c>
      <c r="BP24" s="1">
        <f>MAX(IFERROR(IF(BP23="x",HLOOKUP("y",BQ23:$DW28,5,FALSE),0)+IF(BP23="x",HLOOKUP("y",BQ23:$DW28,6,FALSE)*-1-IF(BP23="x",SUM($H24:BO24),0),0),0),0)</f>
        <v>0</v>
      </c>
      <c r="BQ24" s="1">
        <f>MAX(IFERROR(IF(BQ23="x",HLOOKUP("y",BR23:$DW28,5,FALSE),0)+IF(BQ23="x",HLOOKUP("y",BR23:$DW28,6,FALSE)*-1-IF(BQ23="x",SUM($H24:BP24),0),0),0),0)</f>
        <v>0</v>
      </c>
      <c r="BR24" s="1">
        <f>MAX(IFERROR(IF(BR23="x",HLOOKUP("y",BS23:$DW28,5,FALSE),0)+IF(BR23="x",HLOOKUP("y",BS23:$DW28,6,FALSE)*-1-IF(BR23="x",SUM($H24:BQ24),0),0),0),0)</f>
        <v>0</v>
      </c>
      <c r="BS24" s="1">
        <f>MAX(IFERROR(IF(BS23="x",HLOOKUP("y",BT23:$DW28,5,FALSE),0)+IF(BS23="x",HLOOKUP("y",BT23:$DW28,6,FALSE)*-1-IF(BS23="x",SUM($H24:BR24),0),0),0),0)</f>
        <v>0</v>
      </c>
      <c r="BT24" s="1">
        <f>MAX(IFERROR(IF(BT23="x",HLOOKUP("y",BU23:$DW28,5,FALSE),0)+IF(BT23="x",HLOOKUP("y",BU23:$DW28,6,FALSE)*-1-IF(BT23="x",SUM($H24:BS24),0),0),0),0)</f>
        <v>0</v>
      </c>
      <c r="BU24" s="1">
        <f>MAX(IFERROR(IF(BU23="x",HLOOKUP("y",BV23:$DW28,5,FALSE),0)+IF(BU23="x",HLOOKUP("y",BV23:$DW28,6,FALSE)*-1-IF(BU23="x",SUM($H24:BT24),0),0),0),0)</f>
        <v>0</v>
      </c>
      <c r="BV24" s="1">
        <f>MAX(IFERROR(IF(BV23="x",HLOOKUP("y",BW23:$DW28,5,FALSE),0)+IF(BV23="x",HLOOKUP("y",BW23:$DW28,6,FALSE)*-1-IF(BV23="x",SUM($H24:BU24),0),0),0),0)</f>
        <v>0</v>
      </c>
      <c r="BW24" s="1">
        <f>MAX(IFERROR(IF(BW23="x",HLOOKUP("y",BX23:$DW28,5,FALSE),0)+IF(BW23="x",HLOOKUP("y",BX23:$DW28,6,FALSE)*-1-IF(BW23="x",SUM($H24:BV24),0),0),0),0)</f>
        <v>0</v>
      </c>
      <c r="BX24" s="1">
        <f>MAX(IFERROR(IF(BX23="x",HLOOKUP("y",BY23:$DW28,5,FALSE),0)+IF(BX23="x",HLOOKUP("y",BY23:$DW28,6,FALSE)*-1-IF(BX23="x",SUM($H24:BW24),0),0),0),0)</f>
        <v>0</v>
      </c>
      <c r="BY24" s="1">
        <f>MAX(IFERROR(IF(BY23="x",HLOOKUP("y",BZ23:$DW28,5,FALSE),0)+IF(BY23="x",HLOOKUP("y",BZ23:$DW28,6,FALSE)*-1-IF(BY23="x",SUM($H24:BX24),0),0),0),0)</f>
        <v>0</v>
      </c>
      <c r="BZ24" s="1">
        <f>MAX(IFERROR(IF(BZ23="x",HLOOKUP("y",CA23:$DW28,5,FALSE),0)+IF(BZ23="x",HLOOKUP("y",CA23:$DW28,6,FALSE)*-1-IF(BZ23="x",SUM($H24:BY24),0),0),0),0)</f>
        <v>0</v>
      </c>
      <c r="CA24" s="1">
        <f>MAX(IFERROR(IF(CA23="x",HLOOKUP("y",CB23:$DW28,5,FALSE),0)+IF(CA23="x",HLOOKUP("y",CB23:$DW28,6,FALSE)*-1-IF(CA23="x",SUM($H24:BZ24),0),0),0),0)</f>
        <v>0</v>
      </c>
      <c r="CB24" s="1">
        <f>MAX(IFERROR(IF(CB23="x",HLOOKUP("y",CC23:$DW28,5,FALSE),0)+IF(CB23="x",HLOOKUP("y",CC23:$DW28,6,FALSE)*-1-IF(CB23="x",SUM($H24:CA24),0),0),0),0)</f>
        <v>0</v>
      </c>
      <c r="CC24" s="1">
        <f>MAX(IFERROR(IF(CC23="x",HLOOKUP("y",CD23:$DW28,5,FALSE),0)+IF(CC23="x",HLOOKUP("y",CD23:$DW28,6,FALSE)*-1-IF(CC23="x",SUM($H24:CB24),0),0),0),0)</f>
        <v>0</v>
      </c>
      <c r="CD24" s="1">
        <f>MAX(IFERROR(IF(CD23="x",HLOOKUP("y",CE23:$DW28,5,FALSE),0)+IF(CD23="x",HLOOKUP("y",CE23:$DW28,6,FALSE)*-1-IF(CD23="x",SUM($H24:CC24),0),0),0),0)</f>
        <v>0</v>
      </c>
      <c r="CE24" s="1">
        <f>MAX(IFERROR(IF(CE23="x",HLOOKUP("y",CF23:$DW28,5,FALSE),0)+IF(CE23="x",HLOOKUP("y",CF23:$DW28,6,FALSE)*-1-IF(CE23="x",SUM($H24:CD24),0),0),0),0)</f>
        <v>0</v>
      </c>
      <c r="CF24" s="1">
        <f>MAX(IFERROR(IF(CF23="x",HLOOKUP("y",CG23:$DW28,5,FALSE),0)+IF(CF23="x",HLOOKUP("y",CG23:$DW28,6,FALSE)*-1-IF(CF23="x",SUM($H24:CE24),0),0),0),0)</f>
        <v>0</v>
      </c>
      <c r="CG24" s="1">
        <f>MAX(IFERROR(IF(CG23="x",HLOOKUP("y",CH23:$DW28,5,FALSE),0)+IF(CG23="x",HLOOKUP("y",CH23:$DW28,6,FALSE)*-1-IF(CG23="x",SUM($H24:CF24),0),0),0),0)</f>
        <v>0</v>
      </c>
      <c r="CH24" s="1">
        <f>MAX(IFERROR(IF(CH23="x",HLOOKUP("y",CI23:$DW28,5,FALSE),0)+IF(CH23="x",HLOOKUP("y",CI23:$DW28,6,FALSE)*-1-IF(CH23="x",SUM($H24:CG24),0),0),0),0)</f>
        <v>0</v>
      </c>
      <c r="CI24" s="1">
        <f>MAX(IFERROR(IF(CI23="x",HLOOKUP("y",CJ23:$DW28,5,FALSE),0)+IF(CI23="x",HLOOKUP("y",CJ23:$DW28,6,FALSE)*-1-IF(CI23="x",SUM($H24:CH24),0),0),0),0)</f>
        <v>0</v>
      </c>
      <c r="CJ24" s="1">
        <f>MAX(IFERROR(IF(CJ23="x",HLOOKUP("y",CK23:$DW28,5,FALSE),0)+IF(CJ23="x",HLOOKUP("y",CK23:$DW28,6,FALSE)*-1-IF(CJ23="x",SUM($H24:CI24),0),0),0),0)</f>
        <v>0</v>
      </c>
      <c r="CK24" s="1">
        <f>MAX(IFERROR(IF(CK23="x",HLOOKUP("y",CL23:$DW28,5,FALSE),0)+IF(CK23="x",HLOOKUP("y",CL23:$DW28,6,FALSE)*-1-IF(CK23="x",SUM($H24:CJ24),0),0),0),0)</f>
        <v>0</v>
      </c>
      <c r="CL24" s="1">
        <f>MAX(IFERROR(IF(CL23="x",HLOOKUP("y",CM23:$DW28,5,FALSE),0)+IF(CL23="x",HLOOKUP("y",CM23:$DW28,6,FALSE)*-1-IF(CL23="x",SUM($H24:CK24),0),0),0),0)</f>
        <v>0</v>
      </c>
      <c r="CM24" s="1">
        <f>MAX(IFERROR(IF(CM23="x",HLOOKUP("y",CN23:$DW28,5,FALSE),0)+IF(CM23="x",HLOOKUP("y",CN23:$DW28,6,FALSE)*-1-IF(CM23="x",SUM($H24:CL24),0),0),0),0)</f>
        <v>0</v>
      </c>
      <c r="CN24" s="1">
        <f>MAX(IFERROR(IF(CN23="x",HLOOKUP("y",CO23:$DW28,5,FALSE),0)+IF(CN23="x",HLOOKUP("y",CO23:$DW28,6,FALSE)*-1-IF(CN23="x",SUM($H24:CM24),0),0),0),0)</f>
        <v>0</v>
      </c>
      <c r="CO24" s="1">
        <f>MAX(IFERROR(IF(CO23="x",HLOOKUP("y",CP23:$DW28,5,FALSE),0)+IF(CO23="x",HLOOKUP("y",CP23:$DW28,6,FALSE)*-1-IF(CO23="x",SUM($H24:CN24),0),0),0),0)</f>
        <v>0</v>
      </c>
      <c r="CP24" s="1">
        <f>MAX(IFERROR(IF(CP23="x",HLOOKUP("y",CQ23:$DW28,5,FALSE),0)+IF(CP23="x",HLOOKUP("y",CQ23:$DW28,6,FALSE)*-1-IF(CP23="x",SUM($H24:CO24),0),0),0),0)</f>
        <v>0</v>
      </c>
      <c r="CQ24" s="1">
        <f>MAX(IFERROR(IF(CQ23="x",HLOOKUP("y",CR23:$DW28,5,FALSE),0)+IF(CQ23="x",HLOOKUP("y",CR23:$DW28,6,FALSE)*-1-IF(CQ23="x",SUM($H24:CP24),0),0),0),0)</f>
        <v>0</v>
      </c>
      <c r="CR24" s="1">
        <f>MAX(IFERROR(IF(CR23="x",HLOOKUP("y",CS23:$DW28,5,FALSE),0)+IF(CR23="x",HLOOKUP("y",CS23:$DW28,6,FALSE)*-1-IF(CR23="x",SUM($H24:CQ24),0),0),0),0)</f>
        <v>0</v>
      </c>
      <c r="CS24" s="1">
        <f>MAX(IFERROR(IF(CS23="x",HLOOKUP("y",CT23:$DW28,5,FALSE),0)+IF(CS23="x",HLOOKUP("y",CT23:$DW28,6,FALSE)*-1-IF(CS23="x",SUM($H24:CR24),0),0),0),0)</f>
        <v>0</v>
      </c>
      <c r="CT24" s="1">
        <f>MAX(IFERROR(IF(CT23="x",HLOOKUP("y",CU23:$DW28,5,FALSE),0)+IF(CT23="x",HLOOKUP("y",CU23:$DW28,6,FALSE)*-1-IF(CT23="x",SUM($H24:CS24),0),0),0),0)</f>
        <v>0</v>
      </c>
      <c r="CU24" s="1">
        <f>MAX(IFERROR(IF(CU23="x",HLOOKUP("y",CV23:$DW28,5,FALSE),0)+IF(CU23="x",HLOOKUP("y",CV23:$DW28,6,FALSE)*-1-IF(CU23="x",SUM($H24:CT24),0),0),0),0)</f>
        <v>0</v>
      </c>
      <c r="CV24" s="1">
        <f>MAX(IFERROR(IF(CV23="x",HLOOKUP("y",CW23:$DW28,5,FALSE),0)+IF(CV23="x",HLOOKUP("y",CW23:$DW28,6,FALSE)*-1-IF(CV23="x",SUM($H24:CU24),0),0),0),0)</f>
        <v>0</v>
      </c>
      <c r="CW24" s="1">
        <f>MAX(IFERROR(IF(CW23="x",HLOOKUP("y",CX23:$DW28,5,FALSE),0)+IF(CW23="x",HLOOKUP("y",CX23:$DW28,6,FALSE)*-1-IF(CW23="x",SUM($H24:CV24),0),0),0),0)</f>
        <v>0</v>
      </c>
      <c r="CX24" s="1">
        <f>MAX(IFERROR(IF(CX23="x",HLOOKUP("y",CY23:$DW28,5,FALSE),0)+IF(CX23="x",HLOOKUP("y",CY23:$DW28,6,FALSE)*-1-IF(CX23="x",SUM($H24:CW24),0),0),0),0)</f>
        <v>0</v>
      </c>
      <c r="CY24" s="1">
        <f>MAX(IFERROR(IF(CY23="x",HLOOKUP("y",CZ23:$DW28,5,FALSE),0)+IF(CY23="x",HLOOKUP("y",CZ23:$DW28,6,FALSE)*-1-IF(CY23="x",SUM($H24:CX24),0),0),0),0)</f>
        <v>0</v>
      </c>
      <c r="CZ24" s="1">
        <f>MAX(IFERROR(IF(CZ23="x",HLOOKUP("y",DA23:$DW28,5,FALSE),0)+IF(CZ23="x",HLOOKUP("y",DA23:$DW28,6,FALSE)*-1-IF(CZ23="x",SUM($H24:CY24),0),0),0),0)</f>
        <v>0</v>
      </c>
      <c r="DA24" s="1">
        <f>MAX(IFERROR(IF(DA23="x",HLOOKUP("y",DB23:$DW28,5,FALSE),0)+IF(DA23="x",HLOOKUP("y",DB23:$DW28,6,FALSE)*-1-IF(DA23="x",SUM($H24:CZ24),0),0),0),0)</f>
        <v>0</v>
      </c>
      <c r="DB24" s="1">
        <f>MAX(IFERROR(IF(DB23="x",HLOOKUP("y",DC23:$DW28,5,FALSE),0)+IF(DB23="x",HLOOKUP("y",DC23:$DW28,6,FALSE)*-1-IF(DB23="x",SUM($H24:DA24),0),0),0),0)</f>
        <v>0</v>
      </c>
      <c r="DC24" s="1">
        <f>MAX(IFERROR(IF(DC23="x",HLOOKUP("y",DD23:$DW28,5,FALSE),0)+IF(DC23="x",HLOOKUP("y",DD23:$DW28,6,FALSE)*-1-IF(DC23="x",SUM($H24:DB24),0),0),0),0)</f>
        <v>0</v>
      </c>
      <c r="DD24" s="1">
        <f>MAX(IFERROR(IF(DD23="x",HLOOKUP("y",DE23:$DW28,5,FALSE),0)+IF(DD23="x",HLOOKUP("y",DE23:$DW28,6,FALSE)*-1-IF(DD23="x",SUM($H24:DC24),0),0),0),0)</f>
        <v>0</v>
      </c>
      <c r="DE24" s="1">
        <f>MAX(IFERROR(IF(DE23="x",HLOOKUP("y",DF23:$DW28,5,FALSE),0)+IF(DE23="x",HLOOKUP("y",DF23:$DW28,6,FALSE)*-1-IF(DE23="x",SUM($H24:DD24),0),0),0),0)</f>
        <v>0</v>
      </c>
      <c r="DF24" s="1">
        <f>MAX(IFERROR(IF(DF23="x",HLOOKUP("y",DG23:$DW28,5,FALSE),0)+IF(DF23="x",HLOOKUP("y",DG23:$DW28,6,FALSE)*-1-IF(DF23="x",SUM($H24:DE24),0),0),0),0)</f>
        <v>0</v>
      </c>
      <c r="DG24" s="1">
        <f>MAX(IFERROR(IF(DG23="x",HLOOKUP("y",DH23:$DW28,5,FALSE),0)+IF(DG23="x",HLOOKUP("y",DH23:$DW28,6,FALSE)*-1-IF(DG23="x",SUM($H24:DF24),0),0),0),0)</f>
        <v>0</v>
      </c>
      <c r="DH24" s="1">
        <f>MAX(IFERROR(IF(DH23="x",HLOOKUP("y",DI23:$DW28,5,FALSE),0)+IF(DH23="x",HLOOKUP("y",DI23:$DW28,6,FALSE)*-1-IF(DH23="x",SUM($H24:DG24),0),0),0),0)</f>
        <v>0</v>
      </c>
      <c r="DI24" s="1">
        <f>MAX(IFERROR(IF(DI23="x",HLOOKUP("y",DJ23:$DW28,5,FALSE),0)+IF(DI23="x",HLOOKUP("y",DJ23:$DW28,6,FALSE)*-1-IF(DI23="x",SUM($H24:DH24),0),0),0),0)</f>
        <v>0</v>
      </c>
      <c r="DJ24" s="1">
        <f>MAX(IFERROR(IF(DJ23="x",HLOOKUP("y",DK23:$DW28,5,FALSE),0)+IF(DJ23="x",HLOOKUP("y",DK23:$DW28,6,FALSE)*-1-IF(DJ23="x",SUM($H24:DI24),0),0),0),0)</f>
        <v>0</v>
      </c>
      <c r="DK24" s="1">
        <f>MAX(IFERROR(IF(DK23="x",HLOOKUP("y",DL23:$DW28,5,FALSE),0)+IF(DK23="x",HLOOKUP("y",DL23:$DW28,6,FALSE)*-1-IF(DK23="x",SUM($H24:DJ24),0),0),0),0)</f>
        <v>0</v>
      </c>
      <c r="DL24" s="1">
        <f>MAX(IFERROR(IF(DL23="x",HLOOKUP("y",DM23:$DW28,5,FALSE),0)+IF(DL23="x",HLOOKUP("y",DM23:$DW28,6,FALSE)*-1-IF(DL23="x",SUM($H24:DK24),0),0),0),0)</f>
        <v>0</v>
      </c>
      <c r="DM24" s="1">
        <f>MAX(IFERROR(IF(DM23="x",HLOOKUP("y",DN23:$DW28,5,FALSE),0)+IF(DM23="x",HLOOKUP("y",DN23:$DW28,6,FALSE)*-1-IF(DM23="x",SUM($H24:DL24),0),0),0),0)</f>
        <v>0</v>
      </c>
      <c r="DN24" s="1">
        <f>MAX(IFERROR(IF(DN23="x",HLOOKUP("y",DO23:$DW28,5,FALSE),0)+IF(DN23="x",HLOOKUP("y",DO23:$DW28,6,FALSE)*-1-IF(DN23="x",SUM($H24:DM24),0),0),0),0)</f>
        <v>0</v>
      </c>
      <c r="DO24" s="1">
        <f>MAX(IFERROR(IF(DO23="x",HLOOKUP("y",DP23:$DW28,5,FALSE),0)+IF(DO23="x",HLOOKUP("y",DP23:$DW28,6,FALSE)*-1-IF(DO23="x",SUM($H24:DN24),0),0),0),0)</f>
        <v>0</v>
      </c>
      <c r="DP24" s="1">
        <f>MAX(IFERROR(IF(DP23="x",HLOOKUP("y",DQ23:$DW28,5,FALSE),0)+IF(DP23="x",HLOOKUP("y",DQ23:$DW28,6,FALSE)*-1-IF(DP23="x",SUM($H24:DO24),0),0),0),0)</f>
        <v>0</v>
      </c>
      <c r="DQ24" s="1">
        <f>MAX(IFERROR(IF(DQ23="x",HLOOKUP("y",DR23:$DW28,5,FALSE),0)+IF(DQ23="x",HLOOKUP("y",DR23:$DW28,6,FALSE)*-1-IF(DQ23="x",SUM($H24:DP24),0),0),0),0)</f>
        <v>0</v>
      </c>
      <c r="DR24" s="1">
        <f>MAX(IFERROR(IF(DR23="x",HLOOKUP("y",DS23:$DW28,5,FALSE),0)+IF(DR23="x",HLOOKUP("y",DS23:$DW28,6,FALSE)*-1-IF(DR23="x",SUM($H24:DQ24),0),0),0),0)</f>
        <v>0</v>
      </c>
      <c r="DS24" s="1">
        <f>MAX(IFERROR(IF(DS23="x",HLOOKUP("y",DT23:$DW28,5,FALSE),0)+IF(DS23="x",HLOOKUP("y",DT23:$DW28,6,FALSE)*-1-IF(DS23="x",SUM($H24:DR24),0),0),0),0)</f>
        <v>0</v>
      </c>
      <c r="DT24" s="1">
        <f>MAX(IFERROR(IF(DT23="x",HLOOKUP("y",DU23:$DW28,5,FALSE),0)+IF(DT23="x",HLOOKUP("y",DU23:$DW28,6,FALSE)*-1-IF(DT23="x",SUM($H24:DS24),0),0),0),0)</f>
        <v>0</v>
      </c>
      <c r="DU24" s="1">
        <f>MAX(IFERROR(IF(DU23="x",HLOOKUP("y",DV23:$DW28,5,FALSE),0)+IF(DU23="x",HLOOKUP("y",DV23:$DW28,6,FALSE)*-1-IF(DU23="x",SUM($H24:DT24),0),0),0),0)</f>
        <v>0</v>
      </c>
      <c r="DV24" s="1">
        <f>MAX(IFERROR(IF(DV23="x",HLOOKUP("y",DW23:$DW28,5,FALSE),0)+IF(DV23="x",HLOOKUP("y",DW23:$DW28,6,FALSE)*-1-IF(DV23="x",SUM($H24:DU24),0),0),0),0)</f>
        <v>0</v>
      </c>
      <c r="DW24" s="1">
        <f>MAX(IFERROR(IF(DW23="x",HLOOKUP("y",$DW23:DX28,5,FALSE),0)+IF(DW23="x",HLOOKUP("y",$DW23:DX28,6,FALSE)*-1-IF(DW23="x",SUM($H24:DV24),0),0),0),0)</f>
        <v>0</v>
      </c>
    </row>
    <row r="25" spans="1:127" outlineLevel="1" x14ac:dyDescent="0.3">
      <c r="A25" s="96" t="str">
        <f t="shared" si="313"/>
        <v>106029036Production</v>
      </c>
      <c r="B25" s="20">
        <f t="shared" si="67"/>
        <v>106029036</v>
      </c>
      <c r="C25" s="20" t="str">
        <f t="shared" si="68"/>
        <v>L 2X2X.145 A529-50 50'00"</v>
      </c>
      <c r="D25" s="20">
        <f t="shared" si="69"/>
        <v>1334</v>
      </c>
      <c r="E25" s="20" t="str">
        <f t="shared" si="70"/>
        <v>2" ANG</v>
      </c>
      <c r="F25" s="4" t="s">
        <v>172</v>
      </c>
      <c r="H25" s="1">
        <v>0</v>
      </c>
      <c r="I25" s="1">
        <v>0</v>
      </c>
      <c r="J25" s="1">
        <v>0</v>
      </c>
      <c r="K25" s="112">
        <v>0</v>
      </c>
      <c r="L25" s="112">
        <v>0</v>
      </c>
      <c r="M25" s="112">
        <v>571.39999999999986</v>
      </c>
      <c r="N25" s="112">
        <v>0</v>
      </c>
      <c r="O25" s="112">
        <v>0</v>
      </c>
      <c r="P25" s="112">
        <v>0</v>
      </c>
      <c r="Q25" s="112">
        <v>0</v>
      </c>
      <c r="R25" s="112">
        <v>0</v>
      </c>
      <c r="S25" s="9">
        <v>0</v>
      </c>
      <c r="T25" s="9">
        <v>0</v>
      </c>
      <c r="U25" s="9">
        <v>0</v>
      </c>
      <c r="V25" s="9">
        <v>0</v>
      </c>
      <c r="W25" s="9">
        <v>87.5</v>
      </c>
      <c r="X25" s="9">
        <v>0</v>
      </c>
      <c r="Y25" s="9">
        <v>0</v>
      </c>
      <c r="Z25" s="9">
        <v>0</v>
      </c>
      <c r="AA25" s="9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13.066666666666606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14.699999999999932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</row>
    <row r="26" spans="1:127" outlineLevel="1" x14ac:dyDescent="0.3">
      <c r="A26" s="96" t="str">
        <f t="shared" si="313"/>
        <v>106029036Production from another Mill / SKU</v>
      </c>
      <c r="B26" s="20">
        <f t="shared" si="67"/>
        <v>106029036</v>
      </c>
      <c r="C26" s="20" t="str">
        <f t="shared" si="68"/>
        <v>L 2X2X.145 A529-50 50'00"</v>
      </c>
      <c r="D26" s="20">
        <f t="shared" si="69"/>
        <v>1334</v>
      </c>
      <c r="E26" s="20" t="str">
        <f t="shared" si="70"/>
        <v>2" ANG</v>
      </c>
      <c r="F26" s="35" t="s">
        <v>208</v>
      </c>
      <c r="H26" s="68">
        <f>VLOOKUP(B26,FORECAST!$D:$X,21,FALSE)</f>
        <v>0</v>
      </c>
      <c r="I26" s="1"/>
      <c r="J26" s="1"/>
      <c r="K26" s="112"/>
      <c r="L26" s="112"/>
      <c r="M26" s="112"/>
      <c r="N26" s="112"/>
      <c r="O26" s="112"/>
      <c r="P26" s="112"/>
      <c r="Q26" s="112"/>
      <c r="R26" s="112"/>
      <c r="S26" s="9"/>
      <c r="T26" s="9"/>
      <c r="U26" s="9"/>
      <c r="V26" s="9"/>
      <c r="W26" s="9"/>
      <c r="X26" s="9"/>
      <c r="Y26" s="9"/>
      <c r="Z26" s="9"/>
      <c r="AA26" s="9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s="1" customFormat="1" outlineLevel="1" x14ac:dyDescent="0.3">
      <c r="A27" s="96" t="str">
        <f t="shared" si="313"/>
        <v>106029036Safety Stock</v>
      </c>
      <c r="B27" s="20">
        <f t="shared" si="67"/>
        <v>106029036</v>
      </c>
      <c r="C27" s="20" t="str">
        <f t="shared" si="68"/>
        <v>L 2X2X.145 A529-50 50'00"</v>
      </c>
      <c r="D27" s="20">
        <f t="shared" si="69"/>
        <v>1334</v>
      </c>
      <c r="E27" s="20" t="str">
        <f t="shared" si="70"/>
        <v>2" ANG</v>
      </c>
      <c r="F27" s="5" t="s">
        <v>74</v>
      </c>
      <c r="G27" s="37">
        <f>VLOOKUP(B27,FORECAST!$D:$W,4,FALSE)</f>
        <v>100</v>
      </c>
      <c r="H27" s="38">
        <f>G27</f>
        <v>100</v>
      </c>
      <c r="I27" s="38">
        <f t="shared" ref="I27" si="314">H27</f>
        <v>100</v>
      </c>
      <c r="J27" s="38">
        <f t="shared" ref="J27" si="315">I27</f>
        <v>100</v>
      </c>
      <c r="K27" s="114">
        <f t="shared" ref="K27" si="316">J27</f>
        <v>100</v>
      </c>
      <c r="L27" s="114">
        <f t="shared" ref="L27" si="317">K27</f>
        <v>100</v>
      </c>
      <c r="M27" s="114">
        <f t="shared" ref="M27" si="318">L27</f>
        <v>100</v>
      </c>
      <c r="N27" s="114">
        <f t="shared" ref="N27" si="319">M27</f>
        <v>100</v>
      </c>
      <c r="O27" s="114">
        <f t="shared" ref="O27" si="320">N27</f>
        <v>100</v>
      </c>
      <c r="P27" s="114">
        <f t="shared" ref="P27" si="321">O27</f>
        <v>100</v>
      </c>
      <c r="Q27" s="114">
        <f t="shared" ref="Q27" si="322">P27</f>
        <v>100</v>
      </c>
      <c r="R27" s="114">
        <f t="shared" ref="R27" si="323">Q27</f>
        <v>100</v>
      </c>
      <c r="S27" s="118">
        <f t="shared" ref="S27" si="324">R27</f>
        <v>100</v>
      </c>
      <c r="T27" s="118">
        <f t="shared" ref="T27" si="325">S27</f>
        <v>100</v>
      </c>
      <c r="U27" s="118">
        <f t="shared" ref="U27" si="326">T27</f>
        <v>100</v>
      </c>
      <c r="V27" s="118">
        <f t="shared" ref="V27" si="327">U27</f>
        <v>100</v>
      </c>
      <c r="W27" s="118">
        <f t="shared" ref="W27" si="328">V27</f>
        <v>100</v>
      </c>
      <c r="X27" s="118">
        <f t="shared" ref="X27" si="329">W27</f>
        <v>100</v>
      </c>
      <c r="Y27" s="118">
        <f t="shared" ref="Y27" si="330">X27</f>
        <v>100</v>
      </c>
      <c r="Z27" s="118">
        <f t="shared" ref="Z27" si="331">Y27</f>
        <v>100</v>
      </c>
      <c r="AA27" s="118">
        <f t="shared" ref="AA27" si="332">Z27</f>
        <v>100</v>
      </c>
      <c r="AB27" s="38">
        <f t="shared" ref="AB27" si="333">AA27</f>
        <v>100</v>
      </c>
      <c r="AC27" s="38">
        <f t="shared" ref="AC27" si="334">AB27</f>
        <v>100</v>
      </c>
      <c r="AD27" s="38">
        <f t="shared" ref="AD27" si="335">AC27</f>
        <v>100</v>
      </c>
      <c r="AE27" s="38">
        <f t="shared" ref="AE27" si="336">AD27</f>
        <v>100</v>
      </c>
      <c r="AF27" s="38">
        <f t="shared" ref="AF27" si="337">AE27</f>
        <v>100</v>
      </c>
      <c r="AG27" s="38">
        <f t="shared" ref="AG27" si="338">AF27</f>
        <v>100</v>
      </c>
      <c r="AH27" s="38">
        <f t="shared" ref="AH27" si="339">AG27</f>
        <v>100</v>
      </c>
      <c r="AI27" s="38">
        <f t="shared" ref="AI27" si="340">AH27</f>
        <v>100</v>
      </c>
      <c r="AJ27" s="38">
        <f t="shared" ref="AJ27" si="341">AI27</f>
        <v>100</v>
      </c>
      <c r="AK27" s="38">
        <f t="shared" ref="AK27" si="342">AJ27</f>
        <v>100</v>
      </c>
      <c r="AL27" s="38">
        <f t="shared" ref="AL27" si="343">AK27</f>
        <v>100</v>
      </c>
      <c r="AM27" s="38">
        <f t="shared" ref="AM27" si="344">AL27</f>
        <v>100</v>
      </c>
      <c r="AN27" s="38">
        <f t="shared" ref="AN27" si="345">AM27</f>
        <v>100</v>
      </c>
      <c r="AO27" s="38">
        <f t="shared" ref="AO27" si="346">AN27</f>
        <v>100</v>
      </c>
      <c r="AP27" s="38">
        <f t="shared" ref="AP27" si="347">AO27</f>
        <v>100</v>
      </c>
      <c r="AQ27" s="38">
        <f t="shared" ref="AQ27" si="348">AP27</f>
        <v>100</v>
      </c>
      <c r="AR27" s="38">
        <f t="shared" ref="AR27" si="349">AQ27</f>
        <v>100</v>
      </c>
      <c r="AS27" s="38">
        <f t="shared" ref="AS27" si="350">AR27</f>
        <v>100</v>
      </c>
      <c r="AT27" s="38">
        <f t="shared" ref="AT27" si="351">AS27</f>
        <v>100</v>
      </c>
      <c r="AU27" s="38">
        <f t="shared" ref="AU27" si="352">AT27</f>
        <v>100</v>
      </c>
      <c r="AV27" s="38">
        <f t="shared" ref="AV27" si="353">AU27</f>
        <v>100</v>
      </c>
      <c r="AW27" s="38">
        <f t="shared" ref="AW27" si="354">AV27</f>
        <v>100</v>
      </c>
      <c r="AX27" s="38">
        <f t="shared" ref="AX27" si="355">AW27</f>
        <v>100</v>
      </c>
      <c r="AY27" s="38">
        <f t="shared" ref="AY27" si="356">AX27</f>
        <v>100</v>
      </c>
      <c r="AZ27" s="38">
        <f t="shared" ref="AZ27" si="357">AY27</f>
        <v>100</v>
      </c>
      <c r="BA27" s="38">
        <f t="shared" ref="BA27" si="358">AZ27</f>
        <v>100</v>
      </c>
      <c r="BB27" s="38">
        <f t="shared" ref="BB27" si="359">BA27</f>
        <v>100</v>
      </c>
      <c r="BC27" s="38">
        <f t="shared" ref="BC27" si="360">BB27</f>
        <v>100</v>
      </c>
      <c r="BD27" s="38">
        <f t="shared" ref="BD27" si="361">BC27</f>
        <v>100</v>
      </c>
      <c r="BE27" s="38">
        <f t="shared" ref="BE27" si="362">BD27</f>
        <v>100</v>
      </c>
      <c r="BF27" s="38">
        <f t="shared" ref="BF27" si="363">BE27</f>
        <v>100</v>
      </c>
      <c r="BG27" s="38">
        <f t="shared" ref="BG27" si="364">BF27</f>
        <v>100</v>
      </c>
      <c r="BH27" s="38">
        <f t="shared" ref="BH27" si="365">BG27</f>
        <v>100</v>
      </c>
      <c r="BI27" s="38">
        <f t="shared" ref="BI27" si="366">BH27</f>
        <v>100</v>
      </c>
      <c r="BJ27" s="38">
        <f t="shared" ref="BJ27" si="367">BI27</f>
        <v>100</v>
      </c>
      <c r="BK27" s="38">
        <f t="shared" ref="BK27" si="368">BJ27</f>
        <v>100</v>
      </c>
      <c r="BL27" s="38">
        <f t="shared" ref="BL27" si="369">BK27</f>
        <v>100</v>
      </c>
      <c r="BM27" s="38">
        <f t="shared" ref="BM27" si="370">BL27</f>
        <v>100</v>
      </c>
      <c r="BN27" s="38">
        <f t="shared" ref="BN27" si="371">BM27</f>
        <v>100</v>
      </c>
      <c r="BO27" s="38">
        <f t="shared" ref="BO27" si="372">BN27</f>
        <v>100</v>
      </c>
      <c r="BP27" s="38">
        <f t="shared" ref="BP27" si="373">BO27</f>
        <v>100</v>
      </c>
      <c r="BQ27" s="38">
        <f t="shared" ref="BQ27" si="374">BP27</f>
        <v>100</v>
      </c>
      <c r="BR27" s="38">
        <f t="shared" ref="BR27" si="375">BQ27</f>
        <v>100</v>
      </c>
      <c r="BS27" s="38">
        <f t="shared" ref="BS27" si="376">BR27</f>
        <v>100</v>
      </c>
      <c r="BT27" s="38">
        <f t="shared" ref="BT27" si="377">BS27</f>
        <v>100</v>
      </c>
      <c r="BU27" s="38">
        <f t="shared" ref="BU27" si="378">BT27</f>
        <v>100</v>
      </c>
      <c r="BV27" s="38">
        <f t="shared" ref="BV27" si="379">BU27</f>
        <v>100</v>
      </c>
      <c r="BW27" s="38">
        <f t="shared" ref="BW27" si="380">BV27</f>
        <v>100</v>
      </c>
      <c r="BX27" s="38">
        <f t="shared" ref="BX27" si="381">BW27</f>
        <v>100</v>
      </c>
      <c r="BY27" s="38">
        <f t="shared" ref="BY27" si="382">BX27</f>
        <v>100</v>
      </c>
      <c r="BZ27" s="38">
        <f t="shared" ref="BZ27" si="383">BY27</f>
        <v>100</v>
      </c>
      <c r="CA27" s="38">
        <f t="shared" ref="CA27" si="384">BZ27</f>
        <v>100</v>
      </c>
      <c r="CB27" s="38">
        <f t="shared" ref="CB27" si="385">CA27</f>
        <v>100</v>
      </c>
      <c r="CC27" s="38">
        <f t="shared" ref="CC27" si="386">CB27</f>
        <v>100</v>
      </c>
      <c r="CD27" s="38">
        <f t="shared" ref="CD27" si="387">CC27</f>
        <v>100</v>
      </c>
      <c r="CE27" s="38">
        <f t="shared" ref="CE27" si="388">CD27</f>
        <v>100</v>
      </c>
      <c r="CF27" s="38">
        <f t="shared" ref="CF27" si="389">CE27</f>
        <v>100</v>
      </c>
      <c r="CG27" s="38">
        <f t="shared" ref="CG27" si="390">CF27</f>
        <v>100</v>
      </c>
      <c r="CH27" s="38">
        <f t="shared" ref="CH27" si="391">CG27</f>
        <v>100</v>
      </c>
      <c r="CI27" s="38">
        <f t="shared" ref="CI27" si="392">CH27</f>
        <v>100</v>
      </c>
      <c r="CJ27" s="38">
        <f t="shared" ref="CJ27" si="393">CI27</f>
        <v>100</v>
      </c>
      <c r="CK27" s="38">
        <f t="shared" ref="CK27" si="394">CJ27</f>
        <v>100</v>
      </c>
      <c r="CL27" s="38">
        <f t="shared" ref="CL27" si="395">CK27</f>
        <v>100</v>
      </c>
      <c r="CM27" s="38">
        <f t="shared" ref="CM27" si="396">CL27</f>
        <v>100</v>
      </c>
      <c r="CN27" s="38">
        <f t="shared" ref="CN27" si="397">CM27</f>
        <v>100</v>
      </c>
      <c r="CO27" s="38">
        <f t="shared" ref="CO27" si="398">CN27</f>
        <v>100</v>
      </c>
      <c r="CP27" s="38">
        <f t="shared" ref="CP27" si="399">CO27</f>
        <v>100</v>
      </c>
      <c r="CQ27" s="38">
        <f t="shared" ref="CQ27" si="400">CP27</f>
        <v>100</v>
      </c>
      <c r="CR27" s="38">
        <f t="shared" ref="CR27" si="401">CQ27</f>
        <v>100</v>
      </c>
      <c r="CS27" s="38">
        <f t="shared" ref="CS27" si="402">CR27</f>
        <v>100</v>
      </c>
      <c r="CT27" s="38">
        <f t="shared" ref="CT27" si="403">CS27</f>
        <v>100</v>
      </c>
      <c r="CU27" s="38">
        <f t="shared" ref="CU27" si="404">CT27</f>
        <v>100</v>
      </c>
      <c r="CV27" s="38">
        <f t="shared" ref="CV27" si="405">CU27</f>
        <v>100</v>
      </c>
      <c r="CW27" s="38">
        <f t="shared" ref="CW27" si="406">CV27</f>
        <v>100</v>
      </c>
      <c r="CX27" s="38">
        <f t="shared" ref="CX27" si="407">CW27</f>
        <v>100</v>
      </c>
      <c r="CY27" s="38">
        <f t="shared" ref="CY27" si="408">CX27</f>
        <v>100</v>
      </c>
      <c r="CZ27" s="38">
        <f t="shared" ref="CZ27" si="409">CY27</f>
        <v>100</v>
      </c>
      <c r="DA27" s="38">
        <f t="shared" ref="DA27" si="410">CZ27</f>
        <v>100</v>
      </c>
      <c r="DB27" s="38">
        <f t="shared" ref="DB27" si="411">DA27</f>
        <v>100</v>
      </c>
      <c r="DC27" s="38">
        <f t="shared" ref="DC27" si="412">DB27</f>
        <v>100</v>
      </c>
      <c r="DD27" s="38">
        <f t="shared" ref="DD27" si="413">DC27</f>
        <v>100</v>
      </c>
      <c r="DE27" s="38">
        <f t="shared" ref="DE27" si="414">DD27</f>
        <v>100</v>
      </c>
      <c r="DF27" s="38">
        <f t="shared" ref="DF27" si="415">DE27</f>
        <v>100</v>
      </c>
      <c r="DG27" s="38">
        <f t="shared" ref="DG27" si="416">DF27</f>
        <v>100</v>
      </c>
      <c r="DH27" s="38">
        <f t="shared" ref="DH27" si="417">DG27</f>
        <v>100</v>
      </c>
      <c r="DI27" s="38">
        <f t="shared" ref="DI27" si="418">DH27</f>
        <v>100</v>
      </c>
      <c r="DJ27" s="38">
        <f t="shared" ref="DJ27" si="419">DI27</f>
        <v>100</v>
      </c>
      <c r="DK27" s="38">
        <f t="shared" ref="DK27" si="420">DJ27</f>
        <v>100</v>
      </c>
      <c r="DL27" s="38">
        <f t="shared" ref="DL27" si="421">DK27</f>
        <v>100</v>
      </c>
      <c r="DM27" s="38">
        <f t="shared" ref="DM27" si="422">DL27</f>
        <v>100</v>
      </c>
      <c r="DN27" s="38">
        <f t="shared" ref="DN27" si="423">DM27</f>
        <v>100</v>
      </c>
      <c r="DO27" s="38">
        <f t="shared" ref="DO27" si="424">DN27</f>
        <v>100</v>
      </c>
      <c r="DP27" s="38">
        <f t="shared" ref="DP27" si="425">DO27</f>
        <v>100</v>
      </c>
      <c r="DQ27" s="38">
        <f t="shared" ref="DQ27" si="426">DP27</f>
        <v>100</v>
      </c>
      <c r="DR27" s="38">
        <f t="shared" ref="DR27" si="427">DQ27</f>
        <v>100</v>
      </c>
      <c r="DS27" s="38">
        <f t="shared" ref="DS27" si="428">DR27</f>
        <v>100</v>
      </c>
      <c r="DT27" s="38">
        <f t="shared" ref="DT27" si="429">DS27</f>
        <v>100</v>
      </c>
      <c r="DU27" s="38">
        <f t="shared" ref="DU27" si="430">DT27</f>
        <v>100</v>
      </c>
      <c r="DV27" s="38">
        <f t="shared" ref="DV27" si="431">DU27</f>
        <v>100</v>
      </c>
      <c r="DW27" s="38">
        <f t="shared" ref="DW27" si="432">DV27</f>
        <v>100</v>
      </c>
    </row>
    <row r="28" spans="1:127" outlineLevel="1" x14ac:dyDescent="0.3">
      <c r="A28" s="96" t="str">
        <f t="shared" si="313"/>
        <v>106029036Projected Stock</v>
      </c>
      <c r="B28" s="20">
        <f t="shared" si="67"/>
        <v>106029036</v>
      </c>
      <c r="C28" s="20" t="str">
        <f t="shared" si="68"/>
        <v>L 2X2X.145 A529-50 50'00"</v>
      </c>
      <c r="D28" s="20">
        <f t="shared" si="69"/>
        <v>1334</v>
      </c>
      <c r="E28" s="20" t="str">
        <f t="shared" si="70"/>
        <v>2" ANG</v>
      </c>
      <c r="F28" s="4" t="s">
        <v>209</v>
      </c>
      <c r="G28" s="1">
        <f>SUM(G20:G21)</f>
        <v>440</v>
      </c>
      <c r="H28" s="1">
        <f>G28-H22+H25+H26</f>
        <v>418.5333333333333</v>
      </c>
      <c r="I28" s="1">
        <f t="shared" ref="I28" si="433">H28-I22+I25+I26</f>
        <v>323.33333333333331</v>
      </c>
      <c r="J28" s="1">
        <f t="shared" ref="J28" si="434">I28-J22+J25+J26</f>
        <v>228.13333333333333</v>
      </c>
      <c r="K28" s="112">
        <f t="shared" ref="K28" si="435">J28-K22+K25+K26</f>
        <v>132.93333333333334</v>
      </c>
      <c r="L28" s="112">
        <f t="shared" ref="L28" si="436">K28-L22+L25+L26</f>
        <v>37.733333333333334</v>
      </c>
      <c r="M28" s="112">
        <f t="shared" ref="M28" si="437">L28-M22+M25+M26</f>
        <v>542.63333333333321</v>
      </c>
      <c r="N28" s="112">
        <f t="shared" ref="N28" si="438">M28-N22+N25+N26</f>
        <v>476.13333333333321</v>
      </c>
      <c r="O28" s="112">
        <f t="shared" ref="O28" si="439">N28-O22+O25+O26</f>
        <v>409.63333333333321</v>
      </c>
      <c r="P28" s="112">
        <f t="shared" ref="P28" si="440">O28-P22+P25+P26</f>
        <v>343.13333333333321</v>
      </c>
      <c r="Q28" s="112">
        <f t="shared" ref="Q28" si="441">P28-Q22+Q25+Q26</f>
        <v>276.63333333333321</v>
      </c>
      <c r="R28" s="112">
        <f t="shared" ref="R28" si="442">Q28-R22+R25+R26</f>
        <v>237.43333333333322</v>
      </c>
      <c r="S28" s="9">
        <f t="shared" ref="S28" si="443">R28-S22+S25+S26</f>
        <v>198.23333333333323</v>
      </c>
      <c r="T28" s="9">
        <f t="shared" ref="T28" si="444">S28-T22+T25+T26</f>
        <v>159.03333333333325</v>
      </c>
      <c r="U28" s="9">
        <f t="shared" ref="U28" si="445">T28-U22+U25+U26</f>
        <v>119.83333333333326</v>
      </c>
      <c r="V28" s="9">
        <f t="shared" ref="V28" si="446">U28-V22+V25+V26</f>
        <v>99.999999999999915</v>
      </c>
      <c r="W28" s="9">
        <f t="shared" ref="W28" si="447">V28-W22+W25+W26</f>
        <v>167.66666666666657</v>
      </c>
      <c r="X28" s="9">
        <f t="shared" ref="X28" si="448">W28-X22+X25+X26</f>
        <v>147.83333333333323</v>
      </c>
      <c r="Y28" s="9">
        <f t="shared" ref="Y28" si="449">X28-Y22+Y25+Y26</f>
        <v>127.99999999999989</v>
      </c>
      <c r="Z28" s="9">
        <f t="shared" ref="Z28" si="450">Y28-Z22+Z25+Z26</f>
        <v>108.16666666666654</v>
      </c>
      <c r="AA28" s="9">
        <f t="shared" ref="AA28" si="451">Z28-AA22+AA25+AA26</f>
        <v>106.5333333333332</v>
      </c>
      <c r="AB28" s="1">
        <f t="shared" ref="AB28" si="452">AA28-AB22+AB25+AB26</f>
        <v>104.89999999999986</v>
      </c>
      <c r="AC28" s="1">
        <f t="shared" ref="AC28" si="453">AB28-AC22+AC25+AC26</f>
        <v>103.26666666666652</v>
      </c>
      <c r="AD28" s="1">
        <f t="shared" ref="AD28" si="454">AC28-AD22+AD25+AD26</f>
        <v>101.63333333333318</v>
      </c>
      <c r="AE28" s="1">
        <f t="shared" ref="AE28" si="455">AD28-AE22+AE25+AE26</f>
        <v>99.999999999999844</v>
      </c>
      <c r="AF28" s="1">
        <f t="shared" ref="AF28" si="456">AE28-AF22+AF25+AF26</f>
        <v>111.43333333333311</v>
      </c>
      <c r="AG28" s="1">
        <f t="shared" ref="AG28" si="457">AF28-AG22+AG25+AG26</f>
        <v>109.79999999999977</v>
      </c>
      <c r="AH28" s="1">
        <f t="shared" ref="AH28" si="458">AG28-AH22+AH25+AH26</f>
        <v>108.16666666666643</v>
      </c>
      <c r="AI28" s="1">
        <f t="shared" ref="AI28" si="459">AH28-AI22+AI25+AI26</f>
        <v>106.53333333333309</v>
      </c>
      <c r="AJ28" s="1">
        <f t="shared" ref="AJ28" si="460">AI28-AJ22+AJ25+AJ26</f>
        <v>104.89999999999975</v>
      </c>
      <c r="AK28" s="1">
        <f t="shared" ref="AK28" si="461">AJ28-AK22+AK25+AK26</f>
        <v>103.26666666666641</v>
      </c>
      <c r="AL28" s="1">
        <f t="shared" ref="AL28" si="462">AK28-AL22+AL25+AL26</f>
        <v>101.63333333333307</v>
      </c>
      <c r="AM28" s="1">
        <f t="shared" ref="AM28" si="463">AL28-AM22+AM25+AM26</f>
        <v>99.99999999999973</v>
      </c>
      <c r="AN28" s="1">
        <f t="shared" ref="AN28" si="464">AM28-AN22+AN25+AN26</f>
        <v>113.06666666666632</v>
      </c>
      <c r="AO28" s="1">
        <f t="shared" ref="AO28" si="465">AN28-AO22+AO25+AO26</f>
        <v>111.43333333333298</v>
      </c>
      <c r="AP28" s="1">
        <f t="shared" ref="AP28" si="466">AO28-AP22+AP25+AP26</f>
        <v>109.79999999999964</v>
      </c>
      <c r="AQ28" s="1">
        <f t="shared" ref="AQ28" si="467">AP28-AQ22+AQ25+AQ26</f>
        <v>108.1666666666663</v>
      </c>
      <c r="AR28" s="1">
        <f t="shared" ref="AR28" si="468">AQ28-AR22+AR25+AR26</f>
        <v>106.53333333333296</v>
      </c>
      <c r="AS28" s="1">
        <f t="shared" ref="AS28" si="469">AR28-AS22+AS25+AS26</f>
        <v>104.89999999999962</v>
      </c>
      <c r="AT28" s="1">
        <f t="shared" ref="AT28" si="470">AS28-AT22+AT25+AT26</f>
        <v>103.26666666666628</v>
      </c>
      <c r="AU28" s="1">
        <f t="shared" ref="AU28" si="471">AT28-AU22+AU25+AU26</f>
        <v>101.63333333333294</v>
      </c>
      <c r="AV28" s="1">
        <f t="shared" ref="AV28" si="472">AU28-AV22+AV25+AV26</f>
        <v>99.999999999999602</v>
      </c>
      <c r="AW28" s="1">
        <f t="shared" ref="AW28" si="473">AV28-AW22+AW25+AW26</f>
        <v>98.366666666666262</v>
      </c>
      <c r="AX28" s="1">
        <f t="shared" ref="AX28" si="474">AW28-AX22+AX25+AX26</f>
        <v>96.733333333332922</v>
      </c>
      <c r="AY28" s="1">
        <f t="shared" ref="AY28" si="475">AX28-AY22+AY25+AY26</f>
        <v>95.099999999999582</v>
      </c>
      <c r="AZ28" s="1">
        <f t="shared" ref="AZ28" si="476">AY28-AZ22+AZ25+AZ26</f>
        <v>93.466666666666242</v>
      </c>
      <c r="BA28" s="1">
        <f t="shared" ref="BA28" si="477">AZ28-BA22+BA25+BA26</f>
        <v>91.833333333332902</v>
      </c>
      <c r="BB28" s="1">
        <f t="shared" ref="BB28" si="478">BA28-BB22+BB25+BB26</f>
        <v>90.199999999999562</v>
      </c>
      <c r="BC28" s="1">
        <f t="shared" ref="BC28" si="479">BB28-BC22+BC25+BC26</f>
        <v>88.566666666666222</v>
      </c>
      <c r="BD28" s="1">
        <f t="shared" ref="BD28" si="480">BC28-BD22+BD25+BD26</f>
        <v>86.933333333332882</v>
      </c>
      <c r="BE28" s="1">
        <f t="shared" ref="BE28" si="481">BD28-BE22+BE25+BE26</f>
        <v>85.299999999999542</v>
      </c>
      <c r="BF28" s="1">
        <f t="shared" ref="BF28" si="482">BE28-BF22+BF25+BF26</f>
        <v>83.666666666666202</v>
      </c>
      <c r="BG28" s="1">
        <f t="shared" ref="BG28" si="483">BF28-BG22+BG25+BG26</f>
        <v>82.033333333332862</v>
      </c>
      <c r="BH28" s="1">
        <f t="shared" ref="BH28" si="484">BG28-BH22+BH25+BH26</f>
        <v>80.399999999999523</v>
      </c>
      <c r="BI28" s="1">
        <f t="shared" ref="BI28" si="485">BH28-BI22+BI25+BI26</f>
        <v>78.766666666666183</v>
      </c>
      <c r="BJ28" s="1">
        <f t="shared" ref="BJ28" si="486">BI28-BJ22+BJ25+BJ26</f>
        <v>77.133333333332843</v>
      </c>
      <c r="BK28" s="1">
        <f t="shared" ref="BK28" si="487">BJ28-BK22+BK25+BK26</f>
        <v>75.499999999999503</v>
      </c>
      <c r="BL28" s="1">
        <f t="shared" ref="BL28" si="488">BK28-BL22+BL25+BL26</f>
        <v>73.866666666666163</v>
      </c>
      <c r="BM28" s="1">
        <f t="shared" ref="BM28" si="489">BL28-BM22+BM25+BM26</f>
        <v>72.233333333332823</v>
      </c>
      <c r="BN28" s="1">
        <f t="shared" ref="BN28" si="490">BM28-BN22+BN25+BN26</f>
        <v>70.599999999999483</v>
      </c>
      <c r="BO28" s="1">
        <f t="shared" ref="BO28" si="491">BN28-BO22+BO25+BO26</f>
        <v>68.966666666666143</v>
      </c>
      <c r="BP28" s="1">
        <f t="shared" ref="BP28" si="492">BO28-BP22+BP25+BP26</f>
        <v>67.333333333332803</v>
      </c>
      <c r="BQ28" s="1">
        <f t="shared" ref="BQ28" si="493">BP28-BQ22+BQ25+BQ26</f>
        <v>65.699999999999463</v>
      </c>
      <c r="BR28" s="1">
        <f t="shared" ref="BR28" si="494">BQ28-BR22+BR25+BR26</f>
        <v>64.066666666666123</v>
      </c>
      <c r="BS28" s="1">
        <f t="shared" ref="BS28" si="495">BR28-BS22+BS25+BS26</f>
        <v>62.43333333333279</v>
      </c>
      <c r="BT28" s="1">
        <f t="shared" ref="BT28" si="496">BS28-BT22+BT25+BT26</f>
        <v>60.799999999999457</v>
      </c>
      <c r="BU28" s="1">
        <f t="shared" ref="BU28" si="497">BT28-BU22+BU25+BU26</f>
        <v>59.166666666666124</v>
      </c>
      <c r="BV28" s="1">
        <f t="shared" ref="BV28" si="498">BU28-BV22+BV25+BV26</f>
        <v>57.533333333332791</v>
      </c>
      <c r="BW28" s="1">
        <f t="shared" ref="BW28" si="499">BV28-BW22+BW25+BW26</f>
        <v>55.899999999999459</v>
      </c>
      <c r="BX28" s="1">
        <f t="shared" ref="BX28" si="500">BW28-BX22+BX25+BX26</f>
        <v>54.266666666666126</v>
      </c>
      <c r="BY28" s="1">
        <f t="shared" ref="BY28" si="501">BX28-BY22+BY25+BY26</f>
        <v>52.633333333332793</v>
      </c>
      <c r="BZ28" s="1">
        <f t="shared" ref="BZ28" si="502">BY28-BZ22+BZ25+BZ26</f>
        <v>50.99999999999946</v>
      </c>
      <c r="CA28" s="1">
        <f t="shared" ref="CA28" si="503">BZ28-CA22+CA25+CA26</f>
        <v>49.366666666666127</v>
      </c>
      <c r="CB28" s="1">
        <f t="shared" ref="CB28" si="504">CA28-CB22+CB25+CB26</f>
        <v>47.733333333332794</v>
      </c>
      <c r="CC28" s="1">
        <f t="shared" ref="CC28" si="505">CB28-CC22+CC25+CC26</f>
        <v>46.099999999999461</v>
      </c>
      <c r="CD28" s="1">
        <f t="shared" ref="CD28" si="506">CC28-CD22+CD25+CD26</f>
        <v>44.466666666666129</v>
      </c>
      <c r="CE28" s="1">
        <f t="shared" ref="CE28" si="507">CD28-CE22+CE25+CE26</f>
        <v>42.833333333332796</v>
      </c>
      <c r="CF28" s="1">
        <f t="shared" ref="CF28" si="508">CE28-CF22+CF25+CF26</f>
        <v>41.199999999999463</v>
      </c>
      <c r="CG28" s="1">
        <f t="shared" ref="CG28" si="509">CF28-CG22+CG25+CG26</f>
        <v>39.56666666666613</v>
      </c>
      <c r="CH28" s="1">
        <f t="shared" ref="CH28" si="510">CG28-CH22+CH25+CH26</f>
        <v>37.933333333332797</v>
      </c>
      <c r="CI28" s="1">
        <f t="shared" ref="CI28" si="511">CH28-CI22+CI25+CI26</f>
        <v>36.299999999999464</v>
      </c>
      <c r="CJ28" s="1">
        <f t="shared" ref="CJ28" si="512">CI28-CJ22+CJ25+CJ26</f>
        <v>34.666666666666131</v>
      </c>
      <c r="CK28" s="1">
        <f t="shared" ref="CK28" si="513">CJ28-CK22+CK25+CK26</f>
        <v>33.033333333332799</v>
      </c>
      <c r="CL28" s="1">
        <f t="shared" ref="CL28" si="514">CK28-CL22+CL25+CL26</f>
        <v>31.399999999999466</v>
      </c>
      <c r="CM28" s="1">
        <f t="shared" ref="CM28" si="515">CL28-CM22+CM25+CM26</f>
        <v>29.766666666666133</v>
      </c>
      <c r="CN28" s="1">
        <f t="shared" ref="CN28" si="516">CM28-CN22+CN25+CN26</f>
        <v>28.1333333333328</v>
      </c>
      <c r="CO28" s="1">
        <f t="shared" ref="CO28" si="517">CN28-CO22+CO25+CO26</f>
        <v>26.499999999999467</v>
      </c>
      <c r="CP28" s="1">
        <f t="shared" ref="CP28" si="518">CO28-CP22+CP25+CP26</f>
        <v>24.866666666666134</v>
      </c>
      <c r="CQ28" s="1">
        <f t="shared" ref="CQ28" si="519">CP28-CQ22+CQ25+CQ26</f>
        <v>23.233333333332801</v>
      </c>
      <c r="CR28" s="1">
        <f t="shared" ref="CR28" si="520">CQ28-CR22+CR25+CR26</f>
        <v>21.599999999999469</v>
      </c>
      <c r="CS28" s="1">
        <f t="shared" ref="CS28" si="521">CR28-CS22+CS25+CS26</f>
        <v>19.966666666666136</v>
      </c>
      <c r="CT28" s="1">
        <f t="shared" ref="CT28" si="522">CS28-CT22+CT25+CT26</f>
        <v>18.333333333332803</v>
      </c>
      <c r="CU28" s="1">
        <f t="shared" ref="CU28" si="523">CT28-CU22+CU25+CU26</f>
        <v>16.69999999999947</v>
      </c>
      <c r="CV28" s="1">
        <f t="shared" ref="CV28" si="524">CU28-CV22+CV25+CV26</f>
        <v>15.066666666666137</v>
      </c>
      <c r="CW28" s="1">
        <f t="shared" ref="CW28" si="525">CV28-CW22+CW25+CW26</f>
        <v>13.433333333332804</v>
      </c>
      <c r="CX28" s="1">
        <f t="shared" ref="CX28" si="526">CW28-CX22+CX25+CX26</f>
        <v>11.799999999999471</v>
      </c>
      <c r="CY28" s="1">
        <f t="shared" ref="CY28" si="527">CX28-CY22+CY25+CY26</f>
        <v>10.166666666666138</v>
      </c>
      <c r="CZ28" s="1">
        <f t="shared" ref="CZ28" si="528">CY28-CZ22+CZ25+CZ26</f>
        <v>8.5333333333328056</v>
      </c>
      <c r="DA28" s="1">
        <f t="shared" ref="DA28" si="529">CZ28-DA22+DA25+DA26</f>
        <v>6.8999999999994728</v>
      </c>
      <c r="DB28" s="1">
        <f t="shared" ref="DB28" si="530">DA28-DB22+DB25+DB26</f>
        <v>5.2666666666661399</v>
      </c>
      <c r="DC28" s="1">
        <f t="shared" ref="DC28" si="531">DB28-DC22+DC25+DC26</f>
        <v>3.6333333333328066</v>
      </c>
      <c r="DD28" s="1">
        <f t="shared" ref="DD28" si="532">DC28-DD22+DD25+DD26</f>
        <v>1.9999999999994733</v>
      </c>
      <c r="DE28" s="1">
        <f t="shared" ref="DE28" si="533">DD28-DE22+DE25+DE26</f>
        <v>0.36666666666614001</v>
      </c>
      <c r="DF28" s="1">
        <f t="shared" ref="DF28" si="534">DE28-DF22+DF25+DF26</f>
        <v>-1.2666666666671933</v>
      </c>
      <c r="DG28" s="1">
        <f t="shared" ref="DG28" si="535">DF28-DG22+DG25+DG26</f>
        <v>-2.9000000000005266</v>
      </c>
      <c r="DH28" s="1">
        <f t="shared" ref="DH28" si="536">DG28-DH22+DH25+DH26</f>
        <v>-4.5333333333338599</v>
      </c>
      <c r="DI28" s="1">
        <f t="shared" ref="DI28" si="537">DH28-DI22+DI25+DI26</f>
        <v>-6.1666666666671937</v>
      </c>
      <c r="DJ28" s="1">
        <f t="shared" ref="DJ28" si="538">DI28-DJ22+DJ25+DJ26</f>
        <v>-7.8000000000005265</v>
      </c>
      <c r="DK28" s="1">
        <f t="shared" ref="DK28" si="539">DJ28-DK22+DK25+DK26</f>
        <v>-9.4333333333338594</v>
      </c>
      <c r="DL28" s="1">
        <f t="shared" ref="DL28" si="540">DK28-DL22+DL25+DL26</f>
        <v>-11.066666666667192</v>
      </c>
      <c r="DM28" s="1">
        <f t="shared" ref="DM28" si="541">DL28-DM22+DM25+DM26</f>
        <v>-12.700000000000525</v>
      </c>
      <c r="DN28" s="1">
        <f t="shared" ref="DN28" si="542">DM28-DN22+DN25+DN26</f>
        <v>-14.333333333333858</v>
      </c>
      <c r="DO28" s="1">
        <f t="shared" ref="DO28" si="543">DN28-DO22+DO25+DO26</f>
        <v>-15.966666666667191</v>
      </c>
      <c r="DP28" s="1">
        <f t="shared" ref="DP28" si="544">DO28-DP22+DP25+DP26</f>
        <v>-17.600000000000524</v>
      </c>
      <c r="DQ28" s="1">
        <f t="shared" ref="DQ28" si="545">DP28-DQ22+DQ25+DQ26</f>
        <v>-19.233333333333857</v>
      </c>
      <c r="DR28" s="1">
        <f t="shared" ref="DR28" si="546">DQ28-DR22+DR25+DR26</f>
        <v>-20.866666666667189</v>
      </c>
      <c r="DS28" s="1">
        <f t="shared" ref="DS28" si="547">DR28-DS22+DS25+DS26</f>
        <v>-22.500000000000522</v>
      </c>
      <c r="DT28" s="1">
        <f t="shared" ref="DT28" si="548">DS28-DT22+DT25+DT26</f>
        <v>-24.133333333333855</v>
      </c>
      <c r="DU28" s="1">
        <f t="shared" ref="DU28" si="549">DT28-DU22+DU25+DU26</f>
        <v>-25.766666666667188</v>
      </c>
      <c r="DV28" s="1">
        <f t="shared" ref="DV28" si="550">DU28-DV22+DV25+DV26</f>
        <v>-27.400000000000521</v>
      </c>
      <c r="DW28" s="1">
        <f t="shared" ref="DW28" si="551">DV28-DW22+DW25+DW26</f>
        <v>-29.033333333333854</v>
      </c>
    </row>
    <row r="29" spans="1:127" ht="28.8" x14ac:dyDescent="0.3">
      <c r="A29" s="96" t="str">
        <f t="shared" si="66"/>
        <v>106028578Header</v>
      </c>
      <c r="B29" s="11">
        <v>106028578</v>
      </c>
      <c r="C29" s="11" t="s">
        <v>65</v>
      </c>
      <c r="D29" s="11">
        <f>VLOOKUP($B29,FORECAST!$D:$V,18,FALSE)</f>
        <v>1333</v>
      </c>
      <c r="E29" s="11" t="str">
        <f>VLOOKUP($B29,FORECAST!$D:$V,19,FALSE)</f>
        <v>3" ANG</v>
      </c>
      <c r="F29" s="11" t="s">
        <v>200</v>
      </c>
      <c r="G29" s="43" t="s">
        <v>151</v>
      </c>
      <c r="H29" s="43" t="s">
        <v>201</v>
      </c>
      <c r="I29" s="43" t="s">
        <v>125</v>
      </c>
      <c r="J29" s="43" t="s">
        <v>97</v>
      </c>
      <c r="K29" s="111" t="s">
        <v>202</v>
      </c>
      <c r="L29" s="111" t="s">
        <v>203</v>
      </c>
      <c r="M29" s="112"/>
      <c r="N29" s="112"/>
      <c r="O29" s="112"/>
      <c r="P29" s="112"/>
      <c r="Q29" s="112"/>
      <c r="R29" s="112"/>
      <c r="S29" s="9"/>
      <c r="T29" s="9"/>
      <c r="U29" s="9"/>
      <c r="V29" s="9"/>
      <c r="W29" s="9"/>
      <c r="X29" s="9"/>
      <c r="Y29" s="9"/>
      <c r="Z29" s="9"/>
      <c r="AA29" s="9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</row>
    <row r="30" spans="1:127" outlineLevel="1" x14ac:dyDescent="0.3">
      <c r="A30" s="96" t="str">
        <f t="shared" ref="A30:A37" si="552">CONCATENATE(B30,F30)</f>
        <v>106028578Inventory</v>
      </c>
      <c r="B30" s="20">
        <f t="shared" si="67"/>
        <v>106028578</v>
      </c>
      <c r="C30" s="20" t="str">
        <f t="shared" si="68"/>
        <v>L 3X3X1/4 GGMULTI 50'00"</v>
      </c>
      <c r="D30" s="20">
        <f t="shared" si="69"/>
        <v>1333</v>
      </c>
      <c r="E30" s="20" t="str">
        <f t="shared" si="70"/>
        <v>3" ANG</v>
      </c>
      <c r="F30" s="11" t="s">
        <v>204</v>
      </c>
      <c r="G30" s="1">
        <f>SUM(H30:L30)</f>
        <v>113</v>
      </c>
      <c r="H30" s="36">
        <f>SUMIFS(FORECAST!$I:$I,FORECAST!$D:$D,MRP!$B30)</f>
        <v>20</v>
      </c>
      <c r="I30" s="36">
        <f>SUMIFS(FORECAST!$Q:$Q,FORECAST!$D:$D,B30)</f>
        <v>93</v>
      </c>
      <c r="J30" s="36">
        <f>SUMIFS(FORECAST!$R:$R,FORECAST!$D:$D,B30)</f>
        <v>0</v>
      </c>
      <c r="K30" s="112">
        <f>SUMIFS(FORECAST!$S:$S,FORECAST!$D:$D,B30)</f>
        <v>0</v>
      </c>
      <c r="L30" s="112">
        <f>SUMIFS(FORECAST!$T:$T,FORECAST!$D:$D,B30)</f>
        <v>0</v>
      </c>
      <c r="M30" s="112"/>
      <c r="N30" s="112"/>
      <c r="O30" s="112"/>
      <c r="P30" s="112"/>
      <c r="Q30" s="112"/>
      <c r="R30" s="112"/>
      <c r="S30" s="9"/>
      <c r="T30" s="9"/>
      <c r="U30" s="9"/>
      <c r="V30" s="9"/>
      <c r="W30" s="9"/>
      <c r="X30" s="9"/>
      <c r="Y30" s="9"/>
      <c r="Z30" s="9"/>
      <c r="AA30" s="9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</row>
    <row r="31" spans="1:127" outlineLevel="1" x14ac:dyDescent="0.3">
      <c r="A31" s="96" t="str">
        <f t="shared" si="552"/>
        <v>106028578Shipments</v>
      </c>
      <c r="B31" s="20">
        <f t="shared" si="67"/>
        <v>106028578</v>
      </c>
      <c r="C31" s="20" t="str">
        <f t="shared" si="68"/>
        <v>L 3X3X1/4 GGMULTI 50'00"</v>
      </c>
      <c r="D31" s="20">
        <f t="shared" si="69"/>
        <v>1333</v>
      </c>
      <c r="E31" s="20" t="str">
        <f t="shared" si="70"/>
        <v>3" ANG</v>
      </c>
      <c r="F31" s="4" t="s">
        <v>205</v>
      </c>
      <c r="H31" s="19" cm="1">
        <f t="array" ref="H31">IFERROR(VLOOKUP($B31,FORECAST!$D$2:$O$25,7+H$75,FALSE)/30*7,G31)</f>
        <v>5.3666666666666671</v>
      </c>
      <c r="I31" s="19" cm="1">
        <f t="array" ref="I31">IFERROR(VLOOKUP($B31,FORECAST!$D$2:$O$25,7+I$75,FALSE)/30*7,H31)</f>
        <v>17.266666666666666</v>
      </c>
      <c r="J31" s="19" cm="1">
        <f t="array" ref="J31">IFERROR(VLOOKUP($B31,FORECAST!$D$2:$O$25,7+J$75,FALSE)/30*7,I31)</f>
        <v>17.266666666666666</v>
      </c>
      <c r="K31" s="113" cm="1">
        <f t="array" ref="K31">IFERROR(VLOOKUP($B31,FORECAST!$D$2:$O$25,7+K$75,FALSE)/30*7,J31)</f>
        <v>17.266666666666666</v>
      </c>
      <c r="L31" s="113" cm="1">
        <f t="array" ref="L31">IFERROR(VLOOKUP($B31,FORECAST!$D$2:$O$25,7+L$75,FALSE)/30*7,K31)</f>
        <v>17.266666666666666</v>
      </c>
      <c r="M31" s="113" cm="1">
        <f t="array" ref="M31">IFERROR(VLOOKUP($B31,FORECAST!$D$2:$O$25,7+M$75,FALSE)/30*7,L31)</f>
        <v>23.099999999999998</v>
      </c>
      <c r="N31" s="113" cm="1">
        <f t="array" ref="N31">IFERROR(VLOOKUP($B31,FORECAST!$D$2:$O$25,7+N$75,FALSE)/30*7,M31)</f>
        <v>23.099999999999998</v>
      </c>
      <c r="O31" s="113" cm="1">
        <f t="array" ref="O31">IFERROR(VLOOKUP($B31,FORECAST!$D$2:$O$25,7+O$75,FALSE)/30*7,N31)</f>
        <v>23.099999999999998</v>
      </c>
      <c r="P31" s="113" cm="1">
        <f t="array" ref="P31">IFERROR(VLOOKUP($B31,FORECAST!$D$2:$O$25,7+P$75,FALSE)/30*7,O31)</f>
        <v>23.099999999999998</v>
      </c>
      <c r="Q31" s="113" cm="1">
        <f t="array" ref="Q31">IFERROR(VLOOKUP($B31,FORECAST!$D$2:$O$25,7+Q$75,FALSE)/30*7,P31)</f>
        <v>23.099999999999998</v>
      </c>
      <c r="R31" s="113" cm="1">
        <f t="array" ref="R31">IFERROR(VLOOKUP($B31,FORECAST!$D$2:$O$25,7+R$75,FALSE)/30*7,Q31)</f>
        <v>11.433333333333334</v>
      </c>
      <c r="S31" s="117" cm="1">
        <f t="array" ref="S31">IFERROR(VLOOKUP($B31,FORECAST!$D$2:$O$25,7+S$75,FALSE)/30*7,R31)</f>
        <v>11.433333333333334</v>
      </c>
      <c r="T31" s="117" cm="1">
        <f t="array" ref="T31">IFERROR(VLOOKUP($B31,FORECAST!$D$2:$O$25,7+T$75,FALSE)/30*7,S31)</f>
        <v>11.433333333333334</v>
      </c>
      <c r="U31" s="117" cm="1">
        <f t="array" ref="U31">IFERROR(VLOOKUP($B31,FORECAST!$D$2:$O$25,7+U$75,FALSE)/30*7,T31)</f>
        <v>11.433333333333334</v>
      </c>
      <c r="V31" s="117" cm="1">
        <f t="array" ref="V31">IFERROR(VLOOKUP($B31,FORECAST!$D$2:$O$25,7+V$75,FALSE)/30*7,U31)</f>
        <v>16.566666666666666</v>
      </c>
      <c r="W31" s="117" cm="1">
        <f t="array" ref="W31">IFERROR(VLOOKUP($B31,FORECAST!$D$2:$O$25,7+W$75,FALSE)/30*7,V31)</f>
        <v>16.566666666666666</v>
      </c>
      <c r="X31" s="117" cm="1">
        <f t="array" ref="X31">IFERROR(VLOOKUP($B31,FORECAST!$D$2:$O$25,7+X$75,FALSE)/30*7,W31)</f>
        <v>16.566666666666666</v>
      </c>
      <c r="Y31" s="117" cm="1">
        <f t="array" ref="Y31">IFERROR(VLOOKUP($B31,FORECAST!$D$2:$O$25,7+Y$75,FALSE)/30*7,X31)</f>
        <v>16.566666666666666</v>
      </c>
      <c r="Z31" s="117" cm="1">
        <f t="array" ref="Z31">IFERROR(VLOOKUP($B31,FORECAST!$D$2:$O$25,7+Z$75,FALSE)/30*7,Y31)</f>
        <v>16.566666666666666</v>
      </c>
      <c r="AA31" s="117" cm="1">
        <f t="array" ref="AA31">IFERROR(VLOOKUP($B31,FORECAST!$D$2:$O$25,7+AA$75,FALSE)/30*7,Z31)</f>
        <v>0.70000000000000007</v>
      </c>
      <c r="AB31" s="19" cm="1">
        <f t="array" ref="AB31">IFERROR(VLOOKUP($B31,FORECAST!$D$2:$O$25,7+AB$75,FALSE)/30*7,AA31)</f>
        <v>0.70000000000000007</v>
      </c>
      <c r="AC31" s="19" cm="1">
        <f t="array" ref="AC31">IFERROR(VLOOKUP($B31,FORECAST!$D$2:$O$25,7+AC$75,FALSE)/30*7,AB31)</f>
        <v>0.70000000000000007</v>
      </c>
      <c r="AD31" s="19" cm="1">
        <f t="array" ref="AD31">IFERROR(VLOOKUP($B31,FORECAST!$D$2:$O$25,7+AD$75,FALSE)/30*7,AC31)</f>
        <v>0.70000000000000007</v>
      </c>
      <c r="AE31" s="19" cm="1">
        <f t="array" ref="AE31">IFERROR(VLOOKUP($B31,FORECAST!$D$2:$O$25,7+AE$75,FALSE)/30*7,AD31)</f>
        <v>0.70000000000000007</v>
      </c>
      <c r="AF31" s="19" cm="1">
        <f t="array" ref="AF31">IFERROR(VLOOKUP($B31,FORECAST!$D$2:$O$25,7+AF$75,FALSE)/30*7,AE31)</f>
        <v>0.70000000000000007</v>
      </c>
      <c r="AG31" s="19" cm="1">
        <f t="array" ref="AG31">IFERROR(VLOOKUP($B31,FORECAST!$D$2:$O$25,7+AG$75,FALSE)/30*7,AF31)</f>
        <v>0.70000000000000007</v>
      </c>
      <c r="AH31" s="19" cm="1">
        <f t="array" ref="AH31">IFERROR(VLOOKUP($B31,FORECAST!$D$2:$O$25,7+AH$75,FALSE)/30*7,AG31)</f>
        <v>0.70000000000000007</v>
      </c>
      <c r="AI31" s="19" cm="1">
        <f t="array" ref="AI31">IFERROR(VLOOKUP($B31,FORECAST!$D$2:$O$25,7+AI$75,FALSE)/30*7,AH31)</f>
        <v>0.70000000000000007</v>
      </c>
      <c r="AJ31" s="19" cm="1">
        <f t="array" ref="AJ31">IFERROR(VLOOKUP($B31,FORECAST!$D$2:$O$25,7+AJ$75,FALSE)/30*7,AI31)</f>
        <v>0.70000000000000007</v>
      </c>
      <c r="AK31" s="19" cm="1">
        <f t="array" ref="AK31">IFERROR(VLOOKUP($B31,FORECAST!$D$2:$O$25,7+AK$75,FALSE)/30*7,AJ31)</f>
        <v>0.70000000000000007</v>
      </c>
      <c r="AL31" s="19" cm="1">
        <f t="array" ref="AL31">IFERROR(VLOOKUP($B31,FORECAST!$D$2:$O$25,7+AL$75,FALSE)/30*7,AK31)</f>
        <v>0.70000000000000007</v>
      </c>
      <c r="AM31" s="19" cm="1">
        <f t="array" ref="AM31">IFERROR(VLOOKUP($B31,FORECAST!$D$2:$O$25,7+AM$75,FALSE)/30*7,AL31)</f>
        <v>0.70000000000000007</v>
      </c>
      <c r="AN31" s="19" cm="1">
        <f t="array" ref="AN31">IFERROR(VLOOKUP($B31,FORECAST!$D$2:$O$25,7+AN$75,FALSE)/30*7,AM31)</f>
        <v>0.70000000000000007</v>
      </c>
      <c r="AO31" s="19" cm="1">
        <f t="array" ref="AO31">IFERROR(VLOOKUP($B31,FORECAST!$D$2:$O$25,7+AO$75,FALSE)/30*7,AN31)</f>
        <v>0.70000000000000007</v>
      </c>
      <c r="AP31" s="19" cm="1">
        <f t="array" ref="AP31">IFERROR(VLOOKUP($B31,FORECAST!$D$2:$O$25,7+AP$75,FALSE)/30*7,AO31)</f>
        <v>0.70000000000000007</v>
      </c>
      <c r="AQ31" s="19" cm="1">
        <f t="array" ref="AQ31">IFERROR(VLOOKUP($B31,FORECAST!$D$2:$O$25,7+AQ$75,FALSE)/30*7,AP31)</f>
        <v>0.70000000000000007</v>
      </c>
      <c r="AR31" s="19" cm="1">
        <f t="array" ref="AR31">IFERROR(VLOOKUP($B31,FORECAST!$D$2:$O$25,7+AR$75,FALSE)/30*7,AQ31)</f>
        <v>0.70000000000000007</v>
      </c>
      <c r="AS31" s="19" cm="1">
        <f t="array" ref="AS31">IFERROR(VLOOKUP($B31,FORECAST!$D$2:$O$25,7+AS$75,FALSE)/30*7,AR31)</f>
        <v>0.70000000000000007</v>
      </c>
      <c r="AT31" s="19" cm="1">
        <f t="array" ref="AT31">IFERROR(VLOOKUP($B31,FORECAST!$D$2:$O$25,7+AT$75,FALSE)/30*7,AS31)</f>
        <v>0.70000000000000007</v>
      </c>
      <c r="AU31" s="19" cm="1">
        <f t="array" ref="AU31">IFERROR(VLOOKUP($B31,FORECAST!$D$2:$O$25,7+AU$75,FALSE)/30*7,AT31)</f>
        <v>0.70000000000000007</v>
      </c>
      <c r="AV31" s="19" cm="1">
        <f t="array" ref="AV31">IFERROR(VLOOKUP($B31,FORECAST!$D$2:$O$25,7+AV$75,FALSE)/30*7,AU31)</f>
        <v>0.70000000000000007</v>
      </c>
      <c r="AW31" s="19" cm="1">
        <f t="array" ref="AW31">IFERROR(VLOOKUP($B31,FORECAST!$D$2:$O$25,7+AW$75,FALSE)/30*7,AV31)</f>
        <v>0.70000000000000007</v>
      </c>
      <c r="AX31" s="19" cm="1">
        <f t="array" ref="AX31">IFERROR(VLOOKUP($B31,FORECAST!$D$2:$O$25,7+AX$75,FALSE)/30*7,AW31)</f>
        <v>0.70000000000000007</v>
      </c>
      <c r="AY31" s="19" cm="1">
        <f t="array" ref="AY31">IFERROR(VLOOKUP($B31,FORECAST!$D$2:$O$25,7+AY$75,FALSE)/30*7,AX31)</f>
        <v>0.70000000000000007</v>
      </c>
      <c r="AZ31" s="19" cm="1">
        <f t="array" ref="AZ31">IFERROR(VLOOKUP($B31,FORECAST!$D$2:$O$25,7+AZ$75,FALSE)/30*7,AY31)</f>
        <v>0.70000000000000007</v>
      </c>
      <c r="BA31" s="19" cm="1">
        <f t="array" ref="BA31">IFERROR(VLOOKUP($B31,FORECAST!$D$2:$O$25,7+BA$75,FALSE)/30*7,AZ31)</f>
        <v>0.70000000000000007</v>
      </c>
      <c r="BB31" s="19" cm="1">
        <f t="array" ref="BB31">IFERROR(VLOOKUP($B31,FORECAST!$D$2:$O$25,7+BB$75,FALSE)/30*7,BA31)</f>
        <v>0.70000000000000007</v>
      </c>
      <c r="BC31" s="19" cm="1">
        <f t="array" ref="BC31">IFERROR(VLOOKUP($B31,FORECAST!$D$2:$O$25,7+BC$75,FALSE)/30*7,BB31)</f>
        <v>0.70000000000000007</v>
      </c>
      <c r="BD31" s="19" cm="1">
        <f t="array" ref="BD31">IFERROR(VLOOKUP($B31,FORECAST!$D$2:$O$25,7+BD$75,FALSE)/30*7,BC31)</f>
        <v>0.70000000000000007</v>
      </c>
      <c r="BE31" s="19" cm="1">
        <f t="array" ref="BE31">IFERROR(VLOOKUP($B31,FORECAST!$D$2:$O$25,7+BE$75,FALSE)/30*7,BD31)</f>
        <v>0.70000000000000007</v>
      </c>
      <c r="BF31" s="19" cm="1">
        <f t="array" ref="BF31">IFERROR(VLOOKUP($B31,FORECAST!$D$2:$O$25,7+BF$75,FALSE)/30*7,BE31)</f>
        <v>0.70000000000000007</v>
      </c>
      <c r="BG31" s="19" cm="1">
        <f t="array" ref="BG31">IFERROR(VLOOKUP($B31,FORECAST!$D$2:$O$25,7+BG$75,FALSE)/30*7,BF31)</f>
        <v>0.70000000000000007</v>
      </c>
      <c r="BH31" s="19" cm="1">
        <f t="array" ref="BH31">IFERROR(VLOOKUP($B31,FORECAST!$D$2:$O$25,7+BH$75,FALSE)/30*7,BG31)</f>
        <v>0.70000000000000007</v>
      </c>
      <c r="BI31" s="19" cm="1">
        <f t="array" ref="BI31">IFERROR(VLOOKUP($B31,FORECAST!$D$2:$O$25,7+BI$75,FALSE)/30*7,BH31)</f>
        <v>0.70000000000000007</v>
      </c>
      <c r="BJ31" s="19" cm="1">
        <f t="array" ref="BJ31">IFERROR(VLOOKUP($B31,FORECAST!$D$2:$O$25,7+BJ$75,FALSE)/30*7,BI31)</f>
        <v>0.70000000000000007</v>
      </c>
      <c r="BK31" s="19" cm="1">
        <f t="array" ref="BK31">IFERROR(VLOOKUP($B31,FORECAST!$D$2:$O$25,7+BK$75,FALSE)/30*7,BJ31)</f>
        <v>0.70000000000000007</v>
      </c>
      <c r="BL31" s="19" cm="1">
        <f t="array" ref="BL31">IFERROR(VLOOKUP($B31,FORECAST!$D$2:$O$25,7+BL$75,FALSE)/30*7,BK31)</f>
        <v>0.70000000000000007</v>
      </c>
      <c r="BM31" s="19" cm="1">
        <f t="array" ref="BM31">IFERROR(VLOOKUP($B31,FORECAST!$D$2:$O$25,7+BM$75,FALSE)/30*7,BL31)</f>
        <v>0.70000000000000007</v>
      </c>
      <c r="BN31" s="19" cm="1">
        <f t="array" ref="BN31">IFERROR(VLOOKUP($B31,FORECAST!$D$2:$O$25,7+BN$75,FALSE)/30*7,BM31)</f>
        <v>0.70000000000000007</v>
      </c>
      <c r="BO31" s="19" cm="1">
        <f t="array" ref="BO31">IFERROR(VLOOKUP($B31,FORECAST!$D$2:$O$25,7+BO$75,FALSE)/30*7,BN31)</f>
        <v>0.70000000000000007</v>
      </c>
      <c r="BP31" s="19" cm="1">
        <f t="array" ref="BP31">IFERROR(VLOOKUP($B31,FORECAST!$D$2:$O$25,7+BP$75,FALSE)/30*7,BO31)</f>
        <v>0.70000000000000007</v>
      </c>
      <c r="BQ31" s="19" cm="1">
        <f t="array" ref="BQ31">IFERROR(VLOOKUP($B31,FORECAST!$D$2:$O$25,7+BQ$75,FALSE)/30*7,BP31)</f>
        <v>0.70000000000000007</v>
      </c>
      <c r="BR31" s="19" cm="1">
        <f t="array" ref="BR31">IFERROR(VLOOKUP($B31,FORECAST!$D$2:$O$25,7+BR$75,FALSE)/30*7,BQ31)</f>
        <v>0.70000000000000007</v>
      </c>
      <c r="BS31" s="19" cm="1">
        <f t="array" ref="BS31">IFERROR(VLOOKUP($B31,FORECAST!$D$2:$O$25,7+BS$75,FALSE)/30*7,BR31)</f>
        <v>0.70000000000000007</v>
      </c>
      <c r="BT31" s="19" cm="1">
        <f t="array" ref="BT31">IFERROR(VLOOKUP($B31,FORECAST!$D$2:$O$25,7+BT$75,FALSE)/30*7,BS31)</f>
        <v>0.70000000000000007</v>
      </c>
      <c r="BU31" s="19" cm="1">
        <f t="array" ref="BU31">IFERROR(VLOOKUP($B31,FORECAST!$D$2:$O$25,7+BU$75,FALSE)/30*7,BT31)</f>
        <v>0.70000000000000007</v>
      </c>
      <c r="BV31" s="19" cm="1">
        <f t="array" ref="BV31">IFERROR(VLOOKUP($B31,FORECAST!$D$2:$O$25,7+BV$75,FALSE)/30*7,BU31)</f>
        <v>0.70000000000000007</v>
      </c>
      <c r="BW31" s="19" cm="1">
        <f t="array" ref="BW31">IFERROR(VLOOKUP($B31,FORECAST!$D$2:$O$25,7+BW$75,FALSE)/30*7,BV31)</f>
        <v>0.70000000000000007</v>
      </c>
      <c r="BX31" s="19" cm="1">
        <f t="array" ref="BX31">IFERROR(VLOOKUP($B31,FORECAST!$D$2:$O$25,7+BX$75,FALSE)/30*7,BW31)</f>
        <v>0.70000000000000007</v>
      </c>
      <c r="BY31" s="19" cm="1">
        <f t="array" ref="BY31">IFERROR(VLOOKUP($B31,FORECAST!$D$2:$O$25,7+BY$75,FALSE)/30*7,BX31)</f>
        <v>0.70000000000000007</v>
      </c>
      <c r="BZ31" s="19" cm="1">
        <f t="array" ref="BZ31">IFERROR(VLOOKUP($B31,FORECAST!$D$2:$O$25,7+BZ$75,FALSE)/30*7,BY31)</f>
        <v>0.70000000000000007</v>
      </c>
      <c r="CA31" s="19" cm="1">
        <f t="array" ref="CA31">IFERROR(VLOOKUP($B31,FORECAST!$D$2:$O$25,7+CA$75,FALSE)/30*7,BZ31)</f>
        <v>0.70000000000000007</v>
      </c>
      <c r="CB31" s="19" cm="1">
        <f t="array" ref="CB31">IFERROR(VLOOKUP($B31,FORECAST!$D$2:$O$25,7+CB$75,FALSE)/30*7,CA31)</f>
        <v>0.70000000000000007</v>
      </c>
      <c r="CC31" s="19" cm="1">
        <f t="array" ref="CC31">IFERROR(VLOOKUP($B31,FORECAST!$D$2:$O$25,7+CC$75,FALSE)/30*7,CB31)</f>
        <v>0.70000000000000007</v>
      </c>
      <c r="CD31" s="19" cm="1">
        <f t="array" ref="CD31">IFERROR(VLOOKUP($B31,FORECAST!$D$2:$O$25,7+CD$75,FALSE)/30*7,CC31)</f>
        <v>0.70000000000000007</v>
      </c>
      <c r="CE31" s="19" cm="1">
        <f t="array" ref="CE31">IFERROR(VLOOKUP($B31,FORECAST!$D$2:$O$25,7+CE$75,FALSE)/30*7,CD31)</f>
        <v>0.70000000000000007</v>
      </c>
      <c r="CF31" s="19" cm="1">
        <f t="array" ref="CF31">IFERROR(VLOOKUP($B31,FORECAST!$D$2:$O$25,7+CF$75,FALSE)/30*7,CE31)</f>
        <v>0.70000000000000007</v>
      </c>
      <c r="CG31" s="19" cm="1">
        <f t="array" ref="CG31">IFERROR(VLOOKUP($B31,FORECAST!$D$2:$O$25,7+CG$75,FALSE)/30*7,CF31)</f>
        <v>0.70000000000000007</v>
      </c>
      <c r="CH31" s="19" cm="1">
        <f t="array" ref="CH31">IFERROR(VLOOKUP($B31,FORECAST!$D$2:$O$25,7+CH$75,FALSE)/30*7,CG31)</f>
        <v>0.70000000000000007</v>
      </c>
      <c r="CI31" s="19" cm="1">
        <f t="array" ref="CI31">IFERROR(VLOOKUP($B31,FORECAST!$D$2:$O$25,7+CI$75,FALSE)/30*7,CH31)</f>
        <v>0.70000000000000007</v>
      </c>
      <c r="CJ31" s="19" cm="1">
        <f t="array" ref="CJ31">IFERROR(VLOOKUP($B31,FORECAST!$D$2:$O$25,7+CJ$75,FALSE)/30*7,CI31)</f>
        <v>0.70000000000000007</v>
      </c>
      <c r="CK31" s="19" cm="1">
        <f t="array" ref="CK31">IFERROR(VLOOKUP($B31,FORECAST!$D$2:$O$25,7+CK$75,FALSE)/30*7,CJ31)</f>
        <v>0.70000000000000007</v>
      </c>
      <c r="CL31" s="19" cm="1">
        <f t="array" ref="CL31">IFERROR(VLOOKUP($B31,FORECAST!$D$2:$O$25,7+CL$75,FALSE)/30*7,CK31)</f>
        <v>0.70000000000000007</v>
      </c>
      <c r="CM31" s="19" cm="1">
        <f t="array" ref="CM31">IFERROR(VLOOKUP($B31,FORECAST!$D$2:$O$25,7+CM$75,FALSE)/30*7,CL31)</f>
        <v>0.70000000000000007</v>
      </c>
      <c r="CN31" s="19" cm="1">
        <f t="array" ref="CN31">IFERROR(VLOOKUP($B31,FORECAST!$D$2:$O$25,7+CN$75,FALSE)/30*7,CM31)</f>
        <v>0.70000000000000007</v>
      </c>
      <c r="CO31" s="19" cm="1">
        <f t="array" ref="CO31">IFERROR(VLOOKUP($B31,FORECAST!$D$2:$O$25,7+CO$75,FALSE)/30*7,CN31)</f>
        <v>0.70000000000000007</v>
      </c>
      <c r="CP31" s="19" cm="1">
        <f t="array" ref="CP31">IFERROR(VLOOKUP($B31,FORECAST!$D$2:$O$25,7+CP$75,FALSE)/30*7,CO31)</f>
        <v>0.70000000000000007</v>
      </c>
      <c r="CQ31" s="19" cm="1">
        <f t="array" ref="CQ31">IFERROR(VLOOKUP($B31,FORECAST!$D$2:$O$25,7+CQ$75,FALSE)/30*7,CP31)</f>
        <v>0.70000000000000007</v>
      </c>
      <c r="CR31" s="19" cm="1">
        <f t="array" ref="CR31">IFERROR(VLOOKUP($B31,FORECAST!$D$2:$O$25,7+CR$75,FALSE)/30*7,CQ31)</f>
        <v>0.70000000000000007</v>
      </c>
      <c r="CS31" s="19" cm="1">
        <f t="array" ref="CS31">IFERROR(VLOOKUP($B31,FORECAST!$D$2:$O$25,7+CS$75,FALSE)/30*7,CR31)</f>
        <v>0.70000000000000007</v>
      </c>
      <c r="CT31" s="19" cm="1">
        <f t="array" ref="CT31">IFERROR(VLOOKUP($B31,FORECAST!$D$2:$O$25,7+CT$75,FALSE)/30*7,CS31)</f>
        <v>0.70000000000000007</v>
      </c>
      <c r="CU31" s="19" cm="1">
        <f t="array" ref="CU31">IFERROR(VLOOKUP($B31,FORECAST!$D$2:$O$25,7+CU$75,FALSE)/30*7,CT31)</f>
        <v>0.70000000000000007</v>
      </c>
      <c r="CV31" s="19" cm="1">
        <f t="array" ref="CV31">IFERROR(VLOOKUP($B31,FORECAST!$D$2:$O$25,7+CV$75,FALSE)/30*7,CU31)</f>
        <v>0.70000000000000007</v>
      </c>
      <c r="CW31" s="19" cm="1">
        <f t="array" ref="CW31">IFERROR(VLOOKUP($B31,FORECAST!$D$2:$O$25,7+CW$75,FALSE)/30*7,CV31)</f>
        <v>0.70000000000000007</v>
      </c>
      <c r="CX31" s="19" cm="1">
        <f t="array" ref="CX31">IFERROR(VLOOKUP($B31,FORECAST!$D$2:$O$25,7+CX$75,FALSE)/30*7,CW31)</f>
        <v>0.70000000000000007</v>
      </c>
      <c r="CY31" s="19" cm="1">
        <f t="array" ref="CY31">IFERROR(VLOOKUP($B31,FORECAST!$D$2:$O$25,7+CY$75,FALSE)/30*7,CX31)</f>
        <v>0.70000000000000007</v>
      </c>
      <c r="CZ31" s="19" cm="1">
        <f t="array" ref="CZ31">IFERROR(VLOOKUP($B31,FORECAST!$D$2:$O$25,7+CZ$75,FALSE)/30*7,CY31)</f>
        <v>0.70000000000000007</v>
      </c>
      <c r="DA31" s="19" cm="1">
        <f t="array" ref="DA31">IFERROR(VLOOKUP($B31,FORECAST!$D$2:$O$25,7+DA$75,FALSE)/30*7,CZ31)</f>
        <v>0.70000000000000007</v>
      </c>
      <c r="DB31" s="19" cm="1">
        <f t="array" ref="DB31">IFERROR(VLOOKUP($B31,FORECAST!$D$2:$O$25,7+DB$75,FALSE)/30*7,DA31)</f>
        <v>0.70000000000000007</v>
      </c>
      <c r="DC31" s="19" cm="1">
        <f t="array" ref="DC31">IFERROR(VLOOKUP($B31,FORECAST!$D$2:$O$25,7+DC$75,FALSE)/30*7,DB31)</f>
        <v>0.70000000000000007</v>
      </c>
      <c r="DD31" s="19" cm="1">
        <f t="array" ref="DD31">IFERROR(VLOOKUP($B31,FORECAST!$D$2:$O$25,7+DD$75,FALSE)/30*7,DC31)</f>
        <v>0.70000000000000007</v>
      </c>
      <c r="DE31" s="19" cm="1">
        <f t="array" ref="DE31">IFERROR(VLOOKUP($B31,FORECAST!$D$2:$O$25,7+DE$75,FALSE)/30*7,DD31)</f>
        <v>0.70000000000000007</v>
      </c>
      <c r="DF31" s="19" cm="1">
        <f t="array" ref="DF31">IFERROR(VLOOKUP($B31,FORECAST!$D$2:$O$25,7+DF$75,FALSE)/30*7,DE31)</f>
        <v>0.70000000000000007</v>
      </c>
      <c r="DG31" s="19" cm="1">
        <f t="array" ref="DG31">IFERROR(VLOOKUP($B31,FORECAST!$D$2:$O$25,7+DG$75,FALSE)/30*7,DF31)</f>
        <v>0.70000000000000007</v>
      </c>
      <c r="DH31" s="19" cm="1">
        <f t="array" ref="DH31">IFERROR(VLOOKUP($B31,FORECAST!$D$2:$O$25,7+DH$75,FALSE)/30*7,DG31)</f>
        <v>0.70000000000000007</v>
      </c>
      <c r="DI31" s="19" cm="1">
        <f t="array" ref="DI31">IFERROR(VLOOKUP($B31,FORECAST!$D$2:$O$25,7+DI$75,FALSE)/30*7,DH31)</f>
        <v>0.70000000000000007</v>
      </c>
      <c r="DJ31" s="19" cm="1">
        <f t="array" ref="DJ31">IFERROR(VLOOKUP($B31,FORECAST!$D$2:$O$25,7+DJ$75,FALSE)/30*7,DI31)</f>
        <v>0.70000000000000007</v>
      </c>
      <c r="DK31" s="19" cm="1">
        <f t="array" ref="DK31">IFERROR(VLOOKUP($B31,FORECAST!$D$2:$O$25,7+DK$75,FALSE)/30*7,DJ31)</f>
        <v>0.70000000000000007</v>
      </c>
      <c r="DL31" s="19" cm="1">
        <f t="array" ref="DL31">IFERROR(VLOOKUP($B31,FORECAST!$D$2:$O$25,7+DL$75,FALSE)/30*7,DK31)</f>
        <v>0.70000000000000007</v>
      </c>
      <c r="DM31" s="19" cm="1">
        <f t="array" ref="DM31">IFERROR(VLOOKUP($B31,FORECAST!$D$2:$O$25,7+DM$75,FALSE)/30*7,DL31)</f>
        <v>0.70000000000000007</v>
      </c>
      <c r="DN31" s="19" cm="1">
        <f t="array" ref="DN31">IFERROR(VLOOKUP($B31,FORECAST!$D$2:$O$25,7+DN$75,FALSE)/30*7,DM31)</f>
        <v>0.70000000000000007</v>
      </c>
      <c r="DO31" s="19" cm="1">
        <f t="array" ref="DO31">IFERROR(VLOOKUP($B31,FORECAST!$D$2:$O$25,7+DO$75,FALSE)/30*7,DN31)</f>
        <v>0.70000000000000007</v>
      </c>
      <c r="DP31" s="19" cm="1">
        <f t="array" ref="DP31">IFERROR(VLOOKUP($B31,FORECAST!$D$2:$O$25,7+DP$75,FALSE)/30*7,DO31)</f>
        <v>0.70000000000000007</v>
      </c>
      <c r="DQ31" s="19" cm="1">
        <f t="array" ref="DQ31">IFERROR(VLOOKUP($B31,FORECAST!$D$2:$O$25,7+DQ$75,FALSE)/30*7,DP31)</f>
        <v>0.70000000000000007</v>
      </c>
      <c r="DR31" s="19" cm="1">
        <f t="array" ref="DR31">IFERROR(VLOOKUP($B31,FORECAST!$D$2:$O$25,7+DR$75,FALSE)/30*7,DQ31)</f>
        <v>0.70000000000000007</v>
      </c>
      <c r="DS31" s="19" cm="1">
        <f t="array" ref="DS31">IFERROR(VLOOKUP($B31,FORECAST!$D$2:$O$25,7+DS$75,FALSE)/30*7,DR31)</f>
        <v>0.70000000000000007</v>
      </c>
      <c r="DT31" s="19" cm="1">
        <f t="array" ref="DT31">IFERROR(VLOOKUP($B31,FORECAST!$D$2:$O$25,7+DT$75,FALSE)/30*7,DS31)</f>
        <v>0.70000000000000007</v>
      </c>
      <c r="DU31" s="19" cm="1">
        <f t="array" ref="DU31">IFERROR(VLOOKUP($B31,FORECAST!$D$2:$O$25,7+DU$75,FALSE)/30*7,DT31)</f>
        <v>0.70000000000000007</v>
      </c>
      <c r="DV31" s="19" cm="1">
        <f t="array" ref="DV31">IFERROR(VLOOKUP($B31,FORECAST!$D$2:$O$25,7+DV$75,FALSE)/30*7,DU31)</f>
        <v>0.70000000000000007</v>
      </c>
      <c r="DW31" s="19" cm="1">
        <f t="array" ref="DW31">IFERROR(VLOOKUP($B31,FORECAST!$D$2:$O$25,7+DW$75,FALSE)/30*7,DV31)</f>
        <v>0.70000000000000007</v>
      </c>
    </row>
    <row r="32" spans="1:127" outlineLevel="1" x14ac:dyDescent="0.3">
      <c r="A32" s="96" t="str">
        <f t="shared" si="552"/>
        <v>106028578Production Week</v>
      </c>
      <c r="B32" s="20">
        <f t="shared" si="67"/>
        <v>106028578</v>
      </c>
      <c r="C32" s="20" t="str">
        <f t="shared" si="68"/>
        <v>L 3X3X1/4 GGMULTI 50'00"</v>
      </c>
      <c r="D32" s="20">
        <f t="shared" si="69"/>
        <v>1333</v>
      </c>
      <c r="E32" s="20" t="str">
        <f t="shared" si="70"/>
        <v>3" ANG</v>
      </c>
      <c r="F32" s="4" t="s">
        <v>206</v>
      </c>
      <c r="H32" s="1" t="str">
        <f>IF(IFERROR(VLOOKUP(CONCATENATE($D32,$E32,H$1),'ROLLING SCHED'!$A:$A,1,FALSE),"x")&lt;&gt;"x","x",IF(IFERROR(VLOOKUP(CONCATENATE($D32,$E32,H$1+7),'ROLLING SCHED'!$A:$A,1,FALSE),"y")&lt;&gt;"y","y",""))</f>
        <v/>
      </c>
      <c r="I32" s="1" t="str">
        <f>IF(IFERROR(VLOOKUP(CONCATENATE($D32,$E32,I$1),'ROLLING SCHED'!$A:$A,1,FALSE),"x")&lt;&gt;"x","x",IF(IFERROR(VLOOKUP(CONCATENATE($D32,$E32,I$1+7),'ROLLING SCHED'!$A:$A,1,FALSE),"y")&lt;&gt;"y","y",""))</f>
        <v>y</v>
      </c>
      <c r="J32" s="1" t="str">
        <f>IF(IFERROR(VLOOKUP(CONCATENATE($D32,$E32,J$1),'ROLLING SCHED'!$A:$A,1,FALSE),"x")&lt;&gt;"x","x",IF(IFERROR(VLOOKUP(CONCATENATE($D32,$E32,J$1+7),'ROLLING SCHED'!$A:$A,1,FALSE),"y")&lt;&gt;"y","y",""))</f>
        <v>x</v>
      </c>
      <c r="K32" s="112" t="str">
        <f>IF(IFERROR(VLOOKUP(CONCATENATE($D32,$E32,K$1),'ROLLING SCHED'!$A:$A,1,FALSE),"x")&lt;&gt;"x","x",IF(IFERROR(VLOOKUP(CONCATENATE($D32,$E32,K$1+7),'ROLLING SCHED'!$A:$A,1,FALSE),"y")&lt;&gt;"y","y",""))</f>
        <v/>
      </c>
      <c r="L32" s="112" t="str">
        <f>IF(IFERROR(VLOOKUP(CONCATENATE($D32,$E32,L$1),'ROLLING SCHED'!$A:$A,1,FALSE),"x")&lt;&gt;"x","x",IF(IFERROR(VLOOKUP(CONCATENATE($D32,$E32,L$1+7),'ROLLING SCHED'!$A:$A,1,FALSE),"y")&lt;&gt;"y","y",""))</f>
        <v/>
      </c>
      <c r="M32" s="112" t="str">
        <f>IF(IFERROR(VLOOKUP(CONCATENATE($D32,$E32,M$1),'ROLLING SCHED'!$A:$A,1,FALSE),"x")&lt;&gt;"x","x",IF(IFERROR(VLOOKUP(CONCATENATE($D32,$E32,M$1+7),'ROLLING SCHED'!$A:$A,1,FALSE),"y")&lt;&gt;"y","y",""))</f>
        <v/>
      </c>
      <c r="N32" s="112" t="str">
        <f>IF(IFERROR(VLOOKUP(CONCATENATE($D32,$E32,N$1),'ROLLING SCHED'!$A:$A,1,FALSE),"x")&lt;&gt;"x","x",IF(IFERROR(VLOOKUP(CONCATENATE($D32,$E32,N$1+7),'ROLLING SCHED'!$A:$A,1,FALSE),"y")&lt;&gt;"y","y",""))</f>
        <v>y</v>
      </c>
      <c r="O32" s="112" t="str">
        <f>IF(IFERROR(VLOOKUP(CONCATENATE($D32,$E32,O$1),'ROLLING SCHED'!$A:$A,1,FALSE),"x")&lt;&gt;"x","x",IF(IFERROR(VLOOKUP(CONCATENATE($D32,$E32,O$1+7),'ROLLING SCHED'!$A:$A,1,FALSE),"y")&lt;&gt;"y","y",""))</f>
        <v>x</v>
      </c>
      <c r="P32" s="112" t="str">
        <f>IF(IFERROR(VLOOKUP(CONCATENATE($D32,$E32,P$1),'ROLLING SCHED'!$A:$A,1,FALSE),"x")&lt;&gt;"x","x",IF(IFERROR(VLOOKUP(CONCATENATE($D32,$E32,P$1+7),'ROLLING SCHED'!$A:$A,1,FALSE),"y")&lt;&gt;"y","y",""))</f>
        <v/>
      </c>
      <c r="Q32" s="112" t="str">
        <f>IF(IFERROR(VLOOKUP(CONCATENATE($D32,$E32,Q$1),'ROLLING SCHED'!$A:$A,1,FALSE),"x")&lt;&gt;"x","x",IF(IFERROR(VLOOKUP(CONCATENATE($D32,$E32,Q$1+7),'ROLLING SCHED'!$A:$A,1,FALSE),"y")&lt;&gt;"y","y",""))</f>
        <v/>
      </c>
      <c r="R32" s="112" t="str">
        <f>IF(IFERROR(VLOOKUP(CONCATENATE($D32,$E32,R$1),'ROLLING SCHED'!$A:$A,1,FALSE),"x")&lt;&gt;"x","x",IF(IFERROR(VLOOKUP(CONCATENATE($D32,$E32,R$1+7),'ROLLING SCHED'!$A:$A,1,FALSE),"y")&lt;&gt;"y","y",""))</f>
        <v>y</v>
      </c>
      <c r="S32" s="9" t="str">
        <f>IF(IFERROR(VLOOKUP(CONCATENATE($D32,$E32,S$1),'ROLLING SCHED'!$A:$A,1,FALSE),"x")&lt;&gt;"x","x",IF(IFERROR(VLOOKUP(CONCATENATE($D32,$E32,S$1+7),'ROLLING SCHED'!$A:$A,1,FALSE),"y")&lt;&gt;"y","y",""))</f>
        <v>x</v>
      </c>
      <c r="T32" s="9" t="str">
        <f>IF(IFERROR(VLOOKUP(CONCATENATE($D32,$E32,T$1),'ROLLING SCHED'!$A:$A,1,FALSE),"x")&lt;&gt;"x","x",IF(IFERROR(VLOOKUP(CONCATENATE($D32,$E32,T$1+7),'ROLLING SCHED'!$A:$A,1,FALSE),"y")&lt;&gt;"y","y",""))</f>
        <v/>
      </c>
      <c r="U32" s="9" t="str">
        <f>IF(IFERROR(VLOOKUP(CONCATENATE($D32,$E32,U$1),'ROLLING SCHED'!$A:$A,1,FALSE),"x")&lt;&gt;"x","x",IF(IFERROR(VLOOKUP(CONCATENATE($D32,$E32,U$1+7),'ROLLING SCHED'!$A:$A,1,FALSE),"y")&lt;&gt;"y","y",""))</f>
        <v/>
      </c>
      <c r="V32" s="9" t="str">
        <f>IF(IFERROR(VLOOKUP(CONCATENATE($D32,$E32,V$1),'ROLLING SCHED'!$A:$A,1,FALSE),"x")&lt;&gt;"x","x",IF(IFERROR(VLOOKUP(CONCATENATE($D32,$E32,V$1+7),'ROLLING SCHED'!$A:$A,1,FALSE),"y")&lt;&gt;"y","y",""))</f>
        <v>y</v>
      </c>
      <c r="W32" s="9" t="str">
        <f>IF(IFERROR(VLOOKUP(CONCATENATE($D32,$E32,W$1),'ROLLING SCHED'!$A:$A,1,FALSE),"x")&lt;&gt;"x","x",IF(IFERROR(VLOOKUP(CONCATENATE($D32,$E32,W$1+7),'ROLLING SCHED'!$A:$A,1,FALSE),"y")&lt;&gt;"y","y",""))</f>
        <v>x</v>
      </c>
      <c r="X32" s="9" t="str">
        <f>IF(IFERROR(VLOOKUP(CONCATENATE($D32,$E32,X$1),'ROLLING SCHED'!$A:$A,1,FALSE),"x")&lt;&gt;"x","x",IF(IFERROR(VLOOKUP(CONCATENATE($D32,$E32,X$1+7),'ROLLING SCHED'!$A:$A,1,FALSE),"y")&lt;&gt;"y","y",""))</f>
        <v/>
      </c>
      <c r="Y32" s="9" t="str">
        <f>IF(IFERROR(VLOOKUP(CONCATENATE($D32,$E32,Y$1),'ROLLING SCHED'!$A:$A,1,FALSE),"x")&lt;&gt;"x","x",IF(IFERROR(VLOOKUP(CONCATENATE($D32,$E32,Y$1+7),'ROLLING SCHED'!$A:$A,1,FALSE),"y")&lt;&gt;"y","y",""))</f>
        <v/>
      </c>
      <c r="Z32" s="9" t="str">
        <f>IF(IFERROR(VLOOKUP(CONCATENATE($D32,$E32,Z$1),'ROLLING SCHED'!$A:$A,1,FALSE),"x")&lt;&gt;"x","x",IF(IFERROR(VLOOKUP(CONCATENATE($D32,$E32,Z$1+7),'ROLLING SCHED'!$A:$A,1,FALSE),"y")&lt;&gt;"y","y",""))</f>
        <v/>
      </c>
      <c r="AA32" s="9" t="str">
        <f>IF(IFERROR(VLOOKUP(CONCATENATE($D32,$E32,AA$1),'ROLLING SCHED'!$A:$A,1,FALSE),"x")&lt;&gt;"x","x",IF(IFERROR(VLOOKUP(CONCATENATE($D32,$E32,AA$1+7),'ROLLING SCHED'!$A:$A,1,FALSE),"y")&lt;&gt;"y","y",""))</f>
        <v>y</v>
      </c>
      <c r="AB32" s="1" t="str">
        <f>IF(IFERROR(VLOOKUP(CONCATENATE($D32,$E32,AB$1),'ROLLING SCHED'!$A:$A,1,FALSE),"x")&lt;&gt;"x","x",IF(IFERROR(VLOOKUP(CONCATENATE($D32,$E32,AB$1+7),'ROLLING SCHED'!$A:$A,1,FALSE),"y")&lt;&gt;"y","y",""))</f>
        <v>x</v>
      </c>
      <c r="AC32" s="1" t="str">
        <f>IF(IFERROR(VLOOKUP(CONCATENATE($D32,$E32,AC$1),'ROLLING SCHED'!$A:$A,1,FALSE),"x")&lt;&gt;"x","x",IF(IFERROR(VLOOKUP(CONCATENATE($D32,$E32,AC$1+7),'ROLLING SCHED'!$A:$A,1,FALSE),"y")&lt;&gt;"y","y",""))</f>
        <v/>
      </c>
      <c r="AD32" s="1" t="str">
        <f>IF(IFERROR(VLOOKUP(CONCATENATE($D32,$E32,AD$1),'ROLLING SCHED'!$A:$A,1,FALSE),"x")&lt;&gt;"x","x",IF(IFERROR(VLOOKUP(CONCATENATE($D32,$E32,AD$1+7),'ROLLING SCHED'!$A:$A,1,FALSE),"y")&lt;&gt;"y","y",""))</f>
        <v/>
      </c>
      <c r="AE32" s="1" t="str">
        <f>IF(IFERROR(VLOOKUP(CONCATENATE($D32,$E32,AE$1),'ROLLING SCHED'!$A:$A,1,FALSE),"x")&lt;&gt;"x","x",IF(IFERROR(VLOOKUP(CONCATENATE($D32,$E32,AE$1+7),'ROLLING SCHED'!$A:$A,1,FALSE),"y")&lt;&gt;"y","y",""))</f>
        <v/>
      </c>
      <c r="AF32" s="1" t="str">
        <f>IF(IFERROR(VLOOKUP(CONCATENATE($D32,$E32,AF$1),'ROLLING SCHED'!$A:$A,1,FALSE),"x")&lt;&gt;"x","x",IF(IFERROR(VLOOKUP(CONCATENATE($D32,$E32,AF$1+7),'ROLLING SCHED'!$A:$A,1,FALSE),"y")&lt;&gt;"y","y",""))</f>
        <v/>
      </c>
      <c r="AG32" s="1" t="str">
        <f>IF(IFERROR(VLOOKUP(CONCATENATE($D32,$E32,AG$1),'ROLLING SCHED'!$A:$A,1,FALSE),"x")&lt;&gt;"x","x",IF(IFERROR(VLOOKUP(CONCATENATE($D32,$E32,AG$1+7),'ROLLING SCHED'!$A:$A,1,FALSE),"y")&lt;&gt;"y","y",""))</f>
        <v/>
      </c>
      <c r="AH32" s="1" t="str">
        <f>IF(IFERROR(VLOOKUP(CONCATENATE($D32,$E32,AH$1),'ROLLING SCHED'!$A:$A,1,FALSE),"x")&lt;&gt;"x","x",IF(IFERROR(VLOOKUP(CONCATENATE($D32,$E32,AH$1+7),'ROLLING SCHED'!$A:$A,1,FALSE),"y")&lt;&gt;"y","y",""))</f>
        <v/>
      </c>
      <c r="AI32" s="1" t="str">
        <f>IF(IFERROR(VLOOKUP(CONCATENATE($D32,$E32,AI$1),'ROLLING SCHED'!$A:$A,1,FALSE),"x")&lt;&gt;"x","x",IF(IFERROR(VLOOKUP(CONCATENATE($D32,$E32,AI$1+7),'ROLLING SCHED'!$A:$A,1,FALSE),"y")&lt;&gt;"y","y",""))</f>
        <v/>
      </c>
      <c r="AJ32" s="1" t="str">
        <f>IF(IFERROR(VLOOKUP(CONCATENATE($D32,$E32,AJ$1),'ROLLING SCHED'!$A:$A,1,FALSE),"x")&lt;&gt;"x","x",IF(IFERROR(VLOOKUP(CONCATENATE($D32,$E32,AJ$1+7),'ROLLING SCHED'!$A:$A,1,FALSE),"y")&lt;&gt;"y","y",""))</f>
        <v>y</v>
      </c>
      <c r="AK32" s="1" t="str">
        <f>IF(IFERROR(VLOOKUP(CONCATENATE($D32,$E32,AK$1),'ROLLING SCHED'!$A:$A,1,FALSE),"x")&lt;&gt;"x","x",IF(IFERROR(VLOOKUP(CONCATENATE($D32,$E32,AK$1+7),'ROLLING SCHED'!$A:$A,1,FALSE),"y")&lt;&gt;"y","y",""))</f>
        <v>x</v>
      </c>
      <c r="AL32" s="1" t="str">
        <f>IF(IFERROR(VLOOKUP(CONCATENATE($D32,$E32,AL$1),'ROLLING SCHED'!$A:$A,1,FALSE),"x")&lt;&gt;"x","x",IF(IFERROR(VLOOKUP(CONCATENATE($D32,$E32,AL$1+7),'ROLLING SCHED'!$A:$A,1,FALSE),"y")&lt;&gt;"y","y",""))</f>
        <v/>
      </c>
      <c r="AM32" s="1" t="str">
        <f>IF(IFERROR(VLOOKUP(CONCATENATE($D32,$E32,AM$1),'ROLLING SCHED'!$A:$A,1,FALSE),"x")&lt;&gt;"x","x",IF(IFERROR(VLOOKUP(CONCATENATE($D32,$E32,AM$1+7),'ROLLING SCHED'!$A:$A,1,FALSE),"y")&lt;&gt;"y","y",""))</f>
        <v/>
      </c>
      <c r="AN32" s="1" t="str">
        <f>IF(IFERROR(VLOOKUP(CONCATENATE($D32,$E32,AN$1),'ROLLING SCHED'!$A:$A,1,FALSE),"x")&lt;&gt;"x","x",IF(IFERROR(VLOOKUP(CONCATENATE($D32,$E32,AN$1+7),'ROLLING SCHED'!$A:$A,1,FALSE),"y")&lt;&gt;"y","y",""))</f>
        <v/>
      </c>
      <c r="AO32" s="1" t="str">
        <f>IF(IFERROR(VLOOKUP(CONCATENATE($D32,$E32,AO$1),'ROLLING SCHED'!$A:$A,1,FALSE),"x")&lt;&gt;"x","x",IF(IFERROR(VLOOKUP(CONCATENATE($D32,$E32,AO$1+7),'ROLLING SCHED'!$A:$A,1,FALSE),"y")&lt;&gt;"y","y",""))</f>
        <v/>
      </c>
      <c r="AP32" s="1" t="str">
        <f>IF(IFERROR(VLOOKUP(CONCATENATE($D32,$E32,AP$1),'ROLLING SCHED'!$A:$A,1,FALSE),"x")&lt;&gt;"x","x",IF(IFERROR(VLOOKUP(CONCATENATE($D32,$E32,AP$1+7),'ROLLING SCHED'!$A:$A,1,FALSE),"y")&lt;&gt;"y","y",""))</f>
        <v/>
      </c>
      <c r="AQ32" s="1" t="str">
        <f>IF(IFERROR(VLOOKUP(CONCATENATE($D32,$E32,AQ$1),'ROLLING SCHED'!$A:$A,1,FALSE),"x")&lt;&gt;"x","x",IF(IFERROR(VLOOKUP(CONCATENATE($D32,$E32,AQ$1+7),'ROLLING SCHED'!$A:$A,1,FALSE),"y")&lt;&gt;"y","y",""))</f>
        <v/>
      </c>
      <c r="AR32" s="1" t="str">
        <f>IF(IFERROR(VLOOKUP(CONCATENATE($D32,$E32,AR$1),'ROLLING SCHED'!$A:$A,1,FALSE),"x")&lt;&gt;"x","x",IF(IFERROR(VLOOKUP(CONCATENATE($D32,$E32,AR$1+7),'ROLLING SCHED'!$A:$A,1,FALSE),"y")&lt;&gt;"y","y",""))</f>
        <v/>
      </c>
      <c r="AS32" s="1" t="str">
        <f>IF(IFERROR(VLOOKUP(CONCATENATE($D32,$E32,AS$1),'ROLLING SCHED'!$A:$A,1,FALSE),"x")&lt;&gt;"x","x",IF(IFERROR(VLOOKUP(CONCATENATE($D32,$E32,AS$1+7),'ROLLING SCHED'!$A:$A,1,FALSE),"y")&lt;&gt;"y","y",""))</f>
        <v/>
      </c>
      <c r="AT32" s="1" t="str">
        <f>IF(IFERROR(VLOOKUP(CONCATENATE($D32,$E32,AT$1),'ROLLING SCHED'!$A:$A,1,FALSE),"x")&lt;&gt;"x","x",IF(IFERROR(VLOOKUP(CONCATENATE($D32,$E32,AT$1+7),'ROLLING SCHED'!$A:$A,1,FALSE),"y")&lt;&gt;"y","y",""))</f>
        <v/>
      </c>
      <c r="AU32" s="1" t="str">
        <f>IF(IFERROR(VLOOKUP(CONCATENATE($D32,$E32,AU$1),'ROLLING SCHED'!$A:$A,1,FALSE),"x")&lt;&gt;"x","x",IF(IFERROR(VLOOKUP(CONCATENATE($D32,$E32,AU$1+7),'ROLLING SCHED'!$A:$A,1,FALSE),"y")&lt;&gt;"y","y",""))</f>
        <v/>
      </c>
      <c r="AV32" s="1" t="str">
        <f>IF(IFERROR(VLOOKUP(CONCATENATE($D32,$E32,AV$1),'ROLLING SCHED'!$A:$A,1,FALSE),"x")&lt;&gt;"x","x",IF(IFERROR(VLOOKUP(CONCATENATE($D32,$E32,AV$1+7),'ROLLING SCHED'!$A:$A,1,FALSE),"y")&lt;&gt;"y","y",""))</f>
        <v/>
      </c>
      <c r="AW32" s="1" t="str">
        <f>IF(IFERROR(VLOOKUP(CONCATENATE($D32,$E32,AW$1),'ROLLING SCHED'!$A:$A,1,FALSE),"x")&lt;&gt;"x","x",IF(IFERROR(VLOOKUP(CONCATENATE($D32,$E32,AW$1+7),'ROLLING SCHED'!$A:$A,1,FALSE),"y")&lt;&gt;"y","y",""))</f>
        <v/>
      </c>
      <c r="AX32" s="1" t="str">
        <f>IF(IFERROR(VLOOKUP(CONCATENATE($D32,$E32,AX$1),'ROLLING SCHED'!$A:$A,1,FALSE),"x")&lt;&gt;"x","x",IF(IFERROR(VLOOKUP(CONCATENATE($D32,$E32,AX$1+7),'ROLLING SCHED'!$A:$A,1,FALSE),"y")&lt;&gt;"y","y",""))</f>
        <v/>
      </c>
      <c r="AY32" s="1" t="str">
        <f>IF(IFERROR(VLOOKUP(CONCATENATE($D32,$E32,AY$1),'ROLLING SCHED'!$A:$A,1,FALSE),"x")&lt;&gt;"x","x",IF(IFERROR(VLOOKUP(CONCATENATE($D32,$E32,AY$1+7),'ROLLING SCHED'!$A:$A,1,FALSE),"y")&lt;&gt;"y","y",""))</f>
        <v/>
      </c>
      <c r="AZ32" s="1" t="str">
        <f>IF(IFERROR(VLOOKUP(CONCATENATE($D32,$E32,AZ$1),'ROLLING SCHED'!$A:$A,1,FALSE),"x")&lt;&gt;"x","x",IF(IFERROR(VLOOKUP(CONCATENATE($D32,$E32,AZ$1+7),'ROLLING SCHED'!$A:$A,1,FALSE),"y")&lt;&gt;"y","y",""))</f>
        <v/>
      </c>
      <c r="BA32" s="1" t="str">
        <f>IF(IFERROR(VLOOKUP(CONCATENATE($D32,$E32,BA$1),'ROLLING SCHED'!$A:$A,1,FALSE),"x")&lt;&gt;"x","x",IF(IFERROR(VLOOKUP(CONCATENATE($D32,$E32,BA$1+7),'ROLLING SCHED'!$A:$A,1,FALSE),"y")&lt;&gt;"y","y",""))</f>
        <v/>
      </c>
      <c r="BB32" s="1" t="str">
        <f>IF(IFERROR(VLOOKUP(CONCATENATE($D32,$E32,BB$1),'ROLLING SCHED'!$A:$A,1,FALSE),"x")&lt;&gt;"x","x",IF(IFERROR(VLOOKUP(CONCATENATE($D32,$E32,BB$1+7),'ROLLING SCHED'!$A:$A,1,FALSE),"y")&lt;&gt;"y","y",""))</f>
        <v/>
      </c>
      <c r="BC32" s="1" t="str">
        <f>IF(IFERROR(VLOOKUP(CONCATENATE($D32,$E32,BC$1),'ROLLING SCHED'!$A:$A,1,FALSE),"x")&lt;&gt;"x","x",IF(IFERROR(VLOOKUP(CONCATENATE($D32,$E32,BC$1+7),'ROLLING SCHED'!$A:$A,1,FALSE),"y")&lt;&gt;"y","y",""))</f>
        <v/>
      </c>
      <c r="BD32" s="1" t="str">
        <f>IF(IFERROR(VLOOKUP(CONCATENATE($D32,$E32,BD$1),'ROLLING SCHED'!$A:$A,1,FALSE),"x")&lt;&gt;"x","x",IF(IFERROR(VLOOKUP(CONCATENATE($D32,$E32,BD$1+7),'ROLLING SCHED'!$A:$A,1,FALSE),"y")&lt;&gt;"y","y",""))</f>
        <v/>
      </c>
      <c r="BE32" s="1" t="str">
        <f>IF(IFERROR(VLOOKUP(CONCATENATE($D32,$E32,BE$1),'ROLLING SCHED'!$A:$A,1,FALSE),"x")&lt;&gt;"x","x",IF(IFERROR(VLOOKUP(CONCATENATE($D32,$E32,BE$1+7),'ROLLING SCHED'!$A:$A,1,FALSE),"y")&lt;&gt;"y","y",""))</f>
        <v/>
      </c>
      <c r="BF32" s="1" t="str">
        <f>IF(IFERROR(VLOOKUP(CONCATENATE($D32,$E32,BF$1),'ROLLING SCHED'!$A:$A,1,FALSE),"x")&lt;&gt;"x","x",IF(IFERROR(VLOOKUP(CONCATENATE($D32,$E32,BF$1+7),'ROLLING SCHED'!$A:$A,1,FALSE),"y")&lt;&gt;"y","y",""))</f>
        <v/>
      </c>
      <c r="BG32" s="1" t="str">
        <f>IF(IFERROR(VLOOKUP(CONCATENATE($D32,$E32,BG$1),'ROLLING SCHED'!$A:$A,1,FALSE),"x")&lt;&gt;"x","x",IF(IFERROR(VLOOKUP(CONCATENATE($D32,$E32,BG$1+7),'ROLLING SCHED'!$A:$A,1,FALSE),"y")&lt;&gt;"y","y",""))</f>
        <v/>
      </c>
      <c r="BH32" s="1" t="str">
        <f>IF(IFERROR(VLOOKUP(CONCATENATE($D32,$E32,BH$1),'ROLLING SCHED'!$A:$A,1,FALSE),"x")&lt;&gt;"x","x",IF(IFERROR(VLOOKUP(CONCATENATE($D32,$E32,BH$1+7),'ROLLING SCHED'!$A:$A,1,FALSE),"y")&lt;&gt;"y","y",""))</f>
        <v/>
      </c>
      <c r="BI32" s="1" t="str">
        <f>IF(IFERROR(VLOOKUP(CONCATENATE($D32,$E32,BI$1),'ROLLING SCHED'!$A:$A,1,FALSE),"x")&lt;&gt;"x","x",IF(IFERROR(VLOOKUP(CONCATENATE($D32,$E32,BI$1+7),'ROLLING SCHED'!$A:$A,1,FALSE),"y")&lt;&gt;"y","y",""))</f>
        <v/>
      </c>
      <c r="BJ32" s="1" t="str">
        <f>IF(IFERROR(VLOOKUP(CONCATENATE($D32,$E32,BJ$1),'ROLLING SCHED'!$A:$A,1,FALSE),"x")&lt;&gt;"x","x",IF(IFERROR(VLOOKUP(CONCATENATE($D32,$E32,BJ$1+7),'ROLLING SCHED'!$A:$A,1,FALSE),"y")&lt;&gt;"y","y",""))</f>
        <v/>
      </c>
      <c r="BK32" s="1" t="str">
        <f>IF(IFERROR(VLOOKUP(CONCATENATE($D32,$E32,BK$1),'ROLLING SCHED'!$A:$A,1,FALSE),"x")&lt;&gt;"x","x",IF(IFERROR(VLOOKUP(CONCATENATE($D32,$E32,BK$1+7),'ROLLING SCHED'!$A:$A,1,FALSE),"y")&lt;&gt;"y","y",""))</f>
        <v/>
      </c>
      <c r="BL32" s="1" t="str">
        <f>IF(IFERROR(VLOOKUP(CONCATENATE($D32,$E32,BL$1),'ROLLING SCHED'!$A:$A,1,FALSE),"x")&lt;&gt;"x","x",IF(IFERROR(VLOOKUP(CONCATENATE($D32,$E32,BL$1+7),'ROLLING SCHED'!$A:$A,1,FALSE),"y")&lt;&gt;"y","y",""))</f>
        <v/>
      </c>
      <c r="BM32" s="1" t="str">
        <f>IF(IFERROR(VLOOKUP(CONCATENATE($D32,$E32,BM$1),'ROLLING SCHED'!$A:$A,1,FALSE),"x")&lt;&gt;"x","x",IF(IFERROR(VLOOKUP(CONCATENATE($D32,$E32,BM$1+7),'ROLLING SCHED'!$A:$A,1,FALSE),"y")&lt;&gt;"y","y",""))</f>
        <v/>
      </c>
      <c r="BN32" s="1" t="str">
        <f>IF(IFERROR(VLOOKUP(CONCATENATE($D32,$E32,BN$1),'ROLLING SCHED'!$A:$A,1,FALSE),"x")&lt;&gt;"x","x",IF(IFERROR(VLOOKUP(CONCATENATE($D32,$E32,BN$1+7),'ROLLING SCHED'!$A:$A,1,FALSE),"y")&lt;&gt;"y","y",""))</f>
        <v/>
      </c>
      <c r="BO32" s="1" t="str">
        <f>IF(IFERROR(VLOOKUP(CONCATENATE($D32,$E32,BO$1),'ROLLING SCHED'!$A:$A,1,FALSE),"x")&lt;&gt;"x","x",IF(IFERROR(VLOOKUP(CONCATENATE($D32,$E32,BO$1+7),'ROLLING SCHED'!$A:$A,1,FALSE),"y")&lt;&gt;"y","y",""))</f>
        <v/>
      </c>
      <c r="BP32" s="1" t="str">
        <f>IF(IFERROR(VLOOKUP(CONCATENATE($D32,$E32,BP$1),'ROLLING SCHED'!$A:$A,1,FALSE),"x")&lt;&gt;"x","x",IF(IFERROR(VLOOKUP(CONCATENATE($D32,$E32,BP$1+7),'ROLLING SCHED'!$A:$A,1,FALSE),"y")&lt;&gt;"y","y",""))</f>
        <v/>
      </c>
      <c r="BQ32" s="1" t="str">
        <f>IF(IFERROR(VLOOKUP(CONCATENATE($D32,$E32,BQ$1),'ROLLING SCHED'!$A:$A,1,FALSE),"x")&lt;&gt;"x","x",IF(IFERROR(VLOOKUP(CONCATENATE($D32,$E32,BQ$1+7),'ROLLING SCHED'!$A:$A,1,FALSE),"y")&lt;&gt;"y","y",""))</f>
        <v/>
      </c>
      <c r="BR32" s="1" t="str">
        <f>IF(IFERROR(VLOOKUP(CONCATENATE($D32,$E32,BR$1),'ROLLING SCHED'!$A:$A,1,FALSE),"x")&lt;&gt;"x","x",IF(IFERROR(VLOOKUP(CONCATENATE($D32,$E32,BR$1+7),'ROLLING SCHED'!$A:$A,1,FALSE),"y")&lt;&gt;"y","y",""))</f>
        <v/>
      </c>
      <c r="BS32" s="1" t="str">
        <f>IF(IFERROR(VLOOKUP(CONCATENATE($D32,$E32,BS$1),'ROLLING SCHED'!$A:$A,1,FALSE),"x")&lt;&gt;"x","x",IF(IFERROR(VLOOKUP(CONCATENATE($D32,$E32,BS$1+7),'ROLLING SCHED'!$A:$A,1,FALSE),"y")&lt;&gt;"y","y",""))</f>
        <v/>
      </c>
      <c r="BT32" s="1" t="str">
        <f>IF(IFERROR(VLOOKUP(CONCATENATE($D32,$E32,BT$1),'ROLLING SCHED'!$A:$A,1,FALSE),"x")&lt;&gt;"x","x",IF(IFERROR(VLOOKUP(CONCATENATE($D32,$E32,BT$1+7),'ROLLING SCHED'!$A:$A,1,FALSE),"y")&lt;&gt;"y","y",""))</f>
        <v/>
      </c>
      <c r="BU32" s="1" t="str">
        <f>IF(IFERROR(VLOOKUP(CONCATENATE($D32,$E32,BU$1),'ROLLING SCHED'!$A:$A,1,FALSE),"x")&lt;&gt;"x","x",IF(IFERROR(VLOOKUP(CONCATENATE($D32,$E32,BU$1+7),'ROLLING SCHED'!$A:$A,1,FALSE),"y")&lt;&gt;"y","y",""))</f>
        <v/>
      </c>
      <c r="BV32" s="1" t="str">
        <f>IF(IFERROR(VLOOKUP(CONCATENATE($D32,$E32,BV$1),'ROLLING SCHED'!$A:$A,1,FALSE),"x")&lt;&gt;"x","x",IF(IFERROR(VLOOKUP(CONCATENATE($D32,$E32,BV$1+7),'ROLLING SCHED'!$A:$A,1,FALSE),"y")&lt;&gt;"y","y",""))</f>
        <v/>
      </c>
      <c r="BW32" s="1" t="str">
        <f>IF(IFERROR(VLOOKUP(CONCATENATE($D32,$E32,BW$1),'ROLLING SCHED'!$A:$A,1,FALSE),"x")&lt;&gt;"x","x",IF(IFERROR(VLOOKUP(CONCATENATE($D32,$E32,BW$1+7),'ROLLING SCHED'!$A:$A,1,FALSE),"y")&lt;&gt;"y","y",""))</f>
        <v/>
      </c>
      <c r="BX32" s="1" t="str">
        <f>IF(IFERROR(VLOOKUP(CONCATENATE($D32,$E32,BX$1),'ROLLING SCHED'!$A:$A,1,FALSE),"x")&lt;&gt;"x","x",IF(IFERROR(VLOOKUP(CONCATENATE($D32,$E32,BX$1+7),'ROLLING SCHED'!$A:$A,1,FALSE),"y")&lt;&gt;"y","y",""))</f>
        <v/>
      </c>
      <c r="BY32" s="1" t="str">
        <f>IF(IFERROR(VLOOKUP(CONCATENATE($D32,$E32,BY$1),'ROLLING SCHED'!$A:$A,1,FALSE),"x")&lt;&gt;"x","x",IF(IFERROR(VLOOKUP(CONCATENATE($D32,$E32,BY$1+7),'ROLLING SCHED'!$A:$A,1,FALSE),"y")&lt;&gt;"y","y",""))</f>
        <v/>
      </c>
      <c r="BZ32" s="1" t="str">
        <f>IF(IFERROR(VLOOKUP(CONCATENATE($D32,$E32,BZ$1),'ROLLING SCHED'!$A:$A,1,FALSE),"x")&lt;&gt;"x","x",IF(IFERROR(VLOOKUP(CONCATENATE($D32,$E32,BZ$1+7),'ROLLING SCHED'!$A:$A,1,FALSE),"y")&lt;&gt;"y","y",""))</f>
        <v/>
      </c>
      <c r="CA32" s="1" t="str">
        <f>IF(IFERROR(VLOOKUP(CONCATENATE($D32,$E32,CA$1),'ROLLING SCHED'!$A:$A,1,FALSE),"x")&lt;&gt;"x","x",IF(IFERROR(VLOOKUP(CONCATENATE($D32,$E32,CA$1+7),'ROLLING SCHED'!$A:$A,1,FALSE),"y")&lt;&gt;"y","y",""))</f>
        <v/>
      </c>
      <c r="CB32" s="1" t="str">
        <f>IF(IFERROR(VLOOKUP(CONCATENATE($D32,$E32,CB$1),'ROLLING SCHED'!$A:$A,1,FALSE),"x")&lt;&gt;"x","x",IF(IFERROR(VLOOKUP(CONCATENATE($D32,$E32,CB$1+7),'ROLLING SCHED'!$A:$A,1,FALSE),"y")&lt;&gt;"y","y",""))</f>
        <v/>
      </c>
      <c r="CC32" s="1" t="str">
        <f>IF(IFERROR(VLOOKUP(CONCATENATE($D32,$E32,CC$1),'ROLLING SCHED'!$A:$A,1,FALSE),"x")&lt;&gt;"x","x",IF(IFERROR(VLOOKUP(CONCATENATE($D32,$E32,CC$1+7),'ROLLING SCHED'!$A:$A,1,FALSE),"y")&lt;&gt;"y","y",""))</f>
        <v/>
      </c>
      <c r="CD32" s="1" t="str">
        <f>IF(IFERROR(VLOOKUP(CONCATENATE($D32,$E32,CD$1),'ROLLING SCHED'!$A:$A,1,FALSE),"x")&lt;&gt;"x","x",IF(IFERROR(VLOOKUP(CONCATENATE($D32,$E32,CD$1+7),'ROLLING SCHED'!$A:$A,1,FALSE),"y")&lt;&gt;"y","y",""))</f>
        <v/>
      </c>
      <c r="CE32" s="1" t="str">
        <f>IF(IFERROR(VLOOKUP(CONCATENATE($D32,$E32,CE$1),'ROLLING SCHED'!$A:$A,1,FALSE),"x")&lt;&gt;"x","x",IF(IFERROR(VLOOKUP(CONCATENATE($D32,$E32,CE$1+7),'ROLLING SCHED'!$A:$A,1,FALSE),"y")&lt;&gt;"y","y",""))</f>
        <v/>
      </c>
      <c r="CF32" s="1" t="str">
        <f>IF(IFERROR(VLOOKUP(CONCATENATE($D32,$E32,CF$1),'ROLLING SCHED'!$A:$A,1,FALSE),"x")&lt;&gt;"x","x",IF(IFERROR(VLOOKUP(CONCATENATE($D32,$E32,CF$1+7),'ROLLING SCHED'!$A:$A,1,FALSE),"y")&lt;&gt;"y","y",""))</f>
        <v/>
      </c>
      <c r="CG32" s="1" t="str">
        <f>IF(IFERROR(VLOOKUP(CONCATENATE($D32,$E32,CG$1),'ROLLING SCHED'!$A:$A,1,FALSE),"x")&lt;&gt;"x","x",IF(IFERROR(VLOOKUP(CONCATENATE($D32,$E32,CG$1+7),'ROLLING SCHED'!$A:$A,1,FALSE),"y")&lt;&gt;"y","y",""))</f>
        <v/>
      </c>
      <c r="CH32" s="1" t="str">
        <f>IF(IFERROR(VLOOKUP(CONCATENATE($D32,$E32,CH$1),'ROLLING SCHED'!$A:$A,1,FALSE),"x")&lt;&gt;"x","x",IF(IFERROR(VLOOKUP(CONCATENATE($D32,$E32,CH$1+7),'ROLLING SCHED'!$A:$A,1,FALSE),"y")&lt;&gt;"y","y",""))</f>
        <v/>
      </c>
      <c r="CI32" s="1" t="str">
        <f>IF(IFERROR(VLOOKUP(CONCATENATE($D32,$E32,CI$1),'ROLLING SCHED'!$A:$A,1,FALSE),"x")&lt;&gt;"x","x",IF(IFERROR(VLOOKUP(CONCATENATE($D32,$E32,CI$1+7),'ROLLING SCHED'!$A:$A,1,FALSE),"y")&lt;&gt;"y","y",""))</f>
        <v/>
      </c>
      <c r="CJ32" s="1" t="str">
        <f>IF(IFERROR(VLOOKUP(CONCATENATE($D32,$E32,CJ$1),'ROLLING SCHED'!$A:$A,1,FALSE),"x")&lt;&gt;"x","x",IF(IFERROR(VLOOKUP(CONCATENATE($D32,$E32,CJ$1+7),'ROLLING SCHED'!$A:$A,1,FALSE),"y")&lt;&gt;"y","y",""))</f>
        <v/>
      </c>
      <c r="CK32" s="1" t="str">
        <f>IF(IFERROR(VLOOKUP(CONCATENATE($D32,$E32,CK$1),'ROLLING SCHED'!$A:$A,1,FALSE),"x")&lt;&gt;"x","x",IF(IFERROR(VLOOKUP(CONCATENATE($D32,$E32,CK$1+7),'ROLLING SCHED'!$A:$A,1,FALSE),"y")&lt;&gt;"y","y",""))</f>
        <v/>
      </c>
      <c r="CL32" s="1" t="str">
        <f>IF(IFERROR(VLOOKUP(CONCATENATE($D32,$E32,CL$1),'ROLLING SCHED'!$A:$A,1,FALSE),"x")&lt;&gt;"x","x",IF(IFERROR(VLOOKUP(CONCATENATE($D32,$E32,CL$1+7),'ROLLING SCHED'!$A:$A,1,FALSE),"y")&lt;&gt;"y","y",""))</f>
        <v/>
      </c>
      <c r="CM32" s="1" t="str">
        <f>IF(IFERROR(VLOOKUP(CONCATENATE($D32,$E32,CM$1),'ROLLING SCHED'!$A:$A,1,FALSE),"x")&lt;&gt;"x","x",IF(IFERROR(VLOOKUP(CONCATENATE($D32,$E32,CM$1+7),'ROLLING SCHED'!$A:$A,1,FALSE),"y")&lt;&gt;"y","y",""))</f>
        <v/>
      </c>
      <c r="CN32" s="1" t="str">
        <f>IF(IFERROR(VLOOKUP(CONCATENATE($D32,$E32,CN$1),'ROLLING SCHED'!$A:$A,1,FALSE),"x")&lt;&gt;"x","x",IF(IFERROR(VLOOKUP(CONCATENATE($D32,$E32,CN$1+7),'ROLLING SCHED'!$A:$A,1,FALSE),"y")&lt;&gt;"y","y",""))</f>
        <v/>
      </c>
      <c r="CO32" s="1" t="str">
        <f>IF(IFERROR(VLOOKUP(CONCATENATE($D32,$E32,CO$1),'ROLLING SCHED'!$A:$A,1,FALSE),"x")&lt;&gt;"x","x",IF(IFERROR(VLOOKUP(CONCATENATE($D32,$E32,CO$1+7),'ROLLING SCHED'!$A:$A,1,FALSE),"y")&lt;&gt;"y","y",""))</f>
        <v/>
      </c>
      <c r="CP32" s="1" t="str">
        <f>IF(IFERROR(VLOOKUP(CONCATENATE($D32,$E32,CP$1),'ROLLING SCHED'!$A:$A,1,FALSE),"x")&lt;&gt;"x","x",IF(IFERROR(VLOOKUP(CONCATENATE($D32,$E32,CP$1+7),'ROLLING SCHED'!$A:$A,1,FALSE),"y")&lt;&gt;"y","y",""))</f>
        <v/>
      </c>
      <c r="CQ32" s="1" t="str">
        <f>IF(IFERROR(VLOOKUP(CONCATENATE($D32,$E32,CQ$1),'ROLLING SCHED'!$A:$A,1,FALSE),"x")&lt;&gt;"x","x",IF(IFERROR(VLOOKUP(CONCATENATE($D32,$E32,CQ$1+7),'ROLLING SCHED'!$A:$A,1,FALSE),"y")&lt;&gt;"y","y",""))</f>
        <v/>
      </c>
      <c r="CR32" s="1" t="str">
        <f>IF(IFERROR(VLOOKUP(CONCATENATE($D32,$E32,CR$1),'ROLLING SCHED'!$A:$A,1,FALSE),"x")&lt;&gt;"x","x",IF(IFERROR(VLOOKUP(CONCATENATE($D32,$E32,CR$1+7),'ROLLING SCHED'!$A:$A,1,FALSE),"y")&lt;&gt;"y","y",""))</f>
        <v/>
      </c>
      <c r="CS32" s="1" t="str">
        <f>IF(IFERROR(VLOOKUP(CONCATENATE($D32,$E32,CS$1),'ROLLING SCHED'!$A:$A,1,FALSE),"x")&lt;&gt;"x","x",IF(IFERROR(VLOOKUP(CONCATENATE($D32,$E32,CS$1+7),'ROLLING SCHED'!$A:$A,1,FALSE),"y")&lt;&gt;"y","y",""))</f>
        <v/>
      </c>
      <c r="CT32" s="1" t="str">
        <f>IF(IFERROR(VLOOKUP(CONCATENATE($D32,$E32,CT$1),'ROLLING SCHED'!$A:$A,1,FALSE),"x")&lt;&gt;"x","x",IF(IFERROR(VLOOKUP(CONCATENATE($D32,$E32,CT$1+7),'ROLLING SCHED'!$A:$A,1,FALSE),"y")&lt;&gt;"y","y",""))</f>
        <v/>
      </c>
      <c r="CU32" s="1" t="str">
        <f>IF(IFERROR(VLOOKUP(CONCATENATE($D32,$E32,CU$1),'ROLLING SCHED'!$A:$A,1,FALSE),"x")&lt;&gt;"x","x",IF(IFERROR(VLOOKUP(CONCATENATE($D32,$E32,CU$1+7),'ROLLING SCHED'!$A:$A,1,FALSE),"y")&lt;&gt;"y","y",""))</f>
        <v/>
      </c>
      <c r="CV32" s="1" t="str">
        <f>IF(IFERROR(VLOOKUP(CONCATENATE($D32,$E32,CV$1),'ROLLING SCHED'!$A:$A,1,FALSE),"x")&lt;&gt;"x","x",IF(IFERROR(VLOOKUP(CONCATENATE($D32,$E32,CV$1+7),'ROLLING SCHED'!$A:$A,1,FALSE),"y")&lt;&gt;"y","y",""))</f>
        <v/>
      </c>
      <c r="CW32" s="1" t="str">
        <f>IF(IFERROR(VLOOKUP(CONCATENATE($D32,$E32,CW$1),'ROLLING SCHED'!$A:$A,1,FALSE),"x")&lt;&gt;"x","x",IF(IFERROR(VLOOKUP(CONCATENATE($D32,$E32,CW$1+7),'ROLLING SCHED'!$A:$A,1,FALSE),"y")&lt;&gt;"y","y",""))</f>
        <v/>
      </c>
      <c r="CX32" s="1" t="str">
        <f>IF(IFERROR(VLOOKUP(CONCATENATE($D32,$E32,CX$1),'ROLLING SCHED'!$A:$A,1,FALSE),"x")&lt;&gt;"x","x",IF(IFERROR(VLOOKUP(CONCATENATE($D32,$E32,CX$1+7),'ROLLING SCHED'!$A:$A,1,FALSE),"y")&lt;&gt;"y","y",""))</f>
        <v/>
      </c>
      <c r="CY32" s="1" t="str">
        <f>IF(IFERROR(VLOOKUP(CONCATENATE($D32,$E32,CY$1),'ROLLING SCHED'!$A:$A,1,FALSE),"x")&lt;&gt;"x","x",IF(IFERROR(VLOOKUP(CONCATENATE($D32,$E32,CY$1+7),'ROLLING SCHED'!$A:$A,1,FALSE),"y")&lt;&gt;"y","y",""))</f>
        <v/>
      </c>
      <c r="CZ32" s="1" t="str">
        <f>IF(IFERROR(VLOOKUP(CONCATENATE($D32,$E32,CZ$1),'ROLLING SCHED'!$A:$A,1,FALSE),"x")&lt;&gt;"x","x",IF(IFERROR(VLOOKUP(CONCATENATE($D32,$E32,CZ$1+7),'ROLLING SCHED'!$A:$A,1,FALSE),"y")&lt;&gt;"y","y",""))</f>
        <v/>
      </c>
      <c r="DA32" s="1" t="str">
        <f>IF(IFERROR(VLOOKUP(CONCATENATE($D32,$E32,DA$1),'ROLLING SCHED'!$A:$A,1,FALSE),"x")&lt;&gt;"x","x",IF(IFERROR(VLOOKUP(CONCATENATE($D32,$E32,DA$1+7),'ROLLING SCHED'!$A:$A,1,FALSE),"y")&lt;&gt;"y","y",""))</f>
        <v/>
      </c>
      <c r="DB32" s="1" t="str">
        <f>IF(IFERROR(VLOOKUP(CONCATENATE($D32,$E32,DB$1),'ROLLING SCHED'!$A:$A,1,FALSE),"x")&lt;&gt;"x","x",IF(IFERROR(VLOOKUP(CONCATENATE($D32,$E32,DB$1+7),'ROLLING SCHED'!$A:$A,1,FALSE),"y")&lt;&gt;"y","y",""))</f>
        <v/>
      </c>
      <c r="DC32" s="1" t="str">
        <f>IF(IFERROR(VLOOKUP(CONCATENATE($D32,$E32,DC$1),'ROLLING SCHED'!$A:$A,1,FALSE),"x")&lt;&gt;"x","x",IF(IFERROR(VLOOKUP(CONCATENATE($D32,$E32,DC$1+7),'ROLLING SCHED'!$A:$A,1,FALSE),"y")&lt;&gt;"y","y",""))</f>
        <v/>
      </c>
      <c r="DD32" s="1" t="str">
        <f>IF(IFERROR(VLOOKUP(CONCATENATE($D32,$E32,DD$1),'ROLLING SCHED'!$A:$A,1,FALSE),"x")&lt;&gt;"x","x",IF(IFERROR(VLOOKUP(CONCATENATE($D32,$E32,DD$1+7),'ROLLING SCHED'!$A:$A,1,FALSE),"y")&lt;&gt;"y","y",""))</f>
        <v/>
      </c>
      <c r="DE32" s="1" t="str">
        <f>IF(IFERROR(VLOOKUP(CONCATENATE($D32,$E32,DE$1),'ROLLING SCHED'!$A:$A,1,FALSE),"x")&lt;&gt;"x","x",IF(IFERROR(VLOOKUP(CONCATENATE($D32,$E32,DE$1+7),'ROLLING SCHED'!$A:$A,1,FALSE),"y")&lt;&gt;"y","y",""))</f>
        <v/>
      </c>
      <c r="DF32" s="1" t="str">
        <f>IF(IFERROR(VLOOKUP(CONCATENATE($D32,$E32,DF$1),'ROLLING SCHED'!$A:$A,1,FALSE),"x")&lt;&gt;"x","x",IF(IFERROR(VLOOKUP(CONCATENATE($D32,$E32,DF$1+7),'ROLLING SCHED'!$A:$A,1,FALSE),"y")&lt;&gt;"y","y",""))</f>
        <v/>
      </c>
      <c r="DG32" s="1" t="str">
        <f>IF(IFERROR(VLOOKUP(CONCATENATE($D32,$E32,DG$1),'ROLLING SCHED'!$A:$A,1,FALSE),"x")&lt;&gt;"x","x",IF(IFERROR(VLOOKUP(CONCATENATE($D32,$E32,DG$1+7),'ROLLING SCHED'!$A:$A,1,FALSE),"y")&lt;&gt;"y","y",""))</f>
        <v/>
      </c>
      <c r="DH32" s="1" t="str">
        <f>IF(IFERROR(VLOOKUP(CONCATENATE($D32,$E32,DH$1),'ROLLING SCHED'!$A:$A,1,FALSE),"x")&lt;&gt;"x","x",IF(IFERROR(VLOOKUP(CONCATENATE($D32,$E32,DH$1+7),'ROLLING SCHED'!$A:$A,1,FALSE),"y")&lt;&gt;"y","y",""))</f>
        <v/>
      </c>
      <c r="DI32" s="1" t="str">
        <f>IF(IFERROR(VLOOKUP(CONCATENATE($D32,$E32,DI$1),'ROLLING SCHED'!$A:$A,1,FALSE),"x")&lt;&gt;"x","x",IF(IFERROR(VLOOKUP(CONCATENATE($D32,$E32,DI$1+7),'ROLLING SCHED'!$A:$A,1,FALSE),"y")&lt;&gt;"y","y",""))</f>
        <v/>
      </c>
      <c r="DJ32" s="1" t="str">
        <f>IF(IFERROR(VLOOKUP(CONCATENATE($D32,$E32,DJ$1),'ROLLING SCHED'!$A:$A,1,FALSE),"x")&lt;&gt;"x","x",IF(IFERROR(VLOOKUP(CONCATENATE($D32,$E32,DJ$1+7),'ROLLING SCHED'!$A:$A,1,FALSE),"y")&lt;&gt;"y","y",""))</f>
        <v/>
      </c>
      <c r="DK32" s="1" t="str">
        <f>IF(IFERROR(VLOOKUP(CONCATENATE($D32,$E32,DK$1),'ROLLING SCHED'!$A:$A,1,FALSE),"x")&lt;&gt;"x","x",IF(IFERROR(VLOOKUP(CONCATENATE($D32,$E32,DK$1+7),'ROLLING SCHED'!$A:$A,1,FALSE),"y")&lt;&gt;"y","y",""))</f>
        <v/>
      </c>
      <c r="DL32" s="1" t="str">
        <f>IF(IFERROR(VLOOKUP(CONCATENATE($D32,$E32,DL$1),'ROLLING SCHED'!$A:$A,1,FALSE),"x")&lt;&gt;"x","x",IF(IFERROR(VLOOKUP(CONCATENATE($D32,$E32,DL$1+7),'ROLLING SCHED'!$A:$A,1,FALSE),"y")&lt;&gt;"y","y",""))</f>
        <v/>
      </c>
      <c r="DM32" s="1" t="str">
        <f>IF(IFERROR(VLOOKUP(CONCATENATE($D32,$E32,DM$1),'ROLLING SCHED'!$A:$A,1,FALSE),"x")&lt;&gt;"x","x",IF(IFERROR(VLOOKUP(CONCATENATE($D32,$E32,DM$1+7),'ROLLING SCHED'!$A:$A,1,FALSE),"y")&lt;&gt;"y","y",""))</f>
        <v/>
      </c>
      <c r="DN32" s="1" t="str">
        <f>IF(IFERROR(VLOOKUP(CONCATENATE($D32,$E32,DN$1),'ROLLING SCHED'!$A:$A,1,FALSE),"x")&lt;&gt;"x","x",IF(IFERROR(VLOOKUP(CONCATENATE($D32,$E32,DN$1+7),'ROLLING SCHED'!$A:$A,1,FALSE),"y")&lt;&gt;"y","y",""))</f>
        <v/>
      </c>
      <c r="DO32" s="1" t="str">
        <f>IF(IFERROR(VLOOKUP(CONCATENATE($D32,$E32,DO$1),'ROLLING SCHED'!$A:$A,1,FALSE),"x")&lt;&gt;"x","x",IF(IFERROR(VLOOKUP(CONCATENATE($D32,$E32,DO$1+7),'ROLLING SCHED'!$A:$A,1,FALSE),"y")&lt;&gt;"y","y",""))</f>
        <v/>
      </c>
      <c r="DP32" s="1" t="str">
        <f>IF(IFERROR(VLOOKUP(CONCATENATE($D32,$E32,DP$1),'ROLLING SCHED'!$A:$A,1,FALSE),"x")&lt;&gt;"x","x",IF(IFERROR(VLOOKUP(CONCATENATE($D32,$E32,DP$1+7),'ROLLING SCHED'!$A:$A,1,FALSE),"y")&lt;&gt;"y","y",""))</f>
        <v/>
      </c>
      <c r="DQ32" s="1" t="str">
        <f>IF(IFERROR(VLOOKUP(CONCATENATE($D32,$E32,DQ$1),'ROLLING SCHED'!$A:$A,1,FALSE),"x")&lt;&gt;"x","x",IF(IFERROR(VLOOKUP(CONCATENATE($D32,$E32,DQ$1+7),'ROLLING SCHED'!$A:$A,1,FALSE),"y")&lt;&gt;"y","y",""))</f>
        <v/>
      </c>
      <c r="DR32" s="1" t="str">
        <f>IF(IFERROR(VLOOKUP(CONCATENATE($D32,$E32,DR$1),'ROLLING SCHED'!$A:$A,1,FALSE),"x")&lt;&gt;"x","x",IF(IFERROR(VLOOKUP(CONCATENATE($D32,$E32,DR$1+7),'ROLLING SCHED'!$A:$A,1,FALSE),"y")&lt;&gt;"y","y",""))</f>
        <v/>
      </c>
      <c r="DS32" s="1" t="str">
        <f>IF(IFERROR(VLOOKUP(CONCATENATE($D32,$E32,DS$1),'ROLLING SCHED'!$A:$A,1,FALSE),"x")&lt;&gt;"x","x",IF(IFERROR(VLOOKUP(CONCATENATE($D32,$E32,DS$1+7),'ROLLING SCHED'!$A:$A,1,FALSE),"y")&lt;&gt;"y","y",""))</f>
        <v/>
      </c>
      <c r="DT32" s="1" t="str">
        <f>IF(IFERROR(VLOOKUP(CONCATENATE($D32,$E32,DT$1),'ROLLING SCHED'!$A:$A,1,FALSE),"x")&lt;&gt;"x","x",IF(IFERROR(VLOOKUP(CONCATENATE($D32,$E32,DT$1+7),'ROLLING SCHED'!$A:$A,1,FALSE),"y")&lt;&gt;"y","y",""))</f>
        <v/>
      </c>
      <c r="DU32" s="1" t="str">
        <f>IF(IFERROR(VLOOKUP(CONCATENATE($D32,$E32,DU$1),'ROLLING SCHED'!$A:$A,1,FALSE),"x")&lt;&gt;"x","x",IF(IFERROR(VLOOKUP(CONCATENATE($D32,$E32,DU$1+7),'ROLLING SCHED'!$A:$A,1,FALSE),"y")&lt;&gt;"y","y",""))</f>
        <v/>
      </c>
      <c r="DV32" s="1" t="str">
        <f>IF(IFERROR(VLOOKUP(CONCATENATE($D32,$E32,DV$1),'ROLLING SCHED'!$A:$A,1,FALSE),"x")&lt;&gt;"x","x",IF(IFERROR(VLOOKUP(CONCATENATE($D32,$E32,DV$1+7),'ROLLING SCHED'!$A:$A,1,FALSE),"y")&lt;&gt;"y","y",""))</f>
        <v/>
      </c>
      <c r="DW32" s="1" t="str">
        <f>IF(IFERROR(VLOOKUP(CONCATENATE($D32,$E32,DW$1),'ROLLING SCHED'!$A:$A,1,FALSE),"x")&lt;&gt;"x","x",IF(IFERROR(VLOOKUP(CONCATENATE($D32,$E32,DW$1+7),'ROLLING SCHED'!$A:$A,1,FALSE),"y")&lt;&gt;"y","y",""))</f>
        <v/>
      </c>
    </row>
    <row r="33" spans="1:127" outlineLevel="1" x14ac:dyDescent="0.3">
      <c r="A33" s="96" t="str">
        <f t="shared" si="552"/>
        <v>106028578Production Calculation</v>
      </c>
      <c r="B33" s="20">
        <f t="shared" si="67"/>
        <v>106028578</v>
      </c>
      <c r="C33" s="20" t="str">
        <f t="shared" si="68"/>
        <v>L 3X3X1/4 GGMULTI 50'00"</v>
      </c>
      <c r="D33" s="20">
        <f t="shared" si="69"/>
        <v>1333</v>
      </c>
      <c r="E33" s="20" t="str">
        <f t="shared" si="70"/>
        <v>3" ANG</v>
      </c>
      <c r="F33" s="4" t="s">
        <v>207</v>
      </c>
      <c r="H33" s="1">
        <f>MAX(IFERROR(IF(H32="x",HLOOKUP("y",I32:$DW37,5,FALSE),0)+IF(H32="x",HLOOKUP("y",I32:$DW37,6,FALSE)*-1-IF(H32="x",SUM(G33:$H33),0),0),0),0)</f>
        <v>0</v>
      </c>
      <c r="I33" s="1">
        <f>MAX(IFERROR(IF(I32="x",HLOOKUP("y",J32:$DW37,5,FALSE),0)+IF(I32="x",HLOOKUP("y",J32:$DW37,6,FALSE)*-1-IF(I32="x",SUM(H33:$H33),0),0),0),0)</f>
        <v>0</v>
      </c>
      <c r="J33" s="1">
        <f>MAX(IFERROR(IF(J32="x",HLOOKUP("y",K32:$DW37,5,FALSE),0)+IF(J32="x",HLOOKUP("y",K32:$DW37,6,FALSE)*-1-IF(J32="x",SUM($H33:I33),0),0),0),0)</f>
        <v>0</v>
      </c>
      <c r="K33" s="112">
        <f>MAX(IFERROR(IF(K32="x",HLOOKUP("y",L32:$DW37,5,FALSE),0)+IF(K32="x",HLOOKUP("y",L32:$DW37,6,FALSE)*-1-IF(K32="x",SUM($H33:J33),0),0),0),0)</f>
        <v>0</v>
      </c>
      <c r="L33" s="112">
        <f>MAX(IFERROR(IF(L32="x",HLOOKUP("y",M32:$DW37,5,FALSE),0)+IF(L32="x",HLOOKUP("y",M32:$DW37,6,FALSE)*-1-IF(L32="x",SUM($H33:K33),0),0),0),0)</f>
        <v>0</v>
      </c>
      <c r="M33" s="112">
        <f>MAX(IFERROR(IF(M32="x",HLOOKUP("y",N32:$DW37,5,FALSE),0)+IF(M32="x",HLOOKUP("y",N32:$DW37,6,FALSE)*-1-IF(M32="x",SUM($H33:L33),0),0),0),0)</f>
        <v>0</v>
      </c>
      <c r="N33" s="112">
        <f>MAX(IFERROR(IF(N32="x",HLOOKUP("y",O32:$DW37,5,FALSE),0)+IF(N32="x",HLOOKUP("y",O32:$DW37,6,FALSE)*-1-IF(N32="x",SUM($H33:M33),0),0),0),0)</f>
        <v>0</v>
      </c>
      <c r="O33" s="112">
        <f>MAX(IFERROR(IF(O32="x",HLOOKUP("y",P32:$DW37,5,FALSE),0)+IF(O32="x",HLOOKUP("y",P32:$DW37,6,FALSE)*-1-IF(O32="x",SUM($H33:N33),0),0),0),0)</f>
        <v>0</v>
      </c>
      <c r="P33" s="112">
        <f>MAX(IFERROR(IF(P32="x",HLOOKUP("y",Q32:$DW37,5,FALSE),0)+IF(P32="x",HLOOKUP("y",Q32:$DW37,6,FALSE)*-1-IF(P32="x",SUM($H33:O33),0),0),0),0)</f>
        <v>0</v>
      </c>
      <c r="Q33" s="112">
        <f>MAX(IFERROR(IF(Q32="x",HLOOKUP("y",R32:$DW37,5,FALSE),0)+IF(Q32="x",HLOOKUP("y",R32:$DW37,6,FALSE)*-1-IF(Q32="x",SUM($H33:P33),0),0),0),0)</f>
        <v>0</v>
      </c>
      <c r="R33" s="112">
        <f>MAX(IFERROR(IF(R32="x",HLOOKUP("y",S32:$DW37,5,FALSE),0)+IF(R32="x",HLOOKUP("y",S32:$DW37,6,FALSE)*-1-IF(R32="x",SUM($H33:Q33),0),0),0),0)</f>
        <v>0</v>
      </c>
      <c r="S33" s="9">
        <f>MAX(IFERROR(IF(S32="x",HLOOKUP("y",T32:$DW37,5,FALSE),0)+IF(S32="x",HLOOKUP("y",T32:$DW37,6,FALSE)*-1-IF(S32="x",SUM($H33:R33),0),0),0),0)</f>
        <v>0</v>
      </c>
      <c r="T33" s="9">
        <f>MAX(IFERROR(IF(T32="x",HLOOKUP("y",U32:$DW37,5,FALSE),0)+IF(T32="x",HLOOKUP("y",U32:$DW37,6,FALSE)*-1-IF(T32="x",SUM($H33:S33),0),0),0),0)</f>
        <v>0</v>
      </c>
      <c r="U33" s="9">
        <f>MAX(IFERROR(IF(U32="x",HLOOKUP("y",V32:$DW37,5,FALSE),0)+IF(U32="x",HLOOKUP("y",V32:$DW37,6,FALSE)*-1-IF(U32="x",SUM($H33:T33),0),0),0),0)</f>
        <v>0</v>
      </c>
      <c r="V33" s="9">
        <f>MAX(IFERROR(IF(V32="x",HLOOKUP("y",W32:$DW37,5,FALSE),0)+IF(V32="x",HLOOKUP("y",W32:$DW37,6,FALSE)*-1-IF(V32="x",SUM($H33:U33),0),0),0),0)</f>
        <v>0</v>
      </c>
      <c r="W33" s="9">
        <f>MAX(IFERROR(IF(W32="x",HLOOKUP("y",X32:$DW37,5,FALSE),0)+IF(W32="x",HLOOKUP("y",X32:$DW37,6,FALSE)*-1-IF(W32="x",SUM($H33:V33),0),0),0),0)</f>
        <v>1.4210854715202004E-14</v>
      </c>
      <c r="X33" s="9">
        <f>MAX(IFERROR(IF(X32="x",HLOOKUP("y",Y32:$DW37,5,FALSE),0)+IF(X32="x",HLOOKUP("y",Y32:$DW37,6,FALSE)*-1-IF(X32="x",SUM($H33:W33),0),0),0),0)</f>
        <v>0</v>
      </c>
      <c r="Y33" s="9">
        <f>MAX(IFERROR(IF(Y32="x",HLOOKUP("y",Z32:$DW37,5,FALSE),0)+IF(Y32="x",HLOOKUP("y",Z32:$DW37,6,FALSE)*-1-IF(Y32="x",SUM($H33:X33),0),0),0),0)</f>
        <v>0</v>
      </c>
      <c r="Z33" s="9">
        <f>MAX(IFERROR(IF(Z32="x",HLOOKUP("y",AA32:$DW37,5,FALSE),0)+IF(Z32="x",HLOOKUP("y",AA32:$DW37,6,FALSE)*-1-IF(Z32="x",SUM($H33:Y33),0),0),0),0)</f>
        <v>0</v>
      </c>
      <c r="AA33" s="9">
        <f>MAX(IFERROR(IF(AA32="x",HLOOKUP("y",AB32:$DW37,5,FALSE),0)+IF(AA32="x",HLOOKUP("y",AB32:$DW37,6,FALSE)*-1-IF(AA32="x",SUM($H33:Z33),0),0),0),0)</f>
        <v>0</v>
      </c>
      <c r="AB33" s="1">
        <f>MAX(IFERROR(IF(AB32="x",HLOOKUP("y",AC32:$DW37,5,FALSE),0)+IF(AB32="x",HLOOKUP("y",AC32:$DW37,6,FALSE)*-1-IF(AB32="x",SUM($H33:AA33),0),0),0),0)</f>
        <v>1.2789769243681803E-13</v>
      </c>
      <c r="AC33" s="1">
        <f>MAX(IFERROR(IF(AC32="x",HLOOKUP("y",AD32:$DW37,5,FALSE),0)+IF(AC32="x",HLOOKUP("y",AD32:$DW37,6,FALSE)*-1-IF(AC32="x",SUM($H33:AB33),0),0),0),0)</f>
        <v>0</v>
      </c>
      <c r="AD33" s="1">
        <f>MAX(IFERROR(IF(AD32="x",HLOOKUP("y",AE32:$DW37,5,FALSE),0)+IF(AD32="x",HLOOKUP("y",AE32:$DW37,6,FALSE)*-1-IF(AD32="x",SUM($H33:AC33),0),0),0),0)</f>
        <v>0</v>
      </c>
      <c r="AE33" s="1">
        <f>MAX(IFERROR(IF(AE32="x",HLOOKUP("y",AF32:$DW37,5,FALSE),0)+IF(AE32="x",HLOOKUP("y",AF32:$DW37,6,FALSE)*-1-IF(AE32="x",SUM($H33:AD33),0),0),0),0)</f>
        <v>0</v>
      </c>
      <c r="AF33" s="1">
        <f>MAX(IFERROR(IF(AF32="x",HLOOKUP("y",AG32:$DW37,5,FALSE),0)+IF(AF32="x",HLOOKUP("y",AG32:$DW37,6,FALSE)*-1-IF(AF32="x",SUM($H33:AE33),0),0),0),0)</f>
        <v>0</v>
      </c>
      <c r="AG33" s="1">
        <f>MAX(IFERROR(IF(AG32="x",HLOOKUP("y",AH32:$DW37,5,FALSE),0)+IF(AG32="x",HLOOKUP("y",AH32:$DW37,6,FALSE)*-1-IF(AG32="x",SUM($H33:AF33),0),0),0),0)</f>
        <v>0</v>
      </c>
      <c r="AH33" s="1">
        <f>MAX(IFERROR(IF(AH32="x",HLOOKUP("y",AI32:$DW37,5,FALSE),0)+IF(AH32="x",HLOOKUP("y",AI32:$DW37,6,FALSE)*-1-IF(AH32="x",SUM($H33:AG33),0),0),0),0)</f>
        <v>0</v>
      </c>
      <c r="AI33" s="1">
        <f>MAX(IFERROR(IF(AI32="x",HLOOKUP("y",AJ32:$DW37,5,FALSE),0)+IF(AI32="x",HLOOKUP("y",AJ32:$DW37,6,FALSE)*-1-IF(AI32="x",SUM($H33:AH33),0),0),0),0)</f>
        <v>0</v>
      </c>
      <c r="AJ33" s="1">
        <f>MAX(IFERROR(IF(AJ32="x",HLOOKUP("y",AK32:$DW37,5,FALSE),0)+IF(AJ32="x",HLOOKUP("y",AK32:$DW37,6,FALSE)*-1-IF(AJ32="x",SUM($H33:AI33),0),0),0),0)</f>
        <v>0</v>
      </c>
      <c r="AK33" s="1">
        <f>MAX(IFERROR(IF(AK32="x",HLOOKUP("y",AL32:$DW37,5,FALSE),0)+IF(AK32="x",HLOOKUP("y",AL32:$DW37,6,FALSE)*-1-IF(AK32="x",SUM($H33:AJ33),0),0),0),0)</f>
        <v>0</v>
      </c>
      <c r="AL33" s="1">
        <f>MAX(IFERROR(IF(AL32="x",HLOOKUP("y",AM32:$DW37,5,FALSE),0)+IF(AL32="x",HLOOKUP("y",AM32:$DW37,6,FALSE)*-1-IF(AL32="x",SUM($H33:AK33),0),0),0),0)</f>
        <v>0</v>
      </c>
      <c r="AM33" s="1">
        <f>MAX(IFERROR(IF(AM32="x",HLOOKUP("y",AN32:$DW37,5,FALSE),0)+IF(AM32="x",HLOOKUP("y",AN32:$DW37,6,FALSE)*-1-IF(AM32="x",SUM($H33:AL33),0),0),0),0)</f>
        <v>0</v>
      </c>
      <c r="AN33" s="1">
        <f>MAX(IFERROR(IF(AN32="x",HLOOKUP("y",AO32:$DW37,5,FALSE),0)+IF(AN32="x",HLOOKUP("y",AO32:$DW37,6,FALSE)*-1-IF(AN32="x",SUM($H33:AM33),0),0),0),0)</f>
        <v>0</v>
      </c>
      <c r="AO33" s="1">
        <f>MAX(IFERROR(IF(AO32="x",HLOOKUP("y",AP32:$DW37,5,FALSE),0)+IF(AO32="x",HLOOKUP("y",AP32:$DW37,6,FALSE)*-1-IF(AO32="x",SUM($H33:AN33),0),0),0),0)</f>
        <v>0</v>
      </c>
      <c r="AP33" s="1">
        <f>MAX(IFERROR(IF(AP32="x",HLOOKUP("y",AQ32:$DW37,5,FALSE),0)+IF(AP32="x",HLOOKUP("y",AQ32:$DW37,6,FALSE)*-1-IF(AP32="x",SUM($H33:AO33),0),0),0),0)</f>
        <v>0</v>
      </c>
      <c r="AQ33" s="1">
        <f>MAX(IFERROR(IF(AQ32="x",HLOOKUP("y",AR32:$DW37,5,FALSE),0)+IF(AQ32="x",HLOOKUP("y",AR32:$DW37,6,FALSE)*-1-IF(AQ32="x",SUM($H33:AP33),0),0),0),0)</f>
        <v>0</v>
      </c>
      <c r="AR33" s="1">
        <f>MAX(IFERROR(IF(AR32="x",HLOOKUP("y",AS32:$DW37,5,FALSE),0)+IF(AR32="x",HLOOKUP("y",AS32:$DW37,6,FALSE)*-1-IF(AR32="x",SUM($H33:AQ33),0),0),0),0)</f>
        <v>0</v>
      </c>
      <c r="AS33" s="1">
        <f>MAX(IFERROR(IF(AS32="x",HLOOKUP("y",AT32:$DW37,5,FALSE),0)+IF(AS32="x",HLOOKUP("y",AT32:$DW37,6,FALSE)*-1-IF(AS32="x",SUM($H33:AR33),0),0),0),0)</f>
        <v>0</v>
      </c>
      <c r="AT33" s="1">
        <f>MAX(IFERROR(IF(AT32="x",HLOOKUP("y",AU32:$DW37,5,FALSE),0)+IF(AT32="x",HLOOKUP("y",AU32:$DW37,6,FALSE)*-1-IF(AT32="x",SUM($H33:AS33),0),0),0),0)</f>
        <v>0</v>
      </c>
      <c r="AU33" s="1">
        <f>MAX(IFERROR(IF(AU32="x",HLOOKUP("y",AV32:$DW37,5,FALSE),0)+IF(AU32="x",HLOOKUP("y",AV32:$DW37,6,FALSE)*-1-IF(AU32="x",SUM($H33:AT33),0),0),0),0)</f>
        <v>0</v>
      </c>
      <c r="AV33" s="1">
        <f>MAX(IFERROR(IF(AV32="x",HLOOKUP("y",AW32:$DW37,5,FALSE),0)+IF(AV32="x",HLOOKUP("y",AW32:$DW37,6,FALSE)*-1-IF(AV32="x",SUM($H33:AU33),0),0),0),0)</f>
        <v>0</v>
      </c>
      <c r="AW33" s="1">
        <f>MAX(IFERROR(IF(AW32="x",HLOOKUP("y",AX32:$DW37,5,FALSE),0)+IF(AW32="x",HLOOKUP("y",AX32:$DW37,6,FALSE)*-1-IF(AW32="x",SUM($H33:AV33),0),0),0),0)</f>
        <v>0</v>
      </c>
      <c r="AX33" s="1">
        <f>MAX(IFERROR(IF(AX32="x",HLOOKUP("y",AY32:$DW37,5,FALSE),0)+IF(AX32="x",HLOOKUP("y",AY32:$DW37,6,FALSE)*-1-IF(AX32="x",SUM($H33:AW33),0),0),0),0)</f>
        <v>0</v>
      </c>
      <c r="AY33" s="1">
        <f>MAX(IFERROR(IF(AY32="x",HLOOKUP("y",AZ32:$DW37,5,FALSE),0)+IF(AY32="x",HLOOKUP("y",AZ32:$DW37,6,FALSE)*-1-IF(AY32="x",SUM($H33:AX33),0),0),0),0)</f>
        <v>0</v>
      </c>
      <c r="AZ33" s="1">
        <f>MAX(IFERROR(IF(AZ32="x",HLOOKUP("y",BA32:$DW37,5,FALSE),0)+IF(AZ32="x",HLOOKUP("y",BA32:$DW37,6,FALSE)*-1-IF(AZ32="x",SUM($H33:AY33),0),0),0),0)</f>
        <v>0</v>
      </c>
      <c r="BA33" s="1">
        <f>MAX(IFERROR(IF(BA32="x",HLOOKUP("y",BB32:$DW37,5,FALSE),0)+IF(BA32="x",HLOOKUP("y",BB32:$DW37,6,FALSE)*-1-IF(BA32="x",SUM($H33:AZ33),0),0),0),0)</f>
        <v>0</v>
      </c>
      <c r="BB33" s="1">
        <f>MAX(IFERROR(IF(BB32="x",HLOOKUP("y",BC32:$DW37,5,FALSE),0)+IF(BB32="x",HLOOKUP("y",BC32:$DW37,6,FALSE)*-1-IF(BB32="x",SUM($H33:BA33),0),0),0),0)</f>
        <v>0</v>
      </c>
      <c r="BC33" s="1">
        <f>MAX(IFERROR(IF(BC32="x",HLOOKUP("y",BD32:$DW37,5,FALSE),0)+IF(BC32="x",HLOOKUP("y",BD32:$DW37,6,FALSE)*-1-IF(BC32="x",SUM($H33:BB33),0),0),0),0)</f>
        <v>0</v>
      </c>
      <c r="BD33" s="1">
        <f>MAX(IFERROR(IF(BD32="x",HLOOKUP("y",BE32:$DW37,5,FALSE),0)+IF(BD32="x",HLOOKUP("y",BE32:$DW37,6,FALSE)*-1-IF(BD32="x",SUM($H33:BC33),0),0),0),0)</f>
        <v>0</v>
      </c>
      <c r="BE33" s="1">
        <f>MAX(IFERROR(IF(BE32="x",HLOOKUP("y",BF32:$DW37,5,FALSE),0)+IF(BE32="x",HLOOKUP("y",BF32:$DW37,6,FALSE)*-1-IF(BE32="x",SUM($H33:BD33),0),0),0),0)</f>
        <v>0</v>
      </c>
      <c r="BF33" s="1">
        <f>MAX(IFERROR(IF(BF32="x",HLOOKUP("y",BG32:$DW37,5,FALSE),0)+IF(BF32="x",HLOOKUP("y",BG32:$DW37,6,FALSE)*-1-IF(BF32="x",SUM($H33:BE33),0),0),0),0)</f>
        <v>0</v>
      </c>
      <c r="BG33" s="1">
        <f>MAX(IFERROR(IF(BG32="x",HLOOKUP("y",BH32:$DW37,5,FALSE),0)+IF(BG32="x",HLOOKUP("y",BH32:$DW37,6,FALSE)*-1-IF(BG32="x",SUM($H33:BF33),0),0),0),0)</f>
        <v>0</v>
      </c>
      <c r="BH33" s="1">
        <f>MAX(IFERROR(IF(BH32="x",HLOOKUP("y",BI32:$DW37,5,FALSE),0)+IF(BH32="x",HLOOKUP("y",BI32:$DW37,6,FALSE)*-1-IF(BH32="x",SUM($H33:BG33),0),0),0),0)</f>
        <v>0</v>
      </c>
      <c r="BI33" s="1">
        <f>MAX(IFERROR(IF(BI32="x",HLOOKUP("y",BJ32:$DW37,5,FALSE),0)+IF(BI32="x",HLOOKUP("y",BJ32:$DW37,6,FALSE)*-1-IF(BI32="x",SUM($H33:BH33),0),0),0),0)</f>
        <v>0</v>
      </c>
      <c r="BJ33" s="1">
        <f>MAX(IFERROR(IF(BJ32="x",HLOOKUP("y",BK32:$DW37,5,FALSE),0)+IF(BJ32="x",HLOOKUP("y",BK32:$DW37,6,FALSE)*-1-IF(BJ32="x",SUM($H33:BI33),0),0),0),0)</f>
        <v>0</v>
      </c>
      <c r="BK33" s="1">
        <f>MAX(IFERROR(IF(BK32="x",HLOOKUP("y",BL32:$DW37,5,FALSE),0)+IF(BK32="x",HLOOKUP("y",BL32:$DW37,6,FALSE)*-1-IF(BK32="x",SUM($H33:BJ33),0),0),0),0)</f>
        <v>0</v>
      </c>
      <c r="BL33" s="1">
        <f>MAX(IFERROR(IF(BL32="x",HLOOKUP("y",BM32:$DW37,5,FALSE),0)+IF(BL32="x",HLOOKUP("y",BM32:$DW37,6,FALSE)*-1-IF(BL32="x",SUM($H33:BK33),0),0),0),0)</f>
        <v>0</v>
      </c>
      <c r="BM33" s="1">
        <f>MAX(IFERROR(IF(BM32="x",HLOOKUP("y",BN32:$DW37,5,FALSE),0)+IF(BM32="x",HLOOKUP("y",BN32:$DW37,6,FALSE)*-1-IF(BM32="x",SUM($H33:BL33),0),0),0),0)</f>
        <v>0</v>
      </c>
      <c r="BN33" s="1">
        <f>MAX(IFERROR(IF(BN32="x",HLOOKUP("y",BO32:$DW37,5,FALSE),0)+IF(BN32="x",HLOOKUP("y",BO32:$DW37,6,FALSE)*-1-IF(BN32="x",SUM($H33:BM33),0),0),0),0)</f>
        <v>0</v>
      </c>
      <c r="BO33" s="1">
        <f>MAX(IFERROR(IF(BO32="x",HLOOKUP("y",BP32:$DW37,5,FALSE),0)+IF(BO32="x",HLOOKUP("y",BP32:$DW37,6,FALSE)*-1-IF(BO32="x",SUM($H33:BN33),0),0),0),0)</f>
        <v>0</v>
      </c>
      <c r="BP33" s="1">
        <f>MAX(IFERROR(IF(BP32="x",HLOOKUP("y",BQ32:$DW37,5,FALSE),0)+IF(BP32="x",HLOOKUP("y",BQ32:$DW37,6,FALSE)*-1-IF(BP32="x",SUM($H33:BO33),0),0),0),0)</f>
        <v>0</v>
      </c>
      <c r="BQ33" s="1">
        <f>MAX(IFERROR(IF(BQ32="x",HLOOKUP("y",BR32:$DW37,5,FALSE),0)+IF(BQ32="x",HLOOKUP("y",BR32:$DW37,6,FALSE)*-1-IF(BQ32="x",SUM($H33:BP33),0),0),0),0)</f>
        <v>0</v>
      </c>
      <c r="BR33" s="1">
        <f>MAX(IFERROR(IF(BR32="x",HLOOKUP("y",BS32:$DW37,5,FALSE),0)+IF(BR32="x",HLOOKUP("y",BS32:$DW37,6,FALSE)*-1-IF(BR32="x",SUM($H33:BQ33),0),0),0),0)</f>
        <v>0</v>
      </c>
      <c r="BS33" s="1">
        <f>MAX(IFERROR(IF(BS32="x",HLOOKUP("y",BT32:$DW37,5,FALSE),0)+IF(BS32="x",HLOOKUP("y",BT32:$DW37,6,FALSE)*-1-IF(BS32="x",SUM($H33:BR33),0),0),0),0)</f>
        <v>0</v>
      </c>
      <c r="BT33" s="1">
        <f>MAX(IFERROR(IF(BT32="x",HLOOKUP("y",BU32:$DW37,5,FALSE),0)+IF(BT32="x",HLOOKUP("y",BU32:$DW37,6,FALSE)*-1-IF(BT32="x",SUM($H33:BS33),0),0),0),0)</f>
        <v>0</v>
      </c>
      <c r="BU33" s="1">
        <f>MAX(IFERROR(IF(BU32="x",HLOOKUP("y",BV32:$DW37,5,FALSE),0)+IF(BU32="x",HLOOKUP("y",BV32:$DW37,6,FALSE)*-1-IF(BU32="x",SUM($H33:BT33),0),0),0),0)</f>
        <v>0</v>
      </c>
      <c r="BV33" s="1">
        <f>MAX(IFERROR(IF(BV32="x",HLOOKUP("y",BW32:$DW37,5,FALSE),0)+IF(BV32="x",HLOOKUP("y",BW32:$DW37,6,FALSE)*-1-IF(BV32="x",SUM($H33:BU33),0),0),0),0)</f>
        <v>0</v>
      </c>
      <c r="BW33" s="1">
        <f>MAX(IFERROR(IF(BW32="x",HLOOKUP("y",BX32:$DW37,5,FALSE),0)+IF(BW32="x",HLOOKUP("y",BX32:$DW37,6,FALSE)*-1-IF(BW32="x",SUM($H33:BV33),0),0),0),0)</f>
        <v>0</v>
      </c>
      <c r="BX33" s="1">
        <f>MAX(IFERROR(IF(BX32="x",HLOOKUP("y",BY32:$DW37,5,FALSE),0)+IF(BX32="x",HLOOKUP("y",BY32:$DW37,6,FALSE)*-1-IF(BX32="x",SUM($H33:BW33),0),0),0),0)</f>
        <v>0</v>
      </c>
      <c r="BY33" s="1">
        <f>MAX(IFERROR(IF(BY32="x",HLOOKUP("y",BZ32:$DW37,5,FALSE),0)+IF(BY32="x",HLOOKUP("y",BZ32:$DW37,6,FALSE)*-1-IF(BY32="x",SUM($H33:BX33),0),0),0),0)</f>
        <v>0</v>
      </c>
      <c r="BZ33" s="1">
        <f>MAX(IFERROR(IF(BZ32="x",HLOOKUP("y",CA32:$DW37,5,FALSE),0)+IF(BZ32="x",HLOOKUP("y",CA32:$DW37,6,FALSE)*-1-IF(BZ32="x",SUM($H33:BY33),0),0),0),0)</f>
        <v>0</v>
      </c>
      <c r="CA33" s="1">
        <f>MAX(IFERROR(IF(CA32="x",HLOOKUP("y",CB32:$DW37,5,FALSE),0)+IF(CA32="x",HLOOKUP("y",CB32:$DW37,6,FALSE)*-1-IF(CA32="x",SUM($H33:BZ33),0),0),0),0)</f>
        <v>0</v>
      </c>
      <c r="CB33" s="1">
        <f>MAX(IFERROR(IF(CB32="x",HLOOKUP("y",CC32:$DW37,5,FALSE),0)+IF(CB32="x",HLOOKUP("y",CC32:$DW37,6,FALSE)*-1-IF(CB32="x",SUM($H33:CA33),0),0),0),0)</f>
        <v>0</v>
      </c>
      <c r="CC33" s="1">
        <f>MAX(IFERROR(IF(CC32="x",HLOOKUP("y",CD32:$DW37,5,FALSE),0)+IF(CC32="x",HLOOKUP("y",CD32:$DW37,6,FALSE)*-1-IF(CC32="x",SUM($H33:CB33),0),0),0),0)</f>
        <v>0</v>
      </c>
      <c r="CD33" s="1">
        <f>MAX(IFERROR(IF(CD32="x",HLOOKUP("y",CE32:$DW37,5,FALSE),0)+IF(CD32="x",HLOOKUP("y",CE32:$DW37,6,FALSE)*-1-IF(CD32="x",SUM($H33:CC33),0),0),0),0)</f>
        <v>0</v>
      </c>
      <c r="CE33" s="1">
        <f>MAX(IFERROR(IF(CE32="x",HLOOKUP("y",CF32:$DW37,5,FALSE),0)+IF(CE32="x",HLOOKUP("y",CF32:$DW37,6,FALSE)*-1-IF(CE32="x",SUM($H33:CD33),0),0),0),0)</f>
        <v>0</v>
      </c>
      <c r="CF33" s="1">
        <f>MAX(IFERROR(IF(CF32="x",HLOOKUP("y",CG32:$DW37,5,FALSE),0)+IF(CF32="x",HLOOKUP("y",CG32:$DW37,6,FALSE)*-1-IF(CF32="x",SUM($H33:CE33),0),0),0),0)</f>
        <v>0</v>
      </c>
      <c r="CG33" s="1">
        <f>MAX(IFERROR(IF(CG32="x",HLOOKUP("y",CH32:$DW37,5,FALSE),0)+IF(CG32="x",HLOOKUP("y",CH32:$DW37,6,FALSE)*-1-IF(CG32="x",SUM($H33:CF33),0),0),0),0)</f>
        <v>0</v>
      </c>
      <c r="CH33" s="1">
        <f>MAX(IFERROR(IF(CH32="x",HLOOKUP("y",CI32:$DW37,5,FALSE),0)+IF(CH32="x",HLOOKUP("y",CI32:$DW37,6,FALSE)*-1-IF(CH32="x",SUM($H33:CG33),0),0),0),0)</f>
        <v>0</v>
      </c>
      <c r="CI33" s="1">
        <f>MAX(IFERROR(IF(CI32="x",HLOOKUP("y",CJ32:$DW37,5,FALSE),0)+IF(CI32="x",HLOOKUP("y",CJ32:$DW37,6,FALSE)*-1-IF(CI32="x",SUM($H33:CH33),0),0),0),0)</f>
        <v>0</v>
      </c>
      <c r="CJ33" s="1">
        <f>MAX(IFERROR(IF(CJ32="x",HLOOKUP("y",CK32:$DW37,5,FALSE),0)+IF(CJ32="x",HLOOKUP("y",CK32:$DW37,6,FALSE)*-1-IF(CJ32="x",SUM($H33:CI33),0),0),0),0)</f>
        <v>0</v>
      </c>
      <c r="CK33" s="1">
        <f>MAX(IFERROR(IF(CK32="x",HLOOKUP("y",CL32:$DW37,5,FALSE),0)+IF(CK32="x",HLOOKUP("y",CL32:$DW37,6,FALSE)*-1-IF(CK32="x",SUM($H33:CJ33),0),0),0),0)</f>
        <v>0</v>
      </c>
      <c r="CL33" s="1">
        <f>MAX(IFERROR(IF(CL32="x",HLOOKUP("y",CM32:$DW37,5,FALSE),0)+IF(CL32="x",HLOOKUP("y",CM32:$DW37,6,FALSE)*-1-IF(CL32="x",SUM($H33:CK33),0),0),0),0)</f>
        <v>0</v>
      </c>
      <c r="CM33" s="1">
        <f>MAX(IFERROR(IF(CM32="x",HLOOKUP("y",CN32:$DW37,5,FALSE),0)+IF(CM32="x",HLOOKUP("y",CN32:$DW37,6,FALSE)*-1-IF(CM32="x",SUM($H33:CL33),0),0),0),0)</f>
        <v>0</v>
      </c>
      <c r="CN33" s="1">
        <f>MAX(IFERROR(IF(CN32="x",HLOOKUP("y",CO32:$DW37,5,FALSE),0)+IF(CN32="x",HLOOKUP("y",CO32:$DW37,6,FALSE)*-1-IF(CN32="x",SUM($H33:CM33),0),0),0),0)</f>
        <v>0</v>
      </c>
      <c r="CO33" s="1">
        <f>MAX(IFERROR(IF(CO32="x",HLOOKUP("y",CP32:$DW37,5,FALSE),0)+IF(CO32="x",HLOOKUP("y",CP32:$DW37,6,FALSE)*-1-IF(CO32="x",SUM($H33:CN33),0),0),0),0)</f>
        <v>0</v>
      </c>
      <c r="CP33" s="1">
        <f>MAX(IFERROR(IF(CP32="x",HLOOKUP("y",CQ32:$DW37,5,FALSE),0)+IF(CP32="x",HLOOKUP("y",CQ32:$DW37,6,FALSE)*-1-IF(CP32="x",SUM($H33:CO33),0),0),0),0)</f>
        <v>0</v>
      </c>
      <c r="CQ33" s="1">
        <f>MAX(IFERROR(IF(CQ32="x",HLOOKUP("y",CR32:$DW37,5,FALSE),0)+IF(CQ32="x",HLOOKUP("y",CR32:$DW37,6,FALSE)*-1-IF(CQ32="x",SUM($H33:CP33),0),0),0),0)</f>
        <v>0</v>
      </c>
      <c r="CR33" s="1">
        <f>MAX(IFERROR(IF(CR32="x",HLOOKUP("y",CS32:$DW37,5,FALSE),0)+IF(CR32="x",HLOOKUP("y",CS32:$DW37,6,FALSE)*-1-IF(CR32="x",SUM($H33:CQ33),0),0),0),0)</f>
        <v>0</v>
      </c>
      <c r="CS33" s="1">
        <f>MAX(IFERROR(IF(CS32="x",HLOOKUP("y",CT32:$DW37,5,FALSE),0)+IF(CS32="x",HLOOKUP("y",CT32:$DW37,6,FALSE)*-1-IF(CS32="x",SUM($H33:CR33),0),0),0),0)</f>
        <v>0</v>
      </c>
      <c r="CT33" s="1">
        <f>MAX(IFERROR(IF(CT32="x",HLOOKUP("y",CU32:$DW37,5,FALSE),0)+IF(CT32="x",HLOOKUP("y",CU32:$DW37,6,FALSE)*-1-IF(CT32="x",SUM($H33:CS33),0),0),0),0)</f>
        <v>0</v>
      </c>
      <c r="CU33" s="1">
        <f>MAX(IFERROR(IF(CU32="x",HLOOKUP("y",CV32:$DW37,5,FALSE),0)+IF(CU32="x",HLOOKUP("y",CV32:$DW37,6,FALSE)*-1-IF(CU32="x",SUM($H33:CT33),0),0),0),0)</f>
        <v>0</v>
      </c>
      <c r="CV33" s="1">
        <f>MAX(IFERROR(IF(CV32="x",HLOOKUP("y",CW32:$DW37,5,FALSE),0)+IF(CV32="x",HLOOKUP("y",CW32:$DW37,6,FALSE)*-1-IF(CV32="x",SUM($H33:CU33),0),0),0),0)</f>
        <v>0</v>
      </c>
      <c r="CW33" s="1">
        <f>MAX(IFERROR(IF(CW32="x",HLOOKUP("y",CX32:$DW37,5,FALSE),0)+IF(CW32="x",HLOOKUP("y",CX32:$DW37,6,FALSE)*-1-IF(CW32="x",SUM($H33:CV33),0),0),0),0)</f>
        <v>0</v>
      </c>
      <c r="CX33" s="1">
        <f>MAX(IFERROR(IF(CX32="x",HLOOKUP("y",CY32:$DW37,5,FALSE),0)+IF(CX32="x",HLOOKUP("y",CY32:$DW37,6,FALSE)*-1-IF(CX32="x",SUM($H33:CW33),0),0),0),0)</f>
        <v>0</v>
      </c>
      <c r="CY33" s="1">
        <f>MAX(IFERROR(IF(CY32="x",HLOOKUP("y",CZ32:$DW37,5,FALSE),0)+IF(CY32="x",HLOOKUP("y",CZ32:$DW37,6,FALSE)*-1-IF(CY32="x",SUM($H33:CX33),0),0),0),0)</f>
        <v>0</v>
      </c>
      <c r="CZ33" s="1">
        <f>MAX(IFERROR(IF(CZ32="x",HLOOKUP("y",DA32:$DW37,5,FALSE),0)+IF(CZ32="x",HLOOKUP("y",DA32:$DW37,6,FALSE)*-1-IF(CZ32="x",SUM($H33:CY33),0),0),0),0)</f>
        <v>0</v>
      </c>
      <c r="DA33" s="1">
        <f>MAX(IFERROR(IF(DA32="x",HLOOKUP("y",DB32:$DW37,5,FALSE),0)+IF(DA32="x",HLOOKUP("y",DB32:$DW37,6,FALSE)*-1-IF(DA32="x",SUM($H33:CZ33),0),0),0),0)</f>
        <v>0</v>
      </c>
      <c r="DB33" s="1">
        <f>MAX(IFERROR(IF(DB32="x",HLOOKUP("y",DC32:$DW37,5,FALSE),0)+IF(DB32="x",HLOOKUP("y",DC32:$DW37,6,FALSE)*-1-IF(DB32="x",SUM($H33:DA33),0),0),0),0)</f>
        <v>0</v>
      </c>
      <c r="DC33" s="1">
        <f>MAX(IFERROR(IF(DC32="x",HLOOKUP("y",DD32:$DW37,5,FALSE),0)+IF(DC32="x",HLOOKUP("y",DD32:$DW37,6,FALSE)*-1-IF(DC32="x",SUM($H33:DB33),0),0),0),0)</f>
        <v>0</v>
      </c>
      <c r="DD33" s="1">
        <f>MAX(IFERROR(IF(DD32="x",HLOOKUP("y",DE32:$DW37,5,FALSE),0)+IF(DD32="x",HLOOKUP("y",DE32:$DW37,6,FALSE)*-1-IF(DD32="x",SUM($H33:DC33),0),0),0),0)</f>
        <v>0</v>
      </c>
      <c r="DE33" s="1">
        <f>MAX(IFERROR(IF(DE32="x",HLOOKUP("y",DF32:$DW37,5,FALSE),0)+IF(DE32="x",HLOOKUP("y",DF32:$DW37,6,FALSE)*-1-IF(DE32="x",SUM($H33:DD33),0),0),0),0)</f>
        <v>0</v>
      </c>
      <c r="DF33" s="1">
        <f>MAX(IFERROR(IF(DF32="x",HLOOKUP("y",DG32:$DW37,5,FALSE),0)+IF(DF32="x",HLOOKUP("y",DG32:$DW37,6,FALSE)*-1-IF(DF32="x",SUM($H33:DE33),0),0),0),0)</f>
        <v>0</v>
      </c>
      <c r="DG33" s="1">
        <f>MAX(IFERROR(IF(DG32="x",HLOOKUP("y",DH32:$DW37,5,FALSE),0)+IF(DG32="x",HLOOKUP("y",DH32:$DW37,6,FALSE)*-1-IF(DG32="x",SUM($H33:DF33),0),0),0),0)</f>
        <v>0</v>
      </c>
      <c r="DH33" s="1">
        <f>MAX(IFERROR(IF(DH32="x",HLOOKUP("y",DI32:$DW37,5,FALSE),0)+IF(DH32="x",HLOOKUP("y",DI32:$DW37,6,FALSE)*-1-IF(DH32="x",SUM($H33:DG33),0),0),0),0)</f>
        <v>0</v>
      </c>
      <c r="DI33" s="1">
        <f>MAX(IFERROR(IF(DI32="x",HLOOKUP("y",DJ32:$DW37,5,FALSE),0)+IF(DI32="x",HLOOKUP("y",DJ32:$DW37,6,FALSE)*-1-IF(DI32="x",SUM($H33:DH33),0),0),0),0)</f>
        <v>0</v>
      </c>
      <c r="DJ33" s="1">
        <f>MAX(IFERROR(IF(DJ32="x",HLOOKUP("y",DK32:$DW37,5,FALSE),0)+IF(DJ32="x",HLOOKUP("y",DK32:$DW37,6,FALSE)*-1-IF(DJ32="x",SUM($H33:DI33),0),0),0),0)</f>
        <v>0</v>
      </c>
      <c r="DK33" s="1">
        <f>MAX(IFERROR(IF(DK32="x",HLOOKUP("y",DL32:$DW37,5,FALSE),0)+IF(DK32="x",HLOOKUP("y",DL32:$DW37,6,FALSE)*-1-IF(DK32="x",SUM($H33:DJ33),0),0),0),0)</f>
        <v>0</v>
      </c>
      <c r="DL33" s="1">
        <f>MAX(IFERROR(IF(DL32="x",HLOOKUP("y",DM32:$DW37,5,FALSE),0)+IF(DL32="x",HLOOKUP("y",DM32:$DW37,6,FALSE)*-1-IF(DL32="x",SUM($H33:DK33),0),0),0),0)</f>
        <v>0</v>
      </c>
      <c r="DM33" s="1">
        <f>MAX(IFERROR(IF(DM32="x",HLOOKUP("y",DN32:$DW37,5,FALSE),0)+IF(DM32="x",HLOOKUP("y",DN32:$DW37,6,FALSE)*-1-IF(DM32="x",SUM($H33:DL33),0),0),0),0)</f>
        <v>0</v>
      </c>
      <c r="DN33" s="1">
        <f>MAX(IFERROR(IF(DN32="x",HLOOKUP("y",DO32:$DW37,5,FALSE),0)+IF(DN32="x",HLOOKUP("y",DO32:$DW37,6,FALSE)*-1-IF(DN32="x",SUM($H33:DM33),0),0),0),0)</f>
        <v>0</v>
      </c>
      <c r="DO33" s="1">
        <f>MAX(IFERROR(IF(DO32="x",HLOOKUP("y",DP32:$DW37,5,FALSE),0)+IF(DO32="x",HLOOKUP("y",DP32:$DW37,6,FALSE)*-1-IF(DO32="x",SUM($H33:DN33),0),0),0),0)</f>
        <v>0</v>
      </c>
      <c r="DP33" s="1">
        <f>MAX(IFERROR(IF(DP32="x",HLOOKUP("y",DQ32:$DW37,5,FALSE),0)+IF(DP32="x",HLOOKUP("y",DQ32:$DW37,6,FALSE)*-1-IF(DP32="x",SUM($H33:DO33),0),0),0),0)</f>
        <v>0</v>
      </c>
      <c r="DQ33" s="1">
        <f>MAX(IFERROR(IF(DQ32="x",HLOOKUP("y",DR32:$DW37,5,FALSE),0)+IF(DQ32="x",HLOOKUP("y",DR32:$DW37,6,FALSE)*-1-IF(DQ32="x",SUM($H33:DP33),0),0),0),0)</f>
        <v>0</v>
      </c>
      <c r="DR33" s="1">
        <f>MAX(IFERROR(IF(DR32="x",HLOOKUP("y",DS32:$DW37,5,FALSE),0)+IF(DR32="x",HLOOKUP("y",DS32:$DW37,6,FALSE)*-1-IF(DR32="x",SUM($H33:DQ33),0),0),0),0)</f>
        <v>0</v>
      </c>
      <c r="DS33" s="1">
        <f>MAX(IFERROR(IF(DS32="x",HLOOKUP("y",DT32:$DW37,5,FALSE),0)+IF(DS32="x",HLOOKUP("y",DT32:$DW37,6,FALSE)*-1-IF(DS32="x",SUM($H33:DR33),0),0),0),0)</f>
        <v>0</v>
      </c>
      <c r="DT33" s="1">
        <f>MAX(IFERROR(IF(DT32="x",HLOOKUP("y",DU32:$DW37,5,FALSE),0)+IF(DT32="x",HLOOKUP("y",DU32:$DW37,6,FALSE)*-1-IF(DT32="x",SUM($H33:DS33),0),0),0),0)</f>
        <v>0</v>
      </c>
      <c r="DU33" s="1">
        <f>MAX(IFERROR(IF(DU32="x",HLOOKUP("y",DV32:$DW37,5,FALSE),0)+IF(DU32="x",HLOOKUP("y",DV32:$DW37,6,FALSE)*-1-IF(DU32="x",SUM($H33:DT33),0),0),0),0)</f>
        <v>0</v>
      </c>
      <c r="DV33" s="1">
        <f>MAX(IFERROR(IF(DV32="x",HLOOKUP("y",DW32:$DW37,5,FALSE),0)+IF(DV32="x",HLOOKUP("y",DW32:$DW37,6,FALSE)*-1-IF(DV32="x",SUM($H33:DU33),0),0),0),0)</f>
        <v>0</v>
      </c>
      <c r="DW33" s="1">
        <f>MAX(IFERROR(IF(DW32="x",HLOOKUP("y",$DW32:DX37,5,FALSE),0)+IF(DW32="x",HLOOKUP("y",$DW32:DX37,6,FALSE)*-1-IF(DW32="x",SUM($H33:DV33),0),0),0),0)</f>
        <v>0</v>
      </c>
    </row>
    <row r="34" spans="1:127" outlineLevel="1" x14ac:dyDescent="0.3">
      <c r="A34" s="96" t="str">
        <f t="shared" si="552"/>
        <v>106028578Production</v>
      </c>
      <c r="B34" s="20">
        <f t="shared" si="67"/>
        <v>106028578</v>
      </c>
      <c r="C34" s="20" t="str">
        <f t="shared" si="68"/>
        <v>L 3X3X1/4 GGMULTI 50'00"</v>
      </c>
      <c r="D34" s="20">
        <f t="shared" si="69"/>
        <v>1333</v>
      </c>
      <c r="E34" s="20" t="str">
        <f t="shared" si="70"/>
        <v>3" ANG</v>
      </c>
      <c r="F34" s="4" t="s">
        <v>172</v>
      </c>
      <c r="H34" s="1">
        <v>0</v>
      </c>
      <c r="I34" s="1">
        <v>0</v>
      </c>
      <c r="J34" s="1">
        <v>107.63333333333333</v>
      </c>
      <c r="K34" s="112">
        <v>0</v>
      </c>
      <c r="L34" s="112">
        <v>0</v>
      </c>
      <c r="M34" s="112">
        <v>0</v>
      </c>
      <c r="N34" s="112">
        <v>0</v>
      </c>
      <c r="O34" s="112">
        <v>80.733333333333334</v>
      </c>
      <c r="P34" s="112">
        <v>0</v>
      </c>
      <c r="Q34" s="112">
        <v>0</v>
      </c>
      <c r="R34" s="112">
        <v>0</v>
      </c>
      <c r="S34" s="9">
        <v>50.866666666666674</v>
      </c>
      <c r="T34" s="9">
        <v>0</v>
      </c>
      <c r="U34" s="9">
        <v>0</v>
      </c>
      <c r="V34" s="9">
        <v>0</v>
      </c>
      <c r="W34" s="9">
        <v>66.96666666666664</v>
      </c>
      <c r="X34" s="9">
        <v>0</v>
      </c>
      <c r="Y34" s="9">
        <v>0</v>
      </c>
      <c r="Z34" s="9">
        <v>0</v>
      </c>
      <c r="AA34" s="9">
        <v>0</v>
      </c>
      <c r="AB34" s="1">
        <v>6.2999999999998977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</row>
    <row r="35" spans="1:127" outlineLevel="1" x14ac:dyDescent="0.3">
      <c r="A35" s="96" t="str">
        <f t="shared" si="552"/>
        <v>106028578Production from another Mill / SKU</v>
      </c>
      <c r="B35" s="20">
        <f t="shared" si="67"/>
        <v>106028578</v>
      </c>
      <c r="C35" s="20" t="str">
        <f t="shared" si="68"/>
        <v>L 3X3X1/4 GGMULTI 50'00"</v>
      </c>
      <c r="D35" s="20">
        <f t="shared" si="69"/>
        <v>1333</v>
      </c>
      <c r="E35" s="20" t="str">
        <f t="shared" si="70"/>
        <v>3" ANG</v>
      </c>
      <c r="F35" s="35" t="s">
        <v>208</v>
      </c>
      <c r="H35" s="68">
        <f>VLOOKUP(B35,FORECAST!$D:$X,21,FALSE)</f>
        <v>0</v>
      </c>
      <c r="I35" s="1"/>
      <c r="J35" s="1"/>
      <c r="K35" s="112"/>
      <c r="L35" s="112"/>
      <c r="M35" s="112"/>
      <c r="N35" s="112"/>
      <c r="O35" s="112"/>
      <c r="P35" s="112"/>
      <c r="Q35" s="112"/>
      <c r="R35" s="112"/>
      <c r="S35" s="9"/>
      <c r="T35" s="9"/>
      <c r="U35" s="9"/>
      <c r="V35" s="9"/>
      <c r="W35" s="9"/>
      <c r="X35" s="9"/>
      <c r="Y35" s="9"/>
      <c r="Z35" s="9"/>
      <c r="AA35" s="9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1:127" s="1" customFormat="1" outlineLevel="1" x14ac:dyDescent="0.3">
      <c r="A36" s="96" t="str">
        <f t="shared" si="552"/>
        <v>106028578Safety Stock</v>
      </c>
      <c r="B36" s="20">
        <f t="shared" si="67"/>
        <v>106028578</v>
      </c>
      <c r="C36" s="20" t="str">
        <f t="shared" si="68"/>
        <v>L 3X3X1/4 GGMULTI 50'00"</v>
      </c>
      <c r="D36" s="20">
        <f t="shared" si="69"/>
        <v>1333</v>
      </c>
      <c r="E36" s="20" t="str">
        <f t="shared" si="70"/>
        <v>3" ANG</v>
      </c>
      <c r="F36" s="5" t="s">
        <v>74</v>
      </c>
      <c r="G36" s="37">
        <f>VLOOKUP(B36,FORECAST!$D:$W,4,FALSE)</f>
        <v>100</v>
      </c>
      <c r="H36" s="38">
        <f>G36</f>
        <v>100</v>
      </c>
      <c r="I36" s="38">
        <f t="shared" ref="I36" si="553">H36</f>
        <v>100</v>
      </c>
      <c r="J36" s="38">
        <f t="shared" ref="J36" si="554">I36</f>
        <v>100</v>
      </c>
      <c r="K36" s="114">
        <f t="shared" ref="K36" si="555">J36</f>
        <v>100</v>
      </c>
      <c r="L36" s="114">
        <f t="shared" ref="L36" si="556">K36</f>
        <v>100</v>
      </c>
      <c r="M36" s="114">
        <f t="shared" ref="M36" si="557">L36</f>
        <v>100</v>
      </c>
      <c r="N36" s="114">
        <f t="shared" ref="N36" si="558">M36</f>
        <v>100</v>
      </c>
      <c r="O36" s="114">
        <f t="shared" ref="O36" si="559">N36</f>
        <v>100</v>
      </c>
      <c r="P36" s="114">
        <f t="shared" ref="P36" si="560">O36</f>
        <v>100</v>
      </c>
      <c r="Q36" s="114">
        <f t="shared" ref="Q36" si="561">P36</f>
        <v>100</v>
      </c>
      <c r="R36" s="114">
        <f t="shared" ref="R36" si="562">Q36</f>
        <v>100</v>
      </c>
      <c r="S36" s="118">
        <f t="shared" ref="S36" si="563">R36</f>
        <v>100</v>
      </c>
      <c r="T36" s="118">
        <f t="shared" ref="T36" si="564">S36</f>
        <v>100</v>
      </c>
      <c r="U36" s="118">
        <f t="shared" ref="U36" si="565">T36</f>
        <v>100</v>
      </c>
      <c r="V36" s="118">
        <f t="shared" ref="V36" si="566">U36</f>
        <v>100</v>
      </c>
      <c r="W36" s="118">
        <f t="shared" ref="W36" si="567">V36</f>
        <v>100</v>
      </c>
      <c r="X36" s="118">
        <f t="shared" ref="X36" si="568">W36</f>
        <v>100</v>
      </c>
      <c r="Y36" s="118">
        <f t="shared" ref="Y36" si="569">X36</f>
        <v>100</v>
      </c>
      <c r="Z36" s="118">
        <f t="shared" ref="Z36" si="570">Y36</f>
        <v>100</v>
      </c>
      <c r="AA36" s="118">
        <f t="shared" ref="AA36" si="571">Z36</f>
        <v>100</v>
      </c>
      <c r="AB36" s="38">
        <f t="shared" ref="AB36" si="572">AA36</f>
        <v>100</v>
      </c>
      <c r="AC36" s="38">
        <f t="shared" ref="AC36" si="573">AB36</f>
        <v>100</v>
      </c>
      <c r="AD36" s="38">
        <f t="shared" ref="AD36" si="574">AC36</f>
        <v>100</v>
      </c>
      <c r="AE36" s="38">
        <f t="shared" ref="AE36" si="575">AD36</f>
        <v>100</v>
      </c>
      <c r="AF36" s="38">
        <f t="shared" ref="AF36" si="576">AE36</f>
        <v>100</v>
      </c>
      <c r="AG36" s="38">
        <f t="shared" ref="AG36" si="577">AF36</f>
        <v>100</v>
      </c>
      <c r="AH36" s="38">
        <f t="shared" ref="AH36" si="578">AG36</f>
        <v>100</v>
      </c>
      <c r="AI36" s="38">
        <f t="shared" ref="AI36" si="579">AH36</f>
        <v>100</v>
      </c>
      <c r="AJ36" s="38">
        <f t="shared" ref="AJ36" si="580">AI36</f>
        <v>100</v>
      </c>
      <c r="AK36" s="38">
        <f t="shared" ref="AK36" si="581">AJ36</f>
        <v>100</v>
      </c>
      <c r="AL36" s="38">
        <f t="shared" ref="AL36" si="582">AK36</f>
        <v>100</v>
      </c>
      <c r="AM36" s="38">
        <f t="shared" ref="AM36" si="583">AL36</f>
        <v>100</v>
      </c>
      <c r="AN36" s="38">
        <f t="shared" ref="AN36" si="584">AM36</f>
        <v>100</v>
      </c>
      <c r="AO36" s="38">
        <f t="shared" ref="AO36" si="585">AN36</f>
        <v>100</v>
      </c>
      <c r="AP36" s="38">
        <f t="shared" ref="AP36" si="586">AO36</f>
        <v>100</v>
      </c>
      <c r="AQ36" s="38">
        <f t="shared" ref="AQ36" si="587">AP36</f>
        <v>100</v>
      </c>
      <c r="AR36" s="38">
        <f t="shared" ref="AR36" si="588">AQ36</f>
        <v>100</v>
      </c>
      <c r="AS36" s="38">
        <f t="shared" ref="AS36" si="589">AR36</f>
        <v>100</v>
      </c>
      <c r="AT36" s="38">
        <f t="shared" ref="AT36" si="590">AS36</f>
        <v>100</v>
      </c>
      <c r="AU36" s="38">
        <f t="shared" ref="AU36" si="591">AT36</f>
        <v>100</v>
      </c>
      <c r="AV36" s="38">
        <f t="shared" ref="AV36" si="592">AU36</f>
        <v>100</v>
      </c>
      <c r="AW36" s="38">
        <f t="shared" ref="AW36" si="593">AV36</f>
        <v>100</v>
      </c>
      <c r="AX36" s="38">
        <f t="shared" ref="AX36" si="594">AW36</f>
        <v>100</v>
      </c>
      <c r="AY36" s="38">
        <f t="shared" ref="AY36" si="595">AX36</f>
        <v>100</v>
      </c>
      <c r="AZ36" s="38">
        <f t="shared" ref="AZ36" si="596">AY36</f>
        <v>100</v>
      </c>
      <c r="BA36" s="38">
        <f t="shared" ref="BA36" si="597">AZ36</f>
        <v>100</v>
      </c>
      <c r="BB36" s="38">
        <f t="shared" ref="BB36" si="598">BA36</f>
        <v>100</v>
      </c>
      <c r="BC36" s="38">
        <f t="shared" ref="BC36" si="599">BB36</f>
        <v>100</v>
      </c>
      <c r="BD36" s="38">
        <f t="shared" ref="BD36" si="600">BC36</f>
        <v>100</v>
      </c>
      <c r="BE36" s="38">
        <f t="shared" ref="BE36" si="601">BD36</f>
        <v>100</v>
      </c>
      <c r="BF36" s="38">
        <f t="shared" ref="BF36" si="602">BE36</f>
        <v>100</v>
      </c>
      <c r="BG36" s="38">
        <f t="shared" ref="BG36" si="603">BF36</f>
        <v>100</v>
      </c>
      <c r="BH36" s="38">
        <f t="shared" ref="BH36" si="604">BG36</f>
        <v>100</v>
      </c>
      <c r="BI36" s="38">
        <f t="shared" ref="BI36" si="605">BH36</f>
        <v>100</v>
      </c>
      <c r="BJ36" s="38">
        <f t="shared" ref="BJ36" si="606">BI36</f>
        <v>100</v>
      </c>
      <c r="BK36" s="38">
        <f t="shared" ref="BK36" si="607">BJ36</f>
        <v>100</v>
      </c>
      <c r="BL36" s="38">
        <f t="shared" ref="BL36" si="608">BK36</f>
        <v>100</v>
      </c>
      <c r="BM36" s="38">
        <f t="shared" ref="BM36" si="609">BL36</f>
        <v>100</v>
      </c>
      <c r="BN36" s="38">
        <f t="shared" ref="BN36" si="610">BM36</f>
        <v>100</v>
      </c>
      <c r="BO36" s="38">
        <f t="shared" ref="BO36" si="611">BN36</f>
        <v>100</v>
      </c>
      <c r="BP36" s="38">
        <f t="shared" ref="BP36" si="612">BO36</f>
        <v>100</v>
      </c>
      <c r="BQ36" s="38">
        <f t="shared" ref="BQ36" si="613">BP36</f>
        <v>100</v>
      </c>
      <c r="BR36" s="38">
        <f t="shared" ref="BR36" si="614">BQ36</f>
        <v>100</v>
      </c>
      <c r="BS36" s="38">
        <f t="shared" ref="BS36" si="615">BR36</f>
        <v>100</v>
      </c>
      <c r="BT36" s="38">
        <f t="shared" ref="BT36" si="616">BS36</f>
        <v>100</v>
      </c>
      <c r="BU36" s="38">
        <f t="shared" ref="BU36" si="617">BT36</f>
        <v>100</v>
      </c>
      <c r="BV36" s="38">
        <f t="shared" ref="BV36" si="618">BU36</f>
        <v>100</v>
      </c>
      <c r="BW36" s="38">
        <f t="shared" ref="BW36" si="619">BV36</f>
        <v>100</v>
      </c>
      <c r="BX36" s="38">
        <f t="shared" ref="BX36" si="620">BW36</f>
        <v>100</v>
      </c>
      <c r="BY36" s="38">
        <f t="shared" ref="BY36" si="621">BX36</f>
        <v>100</v>
      </c>
      <c r="BZ36" s="38">
        <f t="shared" ref="BZ36" si="622">BY36</f>
        <v>100</v>
      </c>
      <c r="CA36" s="38">
        <f t="shared" ref="CA36" si="623">BZ36</f>
        <v>100</v>
      </c>
      <c r="CB36" s="38">
        <f t="shared" ref="CB36" si="624">CA36</f>
        <v>100</v>
      </c>
      <c r="CC36" s="38">
        <f t="shared" ref="CC36" si="625">CB36</f>
        <v>100</v>
      </c>
      <c r="CD36" s="38">
        <f t="shared" ref="CD36" si="626">CC36</f>
        <v>100</v>
      </c>
      <c r="CE36" s="38">
        <f t="shared" ref="CE36" si="627">CD36</f>
        <v>100</v>
      </c>
      <c r="CF36" s="38">
        <f t="shared" ref="CF36" si="628">CE36</f>
        <v>100</v>
      </c>
      <c r="CG36" s="38">
        <f t="shared" ref="CG36" si="629">CF36</f>
        <v>100</v>
      </c>
      <c r="CH36" s="38">
        <f t="shared" ref="CH36" si="630">CG36</f>
        <v>100</v>
      </c>
      <c r="CI36" s="38">
        <f t="shared" ref="CI36" si="631">CH36</f>
        <v>100</v>
      </c>
      <c r="CJ36" s="38">
        <f t="shared" ref="CJ36" si="632">CI36</f>
        <v>100</v>
      </c>
      <c r="CK36" s="38">
        <f t="shared" ref="CK36" si="633">CJ36</f>
        <v>100</v>
      </c>
      <c r="CL36" s="38">
        <f t="shared" ref="CL36" si="634">CK36</f>
        <v>100</v>
      </c>
      <c r="CM36" s="38">
        <f t="shared" ref="CM36" si="635">CL36</f>
        <v>100</v>
      </c>
      <c r="CN36" s="38">
        <f t="shared" ref="CN36" si="636">CM36</f>
        <v>100</v>
      </c>
      <c r="CO36" s="38">
        <f t="shared" ref="CO36" si="637">CN36</f>
        <v>100</v>
      </c>
      <c r="CP36" s="38">
        <f t="shared" ref="CP36" si="638">CO36</f>
        <v>100</v>
      </c>
      <c r="CQ36" s="38">
        <f t="shared" ref="CQ36" si="639">CP36</f>
        <v>100</v>
      </c>
      <c r="CR36" s="38">
        <f t="shared" ref="CR36" si="640">CQ36</f>
        <v>100</v>
      </c>
      <c r="CS36" s="38">
        <f t="shared" ref="CS36" si="641">CR36</f>
        <v>100</v>
      </c>
      <c r="CT36" s="38">
        <f t="shared" ref="CT36" si="642">CS36</f>
        <v>100</v>
      </c>
      <c r="CU36" s="38">
        <f t="shared" ref="CU36" si="643">CT36</f>
        <v>100</v>
      </c>
      <c r="CV36" s="38">
        <f t="shared" ref="CV36" si="644">CU36</f>
        <v>100</v>
      </c>
      <c r="CW36" s="38">
        <f t="shared" ref="CW36" si="645">CV36</f>
        <v>100</v>
      </c>
      <c r="CX36" s="38">
        <f t="shared" ref="CX36" si="646">CW36</f>
        <v>100</v>
      </c>
      <c r="CY36" s="38">
        <f t="shared" ref="CY36" si="647">CX36</f>
        <v>100</v>
      </c>
      <c r="CZ36" s="38">
        <f t="shared" ref="CZ36" si="648">CY36</f>
        <v>100</v>
      </c>
      <c r="DA36" s="38">
        <f t="shared" ref="DA36" si="649">CZ36</f>
        <v>100</v>
      </c>
      <c r="DB36" s="38">
        <f t="shared" ref="DB36" si="650">DA36</f>
        <v>100</v>
      </c>
      <c r="DC36" s="38">
        <f t="shared" ref="DC36" si="651">DB36</f>
        <v>100</v>
      </c>
      <c r="DD36" s="38">
        <f t="shared" ref="DD36" si="652">DC36</f>
        <v>100</v>
      </c>
      <c r="DE36" s="38">
        <f t="shared" ref="DE36" si="653">DD36</f>
        <v>100</v>
      </c>
      <c r="DF36" s="38">
        <f t="shared" ref="DF36" si="654">DE36</f>
        <v>100</v>
      </c>
      <c r="DG36" s="38">
        <f t="shared" ref="DG36" si="655">DF36</f>
        <v>100</v>
      </c>
      <c r="DH36" s="38">
        <f t="shared" ref="DH36" si="656">DG36</f>
        <v>100</v>
      </c>
      <c r="DI36" s="38">
        <f t="shared" ref="DI36" si="657">DH36</f>
        <v>100</v>
      </c>
      <c r="DJ36" s="38">
        <f t="shared" ref="DJ36" si="658">DI36</f>
        <v>100</v>
      </c>
      <c r="DK36" s="38">
        <f t="shared" ref="DK36" si="659">DJ36</f>
        <v>100</v>
      </c>
      <c r="DL36" s="38">
        <f t="shared" ref="DL36" si="660">DK36</f>
        <v>100</v>
      </c>
      <c r="DM36" s="38">
        <f t="shared" ref="DM36" si="661">DL36</f>
        <v>100</v>
      </c>
      <c r="DN36" s="38">
        <f t="shared" ref="DN36" si="662">DM36</f>
        <v>100</v>
      </c>
      <c r="DO36" s="38">
        <f t="shared" ref="DO36" si="663">DN36</f>
        <v>100</v>
      </c>
      <c r="DP36" s="38">
        <f t="shared" ref="DP36" si="664">DO36</f>
        <v>100</v>
      </c>
      <c r="DQ36" s="38">
        <f t="shared" ref="DQ36" si="665">DP36</f>
        <v>100</v>
      </c>
      <c r="DR36" s="38">
        <f t="shared" ref="DR36" si="666">DQ36</f>
        <v>100</v>
      </c>
      <c r="DS36" s="38">
        <f t="shared" ref="DS36" si="667">DR36</f>
        <v>100</v>
      </c>
      <c r="DT36" s="38">
        <f t="shared" ref="DT36" si="668">DS36</f>
        <v>100</v>
      </c>
      <c r="DU36" s="38">
        <f t="shared" ref="DU36" si="669">DT36</f>
        <v>100</v>
      </c>
      <c r="DV36" s="38">
        <f t="shared" ref="DV36" si="670">DU36</f>
        <v>100</v>
      </c>
      <c r="DW36" s="38">
        <f t="shared" ref="DW36" si="671">DV36</f>
        <v>100</v>
      </c>
    </row>
    <row r="37" spans="1:127" outlineLevel="1" x14ac:dyDescent="0.3">
      <c r="A37" s="96" t="str">
        <f t="shared" si="552"/>
        <v>106028578Projected Stock</v>
      </c>
      <c r="B37" s="20">
        <f t="shared" si="67"/>
        <v>106028578</v>
      </c>
      <c r="C37" s="20" t="str">
        <f t="shared" si="68"/>
        <v>L 3X3X1/4 GGMULTI 50'00"</v>
      </c>
      <c r="D37" s="20">
        <f t="shared" si="69"/>
        <v>1333</v>
      </c>
      <c r="E37" s="20" t="str">
        <f t="shared" si="70"/>
        <v>3" ANG</v>
      </c>
      <c r="F37" s="4" t="s">
        <v>209</v>
      </c>
      <c r="G37" s="1">
        <f>SUM(G29:G30)</f>
        <v>113</v>
      </c>
      <c r="H37" s="1">
        <f>G37-H31+H34+H35</f>
        <v>107.63333333333333</v>
      </c>
      <c r="I37" s="1">
        <f t="shared" ref="I37" si="672">H37-I31+I34+I35</f>
        <v>90.36666666666666</v>
      </c>
      <c r="J37" s="1">
        <f t="shared" ref="J37" si="673">I37-J31+J34+J35</f>
        <v>180.73333333333332</v>
      </c>
      <c r="K37" s="112">
        <f t="shared" ref="K37" si="674">J37-K31+K34+K35</f>
        <v>163.46666666666664</v>
      </c>
      <c r="L37" s="112">
        <f t="shared" ref="L37" si="675">K37-L31+L34+L35</f>
        <v>146.19999999999999</v>
      </c>
      <c r="M37" s="112">
        <f t="shared" ref="M37" si="676">L37-M31+M34+M35</f>
        <v>123.1</v>
      </c>
      <c r="N37" s="112">
        <f t="shared" ref="N37" si="677">M37-N31+N34+N35</f>
        <v>100</v>
      </c>
      <c r="O37" s="112">
        <f t="shared" ref="O37" si="678">N37-O31+O34+O35</f>
        <v>157.63333333333333</v>
      </c>
      <c r="P37" s="112">
        <f t="shared" ref="P37" si="679">O37-P31+P34+P35</f>
        <v>134.53333333333333</v>
      </c>
      <c r="Q37" s="112">
        <f t="shared" ref="Q37" si="680">P37-Q31+Q34+Q35</f>
        <v>111.43333333333334</v>
      </c>
      <c r="R37" s="112">
        <f t="shared" ref="R37" si="681">Q37-R31+R34+R35</f>
        <v>100</v>
      </c>
      <c r="S37" s="9">
        <f t="shared" ref="S37" si="682">R37-S31+S34+S35</f>
        <v>139.43333333333334</v>
      </c>
      <c r="T37" s="9">
        <f t="shared" ref="T37" si="683">S37-T31+T34+T35</f>
        <v>128</v>
      </c>
      <c r="U37" s="9">
        <f t="shared" ref="U37" si="684">T37-U31+U34+U35</f>
        <v>116.56666666666666</v>
      </c>
      <c r="V37" s="9">
        <f t="shared" ref="V37" si="685">U37-V31+V34+V35</f>
        <v>100</v>
      </c>
      <c r="W37" s="9">
        <f t="shared" ref="W37" si="686">V37-W31+W34+W35</f>
        <v>150.39999999999998</v>
      </c>
      <c r="X37" s="9">
        <f t="shared" ref="X37" si="687">W37-X31+X34+X35</f>
        <v>133.83333333333331</v>
      </c>
      <c r="Y37" s="9">
        <f t="shared" ref="Y37" si="688">X37-Y31+Y34+Y35</f>
        <v>117.26666666666665</v>
      </c>
      <c r="Z37" s="9">
        <f t="shared" ref="Z37" si="689">Y37-Z31+Z34+Z35</f>
        <v>100.69999999999999</v>
      </c>
      <c r="AA37" s="9">
        <f t="shared" ref="AA37" si="690">Z37-AA31+AA34+AA35</f>
        <v>99.999999999999986</v>
      </c>
      <c r="AB37" s="1">
        <f t="shared" ref="AB37" si="691">AA37-AB31+AB34+AB35</f>
        <v>105.59999999999988</v>
      </c>
      <c r="AC37" s="1">
        <f t="shared" ref="AC37" si="692">AB37-AC31+AC34+AC35</f>
        <v>104.89999999999988</v>
      </c>
      <c r="AD37" s="1">
        <f t="shared" ref="AD37" si="693">AC37-AD31+AD34+AD35</f>
        <v>104.19999999999987</v>
      </c>
      <c r="AE37" s="1">
        <f t="shared" ref="AE37" si="694">AD37-AE31+AE34+AE35</f>
        <v>103.49999999999987</v>
      </c>
      <c r="AF37" s="1">
        <f t="shared" ref="AF37" si="695">AE37-AF31+AF34+AF35</f>
        <v>102.79999999999987</v>
      </c>
      <c r="AG37" s="1">
        <f t="shared" ref="AG37" si="696">AF37-AG31+AG34+AG35</f>
        <v>102.09999999999987</v>
      </c>
      <c r="AH37" s="1">
        <f t="shared" ref="AH37" si="697">AG37-AH31+AH34+AH35</f>
        <v>101.39999999999986</v>
      </c>
      <c r="AI37" s="1">
        <f t="shared" ref="AI37" si="698">AH37-AI31+AI34+AI35</f>
        <v>100.69999999999986</v>
      </c>
      <c r="AJ37" s="1">
        <f t="shared" ref="AJ37" si="699">AI37-AJ31+AJ34+AJ35</f>
        <v>99.999999999999858</v>
      </c>
      <c r="AK37" s="1">
        <f t="shared" ref="AK37" si="700">AJ37-AK31+AK34+AK35</f>
        <v>99.299999999999855</v>
      </c>
      <c r="AL37" s="1">
        <f t="shared" ref="AL37" si="701">AK37-AL31+AL34+AL35</f>
        <v>98.599999999999852</v>
      </c>
      <c r="AM37" s="1">
        <f t="shared" ref="AM37" si="702">AL37-AM31+AM34+AM35</f>
        <v>97.899999999999849</v>
      </c>
      <c r="AN37" s="1">
        <f t="shared" ref="AN37" si="703">AM37-AN31+AN34+AN35</f>
        <v>97.199999999999847</v>
      </c>
      <c r="AO37" s="1">
        <f t="shared" ref="AO37" si="704">AN37-AO31+AO34+AO35</f>
        <v>96.499999999999844</v>
      </c>
      <c r="AP37" s="1">
        <f t="shared" ref="AP37" si="705">AO37-AP31+AP34+AP35</f>
        <v>95.799999999999841</v>
      </c>
      <c r="AQ37" s="1">
        <f t="shared" ref="AQ37" si="706">AP37-AQ31+AQ34+AQ35</f>
        <v>95.099999999999838</v>
      </c>
      <c r="AR37" s="1">
        <f t="shared" ref="AR37" si="707">AQ37-AR31+AR34+AR35</f>
        <v>94.399999999999835</v>
      </c>
      <c r="AS37" s="1">
        <f t="shared" ref="AS37" si="708">AR37-AS31+AS34+AS35</f>
        <v>93.699999999999832</v>
      </c>
      <c r="AT37" s="1">
        <f t="shared" ref="AT37" si="709">AS37-AT31+AT34+AT35</f>
        <v>92.999999999999829</v>
      </c>
      <c r="AU37" s="1">
        <f t="shared" ref="AU37" si="710">AT37-AU31+AU34+AU35</f>
        <v>92.299999999999827</v>
      </c>
      <c r="AV37" s="1">
        <f t="shared" ref="AV37" si="711">AU37-AV31+AV34+AV35</f>
        <v>91.599999999999824</v>
      </c>
      <c r="AW37" s="1">
        <f t="shared" ref="AW37" si="712">AV37-AW31+AW34+AW35</f>
        <v>90.899999999999821</v>
      </c>
      <c r="AX37" s="1">
        <f t="shared" ref="AX37" si="713">AW37-AX31+AX34+AX35</f>
        <v>90.199999999999818</v>
      </c>
      <c r="AY37" s="1">
        <f t="shared" ref="AY37" si="714">AX37-AY31+AY34+AY35</f>
        <v>89.499999999999815</v>
      </c>
      <c r="AZ37" s="1">
        <f t="shared" ref="AZ37" si="715">AY37-AZ31+AZ34+AZ35</f>
        <v>88.799999999999812</v>
      </c>
      <c r="BA37" s="1">
        <f t="shared" ref="BA37" si="716">AZ37-BA31+BA34+BA35</f>
        <v>88.09999999999981</v>
      </c>
      <c r="BB37" s="1">
        <f t="shared" ref="BB37" si="717">BA37-BB31+BB34+BB35</f>
        <v>87.399999999999807</v>
      </c>
      <c r="BC37" s="1">
        <f t="shared" ref="BC37" si="718">BB37-BC31+BC34+BC35</f>
        <v>86.699999999999804</v>
      </c>
      <c r="BD37" s="1">
        <f t="shared" ref="BD37" si="719">BC37-BD31+BD34+BD35</f>
        <v>85.999999999999801</v>
      </c>
      <c r="BE37" s="1">
        <f t="shared" ref="BE37" si="720">BD37-BE31+BE34+BE35</f>
        <v>85.299999999999798</v>
      </c>
      <c r="BF37" s="1">
        <f t="shared" ref="BF37" si="721">BE37-BF31+BF34+BF35</f>
        <v>84.599999999999795</v>
      </c>
      <c r="BG37" s="1">
        <f t="shared" ref="BG37" si="722">BF37-BG31+BG34+BG35</f>
        <v>83.899999999999793</v>
      </c>
      <c r="BH37" s="1">
        <f t="shared" ref="BH37" si="723">BG37-BH31+BH34+BH35</f>
        <v>83.19999999999979</v>
      </c>
      <c r="BI37" s="1">
        <f t="shared" ref="BI37" si="724">BH37-BI31+BI34+BI35</f>
        <v>82.499999999999787</v>
      </c>
      <c r="BJ37" s="1">
        <f t="shared" ref="BJ37" si="725">BI37-BJ31+BJ34+BJ35</f>
        <v>81.799999999999784</v>
      </c>
      <c r="BK37" s="1">
        <f t="shared" ref="BK37" si="726">BJ37-BK31+BK34+BK35</f>
        <v>81.099999999999781</v>
      </c>
      <c r="BL37" s="1">
        <f t="shared" ref="BL37" si="727">BK37-BL31+BL34+BL35</f>
        <v>80.399999999999778</v>
      </c>
      <c r="BM37" s="1">
        <f t="shared" ref="BM37" si="728">BL37-BM31+BM34+BM35</f>
        <v>79.699999999999775</v>
      </c>
      <c r="BN37" s="1">
        <f t="shared" ref="BN37" si="729">BM37-BN31+BN34+BN35</f>
        <v>78.999999999999773</v>
      </c>
      <c r="BO37" s="1">
        <f t="shared" ref="BO37" si="730">BN37-BO31+BO34+BO35</f>
        <v>78.29999999999977</v>
      </c>
      <c r="BP37" s="1">
        <f t="shared" ref="BP37" si="731">BO37-BP31+BP34+BP35</f>
        <v>77.599999999999767</v>
      </c>
      <c r="BQ37" s="1">
        <f t="shared" ref="BQ37" si="732">BP37-BQ31+BQ34+BQ35</f>
        <v>76.899999999999764</v>
      </c>
      <c r="BR37" s="1">
        <f t="shared" ref="BR37" si="733">BQ37-BR31+BR34+BR35</f>
        <v>76.199999999999761</v>
      </c>
      <c r="BS37" s="1">
        <f t="shared" ref="BS37" si="734">BR37-BS31+BS34+BS35</f>
        <v>75.499999999999758</v>
      </c>
      <c r="BT37" s="1">
        <f t="shared" ref="BT37" si="735">BS37-BT31+BT34+BT35</f>
        <v>74.799999999999756</v>
      </c>
      <c r="BU37" s="1">
        <f t="shared" ref="BU37" si="736">BT37-BU31+BU34+BU35</f>
        <v>74.099999999999753</v>
      </c>
      <c r="BV37" s="1">
        <f t="shared" ref="BV37" si="737">BU37-BV31+BV34+BV35</f>
        <v>73.39999999999975</v>
      </c>
      <c r="BW37" s="1">
        <f t="shared" ref="BW37" si="738">BV37-BW31+BW34+BW35</f>
        <v>72.699999999999747</v>
      </c>
      <c r="BX37" s="1">
        <f t="shared" ref="BX37" si="739">BW37-BX31+BX34+BX35</f>
        <v>71.999999999999744</v>
      </c>
      <c r="BY37" s="1">
        <f t="shared" ref="BY37" si="740">BX37-BY31+BY34+BY35</f>
        <v>71.299999999999741</v>
      </c>
      <c r="BZ37" s="1">
        <f t="shared" ref="BZ37" si="741">BY37-BZ31+BZ34+BZ35</f>
        <v>70.599999999999739</v>
      </c>
      <c r="CA37" s="1">
        <f t="shared" ref="CA37" si="742">BZ37-CA31+CA34+CA35</f>
        <v>69.899999999999736</v>
      </c>
      <c r="CB37" s="1">
        <f t="shared" ref="CB37" si="743">CA37-CB31+CB34+CB35</f>
        <v>69.199999999999733</v>
      </c>
      <c r="CC37" s="1">
        <f t="shared" ref="CC37" si="744">CB37-CC31+CC34+CC35</f>
        <v>68.49999999999973</v>
      </c>
      <c r="CD37" s="1">
        <f t="shared" ref="CD37" si="745">CC37-CD31+CD34+CD35</f>
        <v>67.799999999999727</v>
      </c>
      <c r="CE37" s="1">
        <f t="shared" ref="CE37" si="746">CD37-CE31+CE34+CE35</f>
        <v>67.099999999999724</v>
      </c>
      <c r="CF37" s="1">
        <f t="shared" ref="CF37" si="747">CE37-CF31+CF34+CF35</f>
        <v>66.399999999999721</v>
      </c>
      <c r="CG37" s="1">
        <f t="shared" ref="CG37" si="748">CF37-CG31+CG34+CG35</f>
        <v>65.699999999999719</v>
      </c>
      <c r="CH37" s="1">
        <f t="shared" ref="CH37" si="749">CG37-CH31+CH34+CH35</f>
        <v>64.999999999999716</v>
      </c>
      <c r="CI37" s="1">
        <f t="shared" ref="CI37" si="750">CH37-CI31+CI34+CI35</f>
        <v>64.299999999999713</v>
      </c>
      <c r="CJ37" s="1">
        <f t="shared" ref="CJ37" si="751">CI37-CJ31+CJ34+CJ35</f>
        <v>63.59999999999971</v>
      </c>
      <c r="CK37" s="1">
        <f t="shared" ref="CK37" si="752">CJ37-CK31+CK34+CK35</f>
        <v>62.899999999999707</v>
      </c>
      <c r="CL37" s="1">
        <f t="shared" ref="CL37" si="753">CK37-CL31+CL34+CL35</f>
        <v>62.199999999999704</v>
      </c>
      <c r="CM37" s="1">
        <f t="shared" ref="CM37" si="754">CL37-CM31+CM34+CM35</f>
        <v>61.499999999999702</v>
      </c>
      <c r="CN37" s="1">
        <f t="shared" ref="CN37" si="755">CM37-CN31+CN34+CN35</f>
        <v>60.799999999999699</v>
      </c>
      <c r="CO37" s="1">
        <f t="shared" ref="CO37" si="756">CN37-CO31+CO34+CO35</f>
        <v>60.099999999999696</v>
      </c>
      <c r="CP37" s="1">
        <f t="shared" ref="CP37" si="757">CO37-CP31+CP34+CP35</f>
        <v>59.399999999999693</v>
      </c>
      <c r="CQ37" s="1">
        <f t="shared" ref="CQ37" si="758">CP37-CQ31+CQ34+CQ35</f>
        <v>58.69999999999969</v>
      </c>
      <c r="CR37" s="1">
        <f t="shared" ref="CR37" si="759">CQ37-CR31+CR34+CR35</f>
        <v>57.999999999999687</v>
      </c>
      <c r="CS37" s="1">
        <f t="shared" ref="CS37" si="760">CR37-CS31+CS34+CS35</f>
        <v>57.299999999999685</v>
      </c>
      <c r="CT37" s="1">
        <f t="shared" ref="CT37" si="761">CS37-CT31+CT34+CT35</f>
        <v>56.599999999999682</v>
      </c>
      <c r="CU37" s="1">
        <f t="shared" ref="CU37" si="762">CT37-CU31+CU34+CU35</f>
        <v>55.899999999999679</v>
      </c>
      <c r="CV37" s="1">
        <f t="shared" ref="CV37" si="763">CU37-CV31+CV34+CV35</f>
        <v>55.199999999999676</v>
      </c>
      <c r="CW37" s="1">
        <f t="shared" ref="CW37" si="764">CV37-CW31+CW34+CW35</f>
        <v>54.499999999999673</v>
      </c>
      <c r="CX37" s="1">
        <f t="shared" ref="CX37" si="765">CW37-CX31+CX34+CX35</f>
        <v>53.79999999999967</v>
      </c>
      <c r="CY37" s="1">
        <f t="shared" ref="CY37" si="766">CX37-CY31+CY34+CY35</f>
        <v>53.099999999999667</v>
      </c>
      <c r="CZ37" s="1">
        <f t="shared" ref="CZ37" si="767">CY37-CZ31+CZ34+CZ35</f>
        <v>52.399999999999665</v>
      </c>
      <c r="DA37" s="1">
        <f t="shared" ref="DA37" si="768">CZ37-DA31+DA34+DA35</f>
        <v>51.699999999999662</v>
      </c>
      <c r="DB37" s="1">
        <f t="shared" ref="DB37" si="769">DA37-DB31+DB34+DB35</f>
        <v>50.999999999999659</v>
      </c>
      <c r="DC37" s="1">
        <f t="shared" ref="DC37" si="770">DB37-DC31+DC34+DC35</f>
        <v>50.299999999999656</v>
      </c>
      <c r="DD37" s="1">
        <f t="shared" ref="DD37" si="771">DC37-DD31+DD34+DD35</f>
        <v>49.599999999999653</v>
      </c>
      <c r="DE37" s="1">
        <f t="shared" ref="DE37" si="772">DD37-DE31+DE34+DE35</f>
        <v>48.89999999999965</v>
      </c>
      <c r="DF37" s="1">
        <f t="shared" ref="DF37" si="773">DE37-DF31+DF34+DF35</f>
        <v>48.199999999999648</v>
      </c>
      <c r="DG37" s="1">
        <f t="shared" ref="DG37" si="774">DF37-DG31+DG34+DG35</f>
        <v>47.499999999999645</v>
      </c>
      <c r="DH37" s="1">
        <f t="shared" ref="DH37" si="775">DG37-DH31+DH34+DH35</f>
        <v>46.799999999999642</v>
      </c>
      <c r="DI37" s="1">
        <f t="shared" ref="DI37" si="776">DH37-DI31+DI34+DI35</f>
        <v>46.099999999999639</v>
      </c>
      <c r="DJ37" s="1">
        <f t="shared" ref="DJ37" si="777">DI37-DJ31+DJ34+DJ35</f>
        <v>45.399999999999636</v>
      </c>
      <c r="DK37" s="1">
        <f t="shared" ref="DK37" si="778">DJ37-DK31+DK34+DK35</f>
        <v>44.699999999999633</v>
      </c>
      <c r="DL37" s="1">
        <f t="shared" ref="DL37" si="779">DK37-DL31+DL34+DL35</f>
        <v>43.999999999999631</v>
      </c>
      <c r="DM37" s="1">
        <f t="shared" ref="DM37" si="780">DL37-DM31+DM34+DM35</f>
        <v>43.299999999999628</v>
      </c>
      <c r="DN37" s="1">
        <f t="shared" ref="DN37" si="781">DM37-DN31+DN34+DN35</f>
        <v>42.599999999999625</v>
      </c>
      <c r="DO37" s="1">
        <f t="shared" ref="DO37" si="782">DN37-DO31+DO34+DO35</f>
        <v>41.899999999999622</v>
      </c>
      <c r="DP37" s="1">
        <f t="shared" ref="DP37" si="783">DO37-DP31+DP34+DP35</f>
        <v>41.199999999999619</v>
      </c>
      <c r="DQ37" s="1">
        <f t="shared" ref="DQ37" si="784">DP37-DQ31+DQ34+DQ35</f>
        <v>40.499999999999616</v>
      </c>
      <c r="DR37" s="1">
        <f t="shared" ref="DR37" si="785">DQ37-DR31+DR34+DR35</f>
        <v>39.799999999999613</v>
      </c>
      <c r="DS37" s="1">
        <f t="shared" ref="DS37" si="786">DR37-DS31+DS34+DS35</f>
        <v>39.099999999999611</v>
      </c>
      <c r="DT37" s="1">
        <f t="shared" ref="DT37" si="787">DS37-DT31+DT34+DT35</f>
        <v>38.399999999999608</v>
      </c>
      <c r="DU37" s="1">
        <f t="shared" ref="DU37" si="788">DT37-DU31+DU34+DU35</f>
        <v>37.699999999999605</v>
      </c>
      <c r="DV37" s="1">
        <f t="shared" ref="DV37" si="789">DU37-DV31+DV34+DV35</f>
        <v>36.999999999999602</v>
      </c>
      <c r="DW37" s="1">
        <f t="shared" ref="DW37" si="790">DV37-DW31+DW34+DW35</f>
        <v>36.299999999999599</v>
      </c>
    </row>
    <row r="38" spans="1:127" ht="28.8" x14ac:dyDescent="0.3">
      <c r="A38" s="96" t="str">
        <f t="shared" si="66"/>
        <v>106030251Header</v>
      </c>
      <c r="B38" s="11">
        <v>106030251</v>
      </c>
      <c r="C38" s="11" t="s">
        <v>66</v>
      </c>
      <c r="D38" s="11">
        <f>VLOOKUP($B38,FORECAST!$D:$V,18,FALSE)</f>
        <v>1333</v>
      </c>
      <c r="E38" s="11" t="str">
        <f>VLOOKUP($B38,FORECAST!$D:$V,19,FALSE)</f>
        <v>4" ANG</v>
      </c>
      <c r="F38" s="11" t="s">
        <v>200</v>
      </c>
      <c r="G38" s="43" t="s">
        <v>151</v>
      </c>
      <c r="H38" s="43" t="s">
        <v>201</v>
      </c>
      <c r="I38" s="43" t="s">
        <v>125</v>
      </c>
      <c r="J38" s="43" t="s">
        <v>97</v>
      </c>
      <c r="K38" s="111" t="s">
        <v>202</v>
      </c>
      <c r="L38" s="111" t="s">
        <v>203</v>
      </c>
      <c r="M38" s="112"/>
      <c r="N38" s="112"/>
      <c r="O38" s="112"/>
      <c r="P38" s="112"/>
      <c r="Q38" s="112"/>
      <c r="R38" s="112"/>
      <c r="S38" s="9"/>
      <c r="T38" s="9"/>
      <c r="U38" s="9"/>
      <c r="V38" s="9"/>
      <c r="W38" s="9"/>
      <c r="X38" s="9"/>
      <c r="Y38" s="9"/>
      <c r="Z38" s="9"/>
      <c r="AA38" s="9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</row>
    <row r="39" spans="1:127" outlineLevel="1" x14ac:dyDescent="0.3">
      <c r="A39" s="96" t="str">
        <f t="shared" ref="A39:A46" si="791">CONCATENATE(B39,F39)</f>
        <v>106030251Inventory</v>
      </c>
      <c r="B39" s="20">
        <f t="shared" si="67"/>
        <v>106030251</v>
      </c>
      <c r="C39" s="20" t="str">
        <f t="shared" si="68"/>
        <v>L 4X4X1/2 GGMULTI 50'00"</v>
      </c>
      <c r="D39" s="20">
        <f t="shared" si="69"/>
        <v>1333</v>
      </c>
      <c r="E39" s="20" t="str">
        <f t="shared" si="70"/>
        <v>4" ANG</v>
      </c>
      <c r="F39" s="11" t="s">
        <v>204</v>
      </c>
      <c r="G39" s="1">
        <f>SUM(H39:L39)</f>
        <v>213</v>
      </c>
      <c r="H39" s="36">
        <f>SUMIFS(FORECAST!$I:$I,FORECAST!$D:$D,MRP!$B39)</f>
        <v>167</v>
      </c>
      <c r="I39" s="36">
        <f>SUMIFS(FORECAST!$Q:$Q,FORECAST!$D:$D,B39)</f>
        <v>46</v>
      </c>
      <c r="J39" s="36">
        <f>SUMIFS(FORECAST!$R:$R,FORECAST!$D:$D,B39)</f>
        <v>0</v>
      </c>
      <c r="K39" s="112">
        <f>SUMIFS(FORECAST!$S:$S,FORECAST!$D:$D,B39)</f>
        <v>0</v>
      </c>
      <c r="L39" s="112">
        <f>SUMIFS(FORECAST!$T:$T,FORECAST!$D:$D,B39)</f>
        <v>0</v>
      </c>
      <c r="M39" s="112"/>
      <c r="N39" s="112"/>
      <c r="O39" s="112"/>
      <c r="P39" s="112"/>
      <c r="Q39" s="112"/>
      <c r="R39" s="112"/>
      <c r="S39" s="9"/>
      <c r="T39" s="9"/>
      <c r="U39" s="9"/>
      <c r="V39" s="9"/>
      <c r="W39" s="9"/>
      <c r="X39" s="9"/>
      <c r="Y39" s="9"/>
      <c r="Z39" s="9"/>
      <c r="AA39" s="9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</row>
    <row r="40" spans="1:127" outlineLevel="1" x14ac:dyDescent="0.3">
      <c r="A40" s="96" t="str">
        <f t="shared" si="791"/>
        <v>106030251Shipments</v>
      </c>
      <c r="B40" s="20">
        <f t="shared" ref="B40:E46" si="792">B39</f>
        <v>106030251</v>
      </c>
      <c r="C40" s="20" t="str">
        <f t="shared" si="792"/>
        <v>L 4X4X1/2 GGMULTI 50'00"</v>
      </c>
      <c r="D40" s="20">
        <f t="shared" si="792"/>
        <v>1333</v>
      </c>
      <c r="E40" s="20" t="str">
        <f t="shared" si="792"/>
        <v>4" ANG</v>
      </c>
      <c r="F40" s="4" t="s">
        <v>205</v>
      </c>
      <c r="H40" s="19" cm="1">
        <f t="array" ref="H40">IFERROR(VLOOKUP($B40,FORECAST!$D$2:$O$25,7+H$75,FALSE)/30*7,G40)</f>
        <v>4.4333333333333336</v>
      </c>
      <c r="I40" s="19" cm="1">
        <f t="array" ref="I40">IFERROR(VLOOKUP($B40,FORECAST!$D$2:$O$25,7+I$75,FALSE)/30*7,H40)</f>
        <v>13.766666666666666</v>
      </c>
      <c r="J40" s="19" cm="1">
        <f t="array" ref="J40">IFERROR(VLOOKUP($B40,FORECAST!$D$2:$O$25,7+J$75,FALSE)/30*7,I40)</f>
        <v>13.766666666666666</v>
      </c>
      <c r="K40" s="113" cm="1">
        <f t="array" ref="K40">IFERROR(VLOOKUP($B40,FORECAST!$D$2:$O$25,7+K$75,FALSE)/30*7,J40)</f>
        <v>13.766666666666666</v>
      </c>
      <c r="L40" s="113" cm="1">
        <f t="array" ref="L40">IFERROR(VLOOKUP($B40,FORECAST!$D$2:$O$25,7+L$75,FALSE)/30*7,K40)</f>
        <v>13.766666666666666</v>
      </c>
      <c r="M40" s="113" cm="1">
        <f t="array" ref="M40">IFERROR(VLOOKUP($B40,FORECAST!$D$2:$O$25,7+M$75,FALSE)/30*7,L40)</f>
        <v>35.699999999999996</v>
      </c>
      <c r="N40" s="113" cm="1">
        <f t="array" ref="N40">IFERROR(VLOOKUP($B40,FORECAST!$D$2:$O$25,7+N$75,FALSE)/30*7,M40)</f>
        <v>35.699999999999996</v>
      </c>
      <c r="O40" s="113" cm="1">
        <f t="array" ref="O40">IFERROR(VLOOKUP($B40,FORECAST!$D$2:$O$25,7+O$75,FALSE)/30*7,N40)</f>
        <v>35.699999999999996</v>
      </c>
      <c r="P40" s="113" cm="1">
        <f t="array" ref="P40">IFERROR(VLOOKUP($B40,FORECAST!$D$2:$O$25,7+P$75,FALSE)/30*7,O40)</f>
        <v>35.699999999999996</v>
      </c>
      <c r="Q40" s="113" cm="1">
        <f t="array" ref="Q40">IFERROR(VLOOKUP($B40,FORECAST!$D$2:$O$25,7+Q$75,FALSE)/30*7,P40)</f>
        <v>35.699999999999996</v>
      </c>
      <c r="R40" s="113" cm="1">
        <f t="array" ref="R40">IFERROR(VLOOKUP($B40,FORECAST!$D$2:$O$25,7+R$75,FALSE)/30*7,Q40)</f>
        <v>15.166666666666666</v>
      </c>
      <c r="S40" s="117" cm="1">
        <f t="array" ref="S40">IFERROR(VLOOKUP($B40,FORECAST!$D$2:$O$25,7+S$75,FALSE)/30*7,R40)</f>
        <v>15.166666666666666</v>
      </c>
      <c r="T40" s="117" cm="1">
        <f t="array" ref="T40">IFERROR(VLOOKUP($B40,FORECAST!$D$2:$O$25,7+T$75,FALSE)/30*7,S40)</f>
        <v>15.166666666666666</v>
      </c>
      <c r="U40" s="117" cm="1">
        <f t="array" ref="U40">IFERROR(VLOOKUP($B40,FORECAST!$D$2:$O$25,7+U$75,FALSE)/30*7,T40)</f>
        <v>15.166666666666666</v>
      </c>
      <c r="V40" s="117" cm="1">
        <f t="array" ref="V40">IFERROR(VLOOKUP($B40,FORECAST!$D$2:$O$25,7+V$75,FALSE)/30*7,U40)</f>
        <v>4.2</v>
      </c>
      <c r="W40" s="117" cm="1">
        <f t="array" ref="W40">IFERROR(VLOOKUP($B40,FORECAST!$D$2:$O$25,7+W$75,FALSE)/30*7,V40)</f>
        <v>4.2</v>
      </c>
      <c r="X40" s="117" cm="1">
        <f t="array" ref="X40">IFERROR(VLOOKUP($B40,FORECAST!$D$2:$O$25,7+X$75,FALSE)/30*7,W40)</f>
        <v>4.2</v>
      </c>
      <c r="Y40" s="117" cm="1">
        <f t="array" ref="Y40">IFERROR(VLOOKUP($B40,FORECAST!$D$2:$O$25,7+Y$75,FALSE)/30*7,X40)</f>
        <v>4.2</v>
      </c>
      <c r="Z40" s="117" cm="1">
        <f t="array" ref="Z40">IFERROR(VLOOKUP($B40,FORECAST!$D$2:$O$25,7+Z$75,FALSE)/30*7,Y40)</f>
        <v>4.2</v>
      </c>
      <c r="AA40" s="117" cm="1">
        <f t="array" ref="AA40">IFERROR(VLOOKUP($B40,FORECAST!$D$2:$O$25,7+AA$75,FALSE)/30*7,Z40)</f>
        <v>0.23333333333333334</v>
      </c>
      <c r="AB40" s="19" cm="1">
        <f t="array" ref="AB40">IFERROR(VLOOKUP($B40,FORECAST!$D$2:$O$25,7+AB$75,FALSE)/30*7,AA40)</f>
        <v>0.23333333333333334</v>
      </c>
      <c r="AC40" s="19" cm="1">
        <f t="array" ref="AC40">IFERROR(VLOOKUP($B40,FORECAST!$D$2:$O$25,7+AC$75,FALSE)/30*7,AB40)</f>
        <v>0.23333333333333334</v>
      </c>
      <c r="AD40" s="19" cm="1">
        <f t="array" ref="AD40">IFERROR(VLOOKUP($B40,FORECAST!$D$2:$O$25,7+AD$75,FALSE)/30*7,AC40)</f>
        <v>0.23333333333333334</v>
      </c>
      <c r="AE40" s="19" cm="1">
        <f t="array" ref="AE40">IFERROR(VLOOKUP($B40,FORECAST!$D$2:$O$25,7+AE$75,FALSE)/30*7,AD40)</f>
        <v>0.23333333333333334</v>
      </c>
      <c r="AF40" s="19" cm="1">
        <f t="array" ref="AF40">IFERROR(VLOOKUP($B40,FORECAST!$D$2:$O$25,7+AF$75,FALSE)/30*7,AE40)</f>
        <v>0.23333333333333334</v>
      </c>
      <c r="AG40" s="19" cm="1">
        <f t="array" ref="AG40">IFERROR(VLOOKUP($B40,FORECAST!$D$2:$O$25,7+AG$75,FALSE)/30*7,AF40)</f>
        <v>0.23333333333333334</v>
      </c>
      <c r="AH40" s="19" cm="1">
        <f t="array" ref="AH40">IFERROR(VLOOKUP($B40,FORECAST!$D$2:$O$25,7+AH$75,FALSE)/30*7,AG40)</f>
        <v>0.23333333333333334</v>
      </c>
      <c r="AI40" s="19" cm="1">
        <f t="array" ref="AI40">IFERROR(VLOOKUP($B40,FORECAST!$D$2:$O$25,7+AI$75,FALSE)/30*7,AH40)</f>
        <v>0.23333333333333334</v>
      </c>
      <c r="AJ40" s="19" cm="1">
        <f t="array" ref="AJ40">IFERROR(VLOOKUP($B40,FORECAST!$D$2:$O$25,7+AJ$75,FALSE)/30*7,AI40)</f>
        <v>0.23333333333333334</v>
      </c>
      <c r="AK40" s="19" cm="1">
        <f t="array" ref="AK40">IFERROR(VLOOKUP($B40,FORECAST!$D$2:$O$25,7+AK$75,FALSE)/30*7,AJ40)</f>
        <v>0.23333333333333334</v>
      </c>
      <c r="AL40" s="19" cm="1">
        <f t="array" ref="AL40">IFERROR(VLOOKUP($B40,FORECAST!$D$2:$O$25,7+AL$75,FALSE)/30*7,AK40)</f>
        <v>0.23333333333333334</v>
      </c>
      <c r="AM40" s="19" cm="1">
        <f t="array" ref="AM40">IFERROR(VLOOKUP($B40,FORECAST!$D$2:$O$25,7+AM$75,FALSE)/30*7,AL40)</f>
        <v>0.23333333333333334</v>
      </c>
      <c r="AN40" s="19" cm="1">
        <f t="array" ref="AN40">IFERROR(VLOOKUP($B40,FORECAST!$D$2:$O$25,7+AN$75,FALSE)/30*7,AM40)</f>
        <v>0.23333333333333334</v>
      </c>
      <c r="AO40" s="19" cm="1">
        <f t="array" ref="AO40">IFERROR(VLOOKUP($B40,FORECAST!$D$2:$O$25,7+AO$75,FALSE)/30*7,AN40)</f>
        <v>0.23333333333333334</v>
      </c>
      <c r="AP40" s="19" cm="1">
        <f t="array" ref="AP40">IFERROR(VLOOKUP($B40,FORECAST!$D$2:$O$25,7+AP$75,FALSE)/30*7,AO40)</f>
        <v>0.23333333333333334</v>
      </c>
      <c r="AQ40" s="19" cm="1">
        <f t="array" ref="AQ40">IFERROR(VLOOKUP($B40,FORECAST!$D$2:$O$25,7+AQ$75,FALSE)/30*7,AP40)</f>
        <v>0.23333333333333334</v>
      </c>
      <c r="AR40" s="19" cm="1">
        <f t="array" ref="AR40">IFERROR(VLOOKUP($B40,FORECAST!$D$2:$O$25,7+AR$75,FALSE)/30*7,AQ40)</f>
        <v>0.23333333333333334</v>
      </c>
      <c r="AS40" s="19" cm="1">
        <f t="array" ref="AS40">IFERROR(VLOOKUP($B40,FORECAST!$D$2:$O$25,7+AS$75,FALSE)/30*7,AR40)</f>
        <v>0.23333333333333334</v>
      </c>
      <c r="AT40" s="19" cm="1">
        <f t="array" ref="AT40">IFERROR(VLOOKUP($B40,FORECAST!$D$2:$O$25,7+AT$75,FALSE)/30*7,AS40)</f>
        <v>0.23333333333333334</v>
      </c>
      <c r="AU40" s="19" cm="1">
        <f t="array" ref="AU40">IFERROR(VLOOKUP($B40,FORECAST!$D$2:$O$25,7+AU$75,FALSE)/30*7,AT40)</f>
        <v>0.23333333333333334</v>
      </c>
      <c r="AV40" s="19" cm="1">
        <f t="array" ref="AV40">IFERROR(VLOOKUP($B40,FORECAST!$D$2:$O$25,7+AV$75,FALSE)/30*7,AU40)</f>
        <v>0.23333333333333334</v>
      </c>
      <c r="AW40" s="19" cm="1">
        <f t="array" ref="AW40">IFERROR(VLOOKUP($B40,FORECAST!$D$2:$O$25,7+AW$75,FALSE)/30*7,AV40)</f>
        <v>0.23333333333333334</v>
      </c>
      <c r="AX40" s="19" cm="1">
        <f t="array" ref="AX40">IFERROR(VLOOKUP($B40,FORECAST!$D$2:$O$25,7+AX$75,FALSE)/30*7,AW40)</f>
        <v>0.23333333333333334</v>
      </c>
      <c r="AY40" s="19" cm="1">
        <f t="array" ref="AY40">IFERROR(VLOOKUP($B40,FORECAST!$D$2:$O$25,7+AY$75,FALSE)/30*7,AX40)</f>
        <v>0.23333333333333334</v>
      </c>
      <c r="AZ40" s="19" cm="1">
        <f t="array" ref="AZ40">IFERROR(VLOOKUP($B40,FORECAST!$D$2:$O$25,7+AZ$75,FALSE)/30*7,AY40)</f>
        <v>0.23333333333333334</v>
      </c>
      <c r="BA40" s="19" cm="1">
        <f t="array" ref="BA40">IFERROR(VLOOKUP($B40,FORECAST!$D$2:$O$25,7+BA$75,FALSE)/30*7,AZ40)</f>
        <v>0.23333333333333334</v>
      </c>
      <c r="BB40" s="19" cm="1">
        <f t="array" ref="BB40">IFERROR(VLOOKUP($B40,FORECAST!$D$2:$O$25,7+BB$75,FALSE)/30*7,BA40)</f>
        <v>0.23333333333333334</v>
      </c>
      <c r="BC40" s="19" cm="1">
        <f t="array" ref="BC40">IFERROR(VLOOKUP($B40,FORECAST!$D$2:$O$25,7+BC$75,FALSE)/30*7,BB40)</f>
        <v>0.23333333333333334</v>
      </c>
      <c r="BD40" s="19" cm="1">
        <f t="array" ref="BD40">IFERROR(VLOOKUP($B40,FORECAST!$D$2:$O$25,7+BD$75,FALSE)/30*7,BC40)</f>
        <v>0.23333333333333334</v>
      </c>
      <c r="BE40" s="19" cm="1">
        <f t="array" ref="BE40">IFERROR(VLOOKUP($B40,FORECAST!$D$2:$O$25,7+BE$75,FALSE)/30*7,BD40)</f>
        <v>0.23333333333333334</v>
      </c>
      <c r="BF40" s="19" cm="1">
        <f t="array" ref="BF40">IFERROR(VLOOKUP($B40,FORECAST!$D$2:$O$25,7+BF$75,FALSE)/30*7,BE40)</f>
        <v>0.23333333333333334</v>
      </c>
      <c r="BG40" s="19" cm="1">
        <f t="array" ref="BG40">IFERROR(VLOOKUP($B40,FORECAST!$D$2:$O$25,7+BG$75,FALSE)/30*7,BF40)</f>
        <v>0.23333333333333334</v>
      </c>
      <c r="BH40" s="19" cm="1">
        <f t="array" ref="BH40">IFERROR(VLOOKUP($B40,FORECAST!$D$2:$O$25,7+BH$75,FALSE)/30*7,BG40)</f>
        <v>0.23333333333333334</v>
      </c>
      <c r="BI40" s="19" cm="1">
        <f t="array" ref="BI40">IFERROR(VLOOKUP($B40,FORECAST!$D$2:$O$25,7+BI$75,FALSE)/30*7,BH40)</f>
        <v>0.23333333333333334</v>
      </c>
      <c r="BJ40" s="19" cm="1">
        <f t="array" ref="BJ40">IFERROR(VLOOKUP($B40,FORECAST!$D$2:$O$25,7+BJ$75,FALSE)/30*7,BI40)</f>
        <v>0.23333333333333334</v>
      </c>
      <c r="BK40" s="19" cm="1">
        <f t="array" ref="BK40">IFERROR(VLOOKUP($B40,FORECAST!$D$2:$O$25,7+BK$75,FALSE)/30*7,BJ40)</f>
        <v>0.23333333333333334</v>
      </c>
      <c r="BL40" s="19" cm="1">
        <f t="array" ref="BL40">IFERROR(VLOOKUP($B40,FORECAST!$D$2:$O$25,7+BL$75,FALSE)/30*7,BK40)</f>
        <v>0.23333333333333334</v>
      </c>
      <c r="BM40" s="19" cm="1">
        <f t="array" ref="BM40">IFERROR(VLOOKUP($B40,FORECAST!$D$2:$O$25,7+BM$75,FALSE)/30*7,BL40)</f>
        <v>0.23333333333333334</v>
      </c>
      <c r="BN40" s="19" cm="1">
        <f t="array" ref="BN40">IFERROR(VLOOKUP($B40,FORECAST!$D$2:$O$25,7+BN$75,FALSE)/30*7,BM40)</f>
        <v>0.23333333333333334</v>
      </c>
      <c r="BO40" s="19" cm="1">
        <f t="array" ref="BO40">IFERROR(VLOOKUP($B40,FORECAST!$D$2:$O$25,7+BO$75,FALSE)/30*7,BN40)</f>
        <v>0.23333333333333334</v>
      </c>
      <c r="BP40" s="19" cm="1">
        <f t="array" ref="BP40">IFERROR(VLOOKUP($B40,FORECAST!$D$2:$O$25,7+BP$75,FALSE)/30*7,BO40)</f>
        <v>0.23333333333333334</v>
      </c>
      <c r="BQ40" s="19" cm="1">
        <f t="array" ref="BQ40">IFERROR(VLOOKUP($B40,FORECAST!$D$2:$O$25,7+BQ$75,FALSE)/30*7,BP40)</f>
        <v>0.23333333333333334</v>
      </c>
      <c r="BR40" s="19" cm="1">
        <f t="array" ref="BR40">IFERROR(VLOOKUP($B40,FORECAST!$D$2:$O$25,7+BR$75,FALSE)/30*7,BQ40)</f>
        <v>0.23333333333333334</v>
      </c>
      <c r="BS40" s="19" cm="1">
        <f t="array" ref="BS40">IFERROR(VLOOKUP($B40,FORECAST!$D$2:$O$25,7+BS$75,FALSE)/30*7,BR40)</f>
        <v>0.23333333333333334</v>
      </c>
      <c r="BT40" s="19" cm="1">
        <f t="array" ref="BT40">IFERROR(VLOOKUP($B40,FORECAST!$D$2:$O$25,7+BT$75,FALSE)/30*7,BS40)</f>
        <v>0.23333333333333334</v>
      </c>
      <c r="BU40" s="19" cm="1">
        <f t="array" ref="BU40">IFERROR(VLOOKUP($B40,FORECAST!$D$2:$O$25,7+BU$75,FALSE)/30*7,BT40)</f>
        <v>0.23333333333333334</v>
      </c>
      <c r="BV40" s="19" cm="1">
        <f t="array" ref="BV40">IFERROR(VLOOKUP($B40,FORECAST!$D$2:$O$25,7+BV$75,FALSE)/30*7,BU40)</f>
        <v>0.23333333333333334</v>
      </c>
      <c r="BW40" s="19" cm="1">
        <f t="array" ref="BW40">IFERROR(VLOOKUP($B40,FORECAST!$D$2:$O$25,7+BW$75,FALSE)/30*7,BV40)</f>
        <v>0.23333333333333334</v>
      </c>
      <c r="BX40" s="19" cm="1">
        <f t="array" ref="BX40">IFERROR(VLOOKUP($B40,FORECAST!$D$2:$O$25,7+BX$75,FALSE)/30*7,BW40)</f>
        <v>0.23333333333333334</v>
      </c>
      <c r="BY40" s="19" cm="1">
        <f t="array" ref="BY40">IFERROR(VLOOKUP($B40,FORECAST!$D$2:$O$25,7+BY$75,FALSE)/30*7,BX40)</f>
        <v>0.23333333333333334</v>
      </c>
      <c r="BZ40" s="19" cm="1">
        <f t="array" ref="BZ40">IFERROR(VLOOKUP($B40,FORECAST!$D$2:$O$25,7+BZ$75,FALSE)/30*7,BY40)</f>
        <v>0.23333333333333334</v>
      </c>
      <c r="CA40" s="19" cm="1">
        <f t="array" ref="CA40">IFERROR(VLOOKUP($B40,FORECAST!$D$2:$O$25,7+CA$75,FALSE)/30*7,BZ40)</f>
        <v>0.23333333333333334</v>
      </c>
      <c r="CB40" s="19" cm="1">
        <f t="array" ref="CB40">IFERROR(VLOOKUP($B40,FORECAST!$D$2:$O$25,7+CB$75,FALSE)/30*7,CA40)</f>
        <v>0.23333333333333334</v>
      </c>
      <c r="CC40" s="19" cm="1">
        <f t="array" ref="CC40">IFERROR(VLOOKUP($B40,FORECAST!$D$2:$O$25,7+CC$75,FALSE)/30*7,CB40)</f>
        <v>0.23333333333333334</v>
      </c>
      <c r="CD40" s="19" cm="1">
        <f t="array" ref="CD40">IFERROR(VLOOKUP($B40,FORECAST!$D$2:$O$25,7+CD$75,FALSE)/30*7,CC40)</f>
        <v>0.23333333333333334</v>
      </c>
      <c r="CE40" s="19" cm="1">
        <f t="array" ref="CE40">IFERROR(VLOOKUP($B40,FORECAST!$D$2:$O$25,7+CE$75,FALSE)/30*7,CD40)</f>
        <v>0.23333333333333334</v>
      </c>
      <c r="CF40" s="19" cm="1">
        <f t="array" ref="CF40">IFERROR(VLOOKUP($B40,FORECAST!$D$2:$O$25,7+CF$75,FALSE)/30*7,CE40)</f>
        <v>0.23333333333333334</v>
      </c>
      <c r="CG40" s="19" cm="1">
        <f t="array" ref="CG40">IFERROR(VLOOKUP($B40,FORECAST!$D$2:$O$25,7+CG$75,FALSE)/30*7,CF40)</f>
        <v>0.23333333333333334</v>
      </c>
      <c r="CH40" s="19" cm="1">
        <f t="array" ref="CH40">IFERROR(VLOOKUP($B40,FORECAST!$D$2:$O$25,7+CH$75,FALSE)/30*7,CG40)</f>
        <v>0.23333333333333334</v>
      </c>
      <c r="CI40" s="19" cm="1">
        <f t="array" ref="CI40">IFERROR(VLOOKUP($B40,FORECAST!$D$2:$O$25,7+CI$75,FALSE)/30*7,CH40)</f>
        <v>0.23333333333333334</v>
      </c>
      <c r="CJ40" s="19" cm="1">
        <f t="array" ref="CJ40">IFERROR(VLOOKUP($B40,FORECAST!$D$2:$O$25,7+CJ$75,FALSE)/30*7,CI40)</f>
        <v>0.23333333333333334</v>
      </c>
      <c r="CK40" s="19" cm="1">
        <f t="array" ref="CK40">IFERROR(VLOOKUP($B40,FORECAST!$D$2:$O$25,7+CK$75,FALSE)/30*7,CJ40)</f>
        <v>0.23333333333333334</v>
      </c>
      <c r="CL40" s="19" cm="1">
        <f t="array" ref="CL40">IFERROR(VLOOKUP($B40,FORECAST!$D$2:$O$25,7+CL$75,FALSE)/30*7,CK40)</f>
        <v>0.23333333333333334</v>
      </c>
      <c r="CM40" s="19" cm="1">
        <f t="array" ref="CM40">IFERROR(VLOOKUP($B40,FORECAST!$D$2:$O$25,7+CM$75,FALSE)/30*7,CL40)</f>
        <v>0.23333333333333334</v>
      </c>
      <c r="CN40" s="19" cm="1">
        <f t="array" ref="CN40">IFERROR(VLOOKUP($B40,FORECAST!$D$2:$O$25,7+CN$75,FALSE)/30*7,CM40)</f>
        <v>0.23333333333333334</v>
      </c>
      <c r="CO40" s="19" cm="1">
        <f t="array" ref="CO40">IFERROR(VLOOKUP($B40,FORECAST!$D$2:$O$25,7+CO$75,FALSE)/30*7,CN40)</f>
        <v>0.23333333333333334</v>
      </c>
      <c r="CP40" s="19" cm="1">
        <f t="array" ref="CP40">IFERROR(VLOOKUP($B40,FORECAST!$D$2:$O$25,7+CP$75,FALSE)/30*7,CO40)</f>
        <v>0.23333333333333334</v>
      </c>
      <c r="CQ40" s="19" cm="1">
        <f t="array" ref="CQ40">IFERROR(VLOOKUP($B40,FORECAST!$D$2:$O$25,7+CQ$75,FALSE)/30*7,CP40)</f>
        <v>0.23333333333333334</v>
      </c>
      <c r="CR40" s="19" cm="1">
        <f t="array" ref="CR40">IFERROR(VLOOKUP($B40,FORECAST!$D$2:$O$25,7+CR$75,FALSE)/30*7,CQ40)</f>
        <v>0.23333333333333334</v>
      </c>
      <c r="CS40" s="19" cm="1">
        <f t="array" ref="CS40">IFERROR(VLOOKUP($B40,FORECAST!$D$2:$O$25,7+CS$75,FALSE)/30*7,CR40)</f>
        <v>0.23333333333333334</v>
      </c>
      <c r="CT40" s="19" cm="1">
        <f t="array" ref="CT40">IFERROR(VLOOKUP($B40,FORECAST!$D$2:$O$25,7+CT$75,FALSE)/30*7,CS40)</f>
        <v>0.23333333333333334</v>
      </c>
      <c r="CU40" s="19" cm="1">
        <f t="array" ref="CU40">IFERROR(VLOOKUP($B40,FORECAST!$D$2:$O$25,7+CU$75,FALSE)/30*7,CT40)</f>
        <v>0.23333333333333334</v>
      </c>
      <c r="CV40" s="19" cm="1">
        <f t="array" ref="CV40">IFERROR(VLOOKUP($B40,FORECAST!$D$2:$O$25,7+CV$75,FALSE)/30*7,CU40)</f>
        <v>0.23333333333333334</v>
      </c>
      <c r="CW40" s="19" cm="1">
        <f t="array" ref="CW40">IFERROR(VLOOKUP($B40,FORECAST!$D$2:$O$25,7+CW$75,FALSE)/30*7,CV40)</f>
        <v>0.23333333333333334</v>
      </c>
      <c r="CX40" s="19" cm="1">
        <f t="array" ref="CX40">IFERROR(VLOOKUP($B40,FORECAST!$D$2:$O$25,7+CX$75,FALSE)/30*7,CW40)</f>
        <v>0.23333333333333334</v>
      </c>
      <c r="CY40" s="19" cm="1">
        <f t="array" ref="CY40">IFERROR(VLOOKUP($B40,FORECAST!$D$2:$O$25,7+CY$75,FALSE)/30*7,CX40)</f>
        <v>0.23333333333333334</v>
      </c>
      <c r="CZ40" s="19" cm="1">
        <f t="array" ref="CZ40">IFERROR(VLOOKUP($B40,FORECAST!$D$2:$O$25,7+CZ$75,FALSE)/30*7,CY40)</f>
        <v>0.23333333333333334</v>
      </c>
      <c r="DA40" s="19" cm="1">
        <f t="array" ref="DA40">IFERROR(VLOOKUP($B40,FORECAST!$D$2:$O$25,7+DA$75,FALSE)/30*7,CZ40)</f>
        <v>0.23333333333333334</v>
      </c>
      <c r="DB40" s="19" cm="1">
        <f t="array" ref="DB40">IFERROR(VLOOKUP($B40,FORECAST!$D$2:$O$25,7+DB$75,FALSE)/30*7,DA40)</f>
        <v>0.23333333333333334</v>
      </c>
      <c r="DC40" s="19" cm="1">
        <f t="array" ref="DC40">IFERROR(VLOOKUP($B40,FORECAST!$D$2:$O$25,7+DC$75,FALSE)/30*7,DB40)</f>
        <v>0.23333333333333334</v>
      </c>
      <c r="DD40" s="19" cm="1">
        <f t="array" ref="DD40">IFERROR(VLOOKUP($B40,FORECAST!$D$2:$O$25,7+DD$75,FALSE)/30*7,DC40)</f>
        <v>0.23333333333333334</v>
      </c>
      <c r="DE40" s="19" cm="1">
        <f t="array" ref="DE40">IFERROR(VLOOKUP($B40,FORECAST!$D$2:$O$25,7+DE$75,FALSE)/30*7,DD40)</f>
        <v>0.23333333333333334</v>
      </c>
      <c r="DF40" s="19" cm="1">
        <f t="array" ref="DF40">IFERROR(VLOOKUP($B40,FORECAST!$D$2:$O$25,7+DF$75,FALSE)/30*7,DE40)</f>
        <v>0.23333333333333334</v>
      </c>
      <c r="DG40" s="19" cm="1">
        <f t="array" ref="DG40">IFERROR(VLOOKUP($B40,FORECAST!$D$2:$O$25,7+DG$75,FALSE)/30*7,DF40)</f>
        <v>0.23333333333333334</v>
      </c>
      <c r="DH40" s="19" cm="1">
        <f t="array" ref="DH40">IFERROR(VLOOKUP($B40,FORECAST!$D$2:$O$25,7+DH$75,FALSE)/30*7,DG40)</f>
        <v>0.23333333333333334</v>
      </c>
      <c r="DI40" s="19" cm="1">
        <f t="array" ref="DI40">IFERROR(VLOOKUP($B40,FORECAST!$D$2:$O$25,7+DI$75,FALSE)/30*7,DH40)</f>
        <v>0.23333333333333334</v>
      </c>
      <c r="DJ40" s="19" cm="1">
        <f t="array" ref="DJ40">IFERROR(VLOOKUP($B40,FORECAST!$D$2:$O$25,7+DJ$75,FALSE)/30*7,DI40)</f>
        <v>0.23333333333333334</v>
      </c>
      <c r="DK40" s="19" cm="1">
        <f t="array" ref="DK40">IFERROR(VLOOKUP($B40,FORECAST!$D$2:$O$25,7+DK$75,FALSE)/30*7,DJ40)</f>
        <v>0.23333333333333334</v>
      </c>
      <c r="DL40" s="19" cm="1">
        <f t="array" ref="DL40">IFERROR(VLOOKUP($B40,FORECAST!$D$2:$O$25,7+DL$75,FALSE)/30*7,DK40)</f>
        <v>0.23333333333333334</v>
      </c>
      <c r="DM40" s="19" cm="1">
        <f t="array" ref="DM40">IFERROR(VLOOKUP($B40,FORECAST!$D$2:$O$25,7+DM$75,FALSE)/30*7,DL40)</f>
        <v>0.23333333333333334</v>
      </c>
      <c r="DN40" s="19" cm="1">
        <f t="array" ref="DN40">IFERROR(VLOOKUP($B40,FORECAST!$D$2:$O$25,7+DN$75,FALSE)/30*7,DM40)</f>
        <v>0.23333333333333334</v>
      </c>
      <c r="DO40" s="19" cm="1">
        <f t="array" ref="DO40">IFERROR(VLOOKUP($B40,FORECAST!$D$2:$O$25,7+DO$75,FALSE)/30*7,DN40)</f>
        <v>0.23333333333333334</v>
      </c>
      <c r="DP40" s="19" cm="1">
        <f t="array" ref="DP40">IFERROR(VLOOKUP($B40,FORECAST!$D$2:$O$25,7+DP$75,FALSE)/30*7,DO40)</f>
        <v>0.23333333333333334</v>
      </c>
      <c r="DQ40" s="19" cm="1">
        <f t="array" ref="DQ40">IFERROR(VLOOKUP($B40,FORECAST!$D$2:$O$25,7+DQ$75,FALSE)/30*7,DP40)</f>
        <v>0.23333333333333334</v>
      </c>
      <c r="DR40" s="19" cm="1">
        <f t="array" ref="DR40">IFERROR(VLOOKUP($B40,FORECAST!$D$2:$O$25,7+DR$75,FALSE)/30*7,DQ40)</f>
        <v>0.23333333333333334</v>
      </c>
      <c r="DS40" s="19" cm="1">
        <f t="array" ref="DS40">IFERROR(VLOOKUP($B40,FORECAST!$D$2:$O$25,7+DS$75,FALSE)/30*7,DR40)</f>
        <v>0.23333333333333334</v>
      </c>
      <c r="DT40" s="19" cm="1">
        <f t="array" ref="DT40">IFERROR(VLOOKUP($B40,FORECAST!$D$2:$O$25,7+DT$75,FALSE)/30*7,DS40)</f>
        <v>0.23333333333333334</v>
      </c>
      <c r="DU40" s="19" cm="1">
        <f t="array" ref="DU40">IFERROR(VLOOKUP($B40,FORECAST!$D$2:$O$25,7+DU$75,FALSE)/30*7,DT40)</f>
        <v>0.23333333333333334</v>
      </c>
      <c r="DV40" s="19" cm="1">
        <f t="array" ref="DV40">IFERROR(VLOOKUP($B40,FORECAST!$D$2:$O$25,7+DV$75,FALSE)/30*7,DU40)</f>
        <v>0.23333333333333334</v>
      </c>
      <c r="DW40" s="19" cm="1">
        <f t="array" ref="DW40">IFERROR(VLOOKUP($B40,FORECAST!$D$2:$O$25,7+DW$75,FALSE)/30*7,DV40)</f>
        <v>0.23333333333333334</v>
      </c>
    </row>
    <row r="41" spans="1:127" outlineLevel="1" x14ac:dyDescent="0.3">
      <c r="A41" s="96" t="str">
        <f t="shared" si="791"/>
        <v>106030251Production Week</v>
      </c>
      <c r="B41" s="20">
        <f t="shared" si="792"/>
        <v>106030251</v>
      </c>
      <c r="C41" s="20" t="str">
        <f t="shared" si="792"/>
        <v>L 4X4X1/2 GGMULTI 50'00"</v>
      </c>
      <c r="D41" s="20">
        <f t="shared" si="792"/>
        <v>1333</v>
      </c>
      <c r="E41" s="20" t="str">
        <f t="shared" si="792"/>
        <v>4" ANG</v>
      </c>
      <c r="F41" s="4" t="s">
        <v>206</v>
      </c>
      <c r="H41" s="1" t="str">
        <f>IF(IFERROR(VLOOKUP(CONCATENATE($D41,$E41,H$1),'ROLLING SCHED'!$A:$A,1,FALSE),"x")&lt;&gt;"x","x",IF(IFERROR(VLOOKUP(CONCATENATE($D41,$E41,H$1+7),'ROLLING SCHED'!$A:$A,1,FALSE),"y")&lt;&gt;"y","y",""))</f>
        <v/>
      </c>
      <c r="I41" s="1" t="str">
        <f>IF(IFERROR(VLOOKUP(CONCATENATE($D41,$E41,I$1),'ROLLING SCHED'!$A:$A,1,FALSE),"x")&lt;&gt;"x","x",IF(IFERROR(VLOOKUP(CONCATENATE($D41,$E41,I$1+7),'ROLLING SCHED'!$A:$A,1,FALSE),"y")&lt;&gt;"y","y",""))</f>
        <v/>
      </c>
      <c r="J41" s="1" t="str">
        <f>IF(IFERROR(VLOOKUP(CONCATENATE($D41,$E41,J$1),'ROLLING SCHED'!$A:$A,1,FALSE),"x")&lt;&gt;"x","x",IF(IFERROR(VLOOKUP(CONCATENATE($D41,$E41,J$1+7),'ROLLING SCHED'!$A:$A,1,FALSE),"y")&lt;&gt;"y","y",""))</f>
        <v/>
      </c>
      <c r="K41" s="112" t="str">
        <f>IF(IFERROR(VLOOKUP(CONCATENATE($D41,$E41,K$1),'ROLLING SCHED'!$A:$A,1,FALSE),"x")&lt;&gt;"x","x",IF(IFERROR(VLOOKUP(CONCATENATE($D41,$E41,K$1+7),'ROLLING SCHED'!$A:$A,1,FALSE),"y")&lt;&gt;"y","y",""))</f>
        <v/>
      </c>
      <c r="L41" s="112" t="str">
        <f>IF(IFERROR(VLOOKUP(CONCATENATE($D41,$E41,L$1),'ROLLING SCHED'!$A:$A,1,FALSE),"x")&lt;&gt;"x","x",IF(IFERROR(VLOOKUP(CONCATENATE($D41,$E41,L$1+7),'ROLLING SCHED'!$A:$A,1,FALSE),"y")&lt;&gt;"y","y",""))</f>
        <v/>
      </c>
      <c r="M41" s="112" t="str">
        <f>IF(IFERROR(VLOOKUP(CONCATENATE($D41,$E41,M$1),'ROLLING SCHED'!$A:$A,1,FALSE),"x")&lt;&gt;"x","x",IF(IFERROR(VLOOKUP(CONCATENATE($D41,$E41,M$1+7),'ROLLING SCHED'!$A:$A,1,FALSE),"y")&lt;&gt;"y","y",""))</f>
        <v/>
      </c>
      <c r="N41" s="112" t="str">
        <f>IF(IFERROR(VLOOKUP(CONCATENATE($D41,$E41,N$1),'ROLLING SCHED'!$A:$A,1,FALSE),"x")&lt;&gt;"x","x",IF(IFERROR(VLOOKUP(CONCATENATE($D41,$E41,N$1+7),'ROLLING SCHED'!$A:$A,1,FALSE),"y")&lt;&gt;"y","y",""))</f>
        <v/>
      </c>
      <c r="O41" s="112" t="str">
        <f>IF(IFERROR(VLOOKUP(CONCATENATE($D41,$E41,O$1),'ROLLING SCHED'!$A:$A,1,FALSE),"x")&lt;&gt;"x","x",IF(IFERROR(VLOOKUP(CONCATENATE($D41,$E41,O$1+7),'ROLLING SCHED'!$A:$A,1,FALSE),"y")&lt;&gt;"y","y",""))</f>
        <v/>
      </c>
      <c r="P41" s="112" t="str">
        <f>IF(IFERROR(VLOOKUP(CONCATENATE($D41,$E41,P$1),'ROLLING SCHED'!$A:$A,1,FALSE),"x")&lt;&gt;"x","x",IF(IFERROR(VLOOKUP(CONCATENATE($D41,$E41,P$1+7),'ROLLING SCHED'!$A:$A,1,FALSE),"y")&lt;&gt;"y","y",""))</f>
        <v>y</v>
      </c>
      <c r="Q41" s="112" t="str">
        <f>IF(IFERROR(VLOOKUP(CONCATENATE($D41,$E41,Q$1),'ROLLING SCHED'!$A:$A,1,FALSE),"x")&lt;&gt;"x","x",IF(IFERROR(VLOOKUP(CONCATENATE($D41,$E41,Q$1+7),'ROLLING SCHED'!$A:$A,1,FALSE),"y")&lt;&gt;"y","y",""))</f>
        <v>x</v>
      </c>
      <c r="R41" s="112" t="str">
        <f>IF(IFERROR(VLOOKUP(CONCATENATE($D41,$E41,R$1),'ROLLING SCHED'!$A:$A,1,FALSE),"x")&lt;&gt;"x","x",IF(IFERROR(VLOOKUP(CONCATENATE($D41,$E41,R$1+7),'ROLLING SCHED'!$A:$A,1,FALSE),"y")&lt;&gt;"y","y",""))</f>
        <v/>
      </c>
      <c r="S41" s="9" t="str">
        <f>IF(IFERROR(VLOOKUP(CONCATENATE($D41,$E41,S$1),'ROLLING SCHED'!$A:$A,1,FALSE),"x")&lt;&gt;"x","x",IF(IFERROR(VLOOKUP(CONCATENATE($D41,$E41,S$1+7),'ROLLING SCHED'!$A:$A,1,FALSE),"y")&lt;&gt;"y","y",""))</f>
        <v/>
      </c>
      <c r="T41" s="9" t="str">
        <f>IF(IFERROR(VLOOKUP(CONCATENATE($D41,$E41,T$1),'ROLLING SCHED'!$A:$A,1,FALSE),"x")&lt;&gt;"x","x",IF(IFERROR(VLOOKUP(CONCATENATE($D41,$E41,T$1+7),'ROLLING SCHED'!$A:$A,1,FALSE),"y")&lt;&gt;"y","y",""))</f>
        <v/>
      </c>
      <c r="U41" s="9" t="str">
        <f>IF(IFERROR(VLOOKUP(CONCATENATE($D41,$E41,U$1),'ROLLING SCHED'!$A:$A,1,FALSE),"x")&lt;&gt;"x","x",IF(IFERROR(VLOOKUP(CONCATENATE($D41,$E41,U$1+7),'ROLLING SCHED'!$A:$A,1,FALSE),"y")&lt;&gt;"y","y",""))</f>
        <v/>
      </c>
      <c r="V41" s="9" t="str">
        <f>IF(IFERROR(VLOOKUP(CONCATENATE($D41,$E41,V$1),'ROLLING SCHED'!$A:$A,1,FALSE),"x")&lt;&gt;"x","x",IF(IFERROR(VLOOKUP(CONCATENATE($D41,$E41,V$1+7),'ROLLING SCHED'!$A:$A,1,FALSE),"y")&lt;&gt;"y","y",""))</f>
        <v/>
      </c>
      <c r="W41" s="9" t="str">
        <f>IF(IFERROR(VLOOKUP(CONCATENATE($D41,$E41,W$1),'ROLLING SCHED'!$A:$A,1,FALSE),"x")&lt;&gt;"x","x",IF(IFERROR(VLOOKUP(CONCATENATE($D41,$E41,W$1+7),'ROLLING SCHED'!$A:$A,1,FALSE),"y")&lt;&gt;"y","y",""))</f>
        <v/>
      </c>
      <c r="X41" s="9" t="str">
        <f>IF(IFERROR(VLOOKUP(CONCATENATE($D41,$E41,X$1),'ROLLING SCHED'!$A:$A,1,FALSE),"x")&lt;&gt;"x","x",IF(IFERROR(VLOOKUP(CONCATENATE($D41,$E41,X$1+7),'ROLLING SCHED'!$A:$A,1,FALSE),"y")&lt;&gt;"y","y",""))</f>
        <v/>
      </c>
      <c r="Y41" s="9" t="str">
        <f>IF(IFERROR(VLOOKUP(CONCATENATE($D41,$E41,Y$1),'ROLLING SCHED'!$A:$A,1,FALSE),"x")&lt;&gt;"x","x",IF(IFERROR(VLOOKUP(CONCATENATE($D41,$E41,Y$1+7),'ROLLING SCHED'!$A:$A,1,FALSE),"y")&lt;&gt;"y","y",""))</f>
        <v>y</v>
      </c>
      <c r="Z41" s="9" t="str">
        <f>IF(IFERROR(VLOOKUP(CONCATENATE($D41,$E41,Z$1),'ROLLING SCHED'!$A:$A,1,FALSE),"x")&lt;&gt;"x","x",IF(IFERROR(VLOOKUP(CONCATENATE($D41,$E41,Z$1+7),'ROLLING SCHED'!$A:$A,1,FALSE),"y")&lt;&gt;"y","y",""))</f>
        <v>x</v>
      </c>
      <c r="AA41" s="9" t="str">
        <f>IF(IFERROR(VLOOKUP(CONCATENATE($D41,$E41,AA$1),'ROLLING SCHED'!$A:$A,1,FALSE),"x")&lt;&gt;"x","x",IF(IFERROR(VLOOKUP(CONCATENATE($D41,$E41,AA$1+7),'ROLLING SCHED'!$A:$A,1,FALSE),"y")&lt;&gt;"y","y",""))</f>
        <v/>
      </c>
      <c r="AB41" s="1" t="str">
        <f>IF(IFERROR(VLOOKUP(CONCATENATE($D41,$E41,AB$1),'ROLLING SCHED'!$A:$A,1,FALSE),"x")&lt;&gt;"x","x",IF(IFERROR(VLOOKUP(CONCATENATE($D41,$E41,AB$1+7),'ROLLING SCHED'!$A:$A,1,FALSE),"y")&lt;&gt;"y","y",""))</f>
        <v/>
      </c>
      <c r="AC41" s="1" t="str">
        <f>IF(IFERROR(VLOOKUP(CONCATENATE($D41,$E41,AC$1),'ROLLING SCHED'!$A:$A,1,FALSE),"x")&lt;&gt;"x","x",IF(IFERROR(VLOOKUP(CONCATENATE($D41,$E41,AC$1+7),'ROLLING SCHED'!$A:$A,1,FALSE),"y")&lt;&gt;"y","y",""))</f>
        <v/>
      </c>
      <c r="AD41" s="1" t="str">
        <f>IF(IFERROR(VLOOKUP(CONCATENATE($D41,$E41,AD$1),'ROLLING SCHED'!$A:$A,1,FALSE),"x")&lt;&gt;"x","x",IF(IFERROR(VLOOKUP(CONCATENATE($D41,$E41,AD$1+7),'ROLLING SCHED'!$A:$A,1,FALSE),"y")&lt;&gt;"y","y",""))</f>
        <v/>
      </c>
      <c r="AE41" s="1" t="str">
        <f>IF(IFERROR(VLOOKUP(CONCATENATE($D41,$E41,AE$1),'ROLLING SCHED'!$A:$A,1,FALSE),"x")&lt;&gt;"x","x",IF(IFERROR(VLOOKUP(CONCATENATE($D41,$E41,AE$1+7),'ROLLING SCHED'!$A:$A,1,FALSE),"y")&lt;&gt;"y","y",""))</f>
        <v/>
      </c>
      <c r="AF41" s="1" t="str">
        <f>IF(IFERROR(VLOOKUP(CONCATENATE($D41,$E41,AF$1),'ROLLING SCHED'!$A:$A,1,FALSE),"x")&lt;&gt;"x","x",IF(IFERROR(VLOOKUP(CONCATENATE($D41,$E41,AF$1+7),'ROLLING SCHED'!$A:$A,1,FALSE),"y")&lt;&gt;"y","y",""))</f>
        <v/>
      </c>
      <c r="AG41" s="1" t="str">
        <f>IF(IFERROR(VLOOKUP(CONCATENATE($D41,$E41,AG$1),'ROLLING SCHED'!$A:$A,1,FALSE),"x")&lt;&gt;"x","x",IF(IFERROR(VLOOKUP(CONCATENATE($D41,$E41,AG$1+7),'ROLLING SCHED'!$A:$A,1,FALSE),"y")&lt;&gt;"y","y",""))</f>
        <v/>
      </c>
      <c r="AH41" s="1" t="str">
        <f>IF(IFERROR(VLOOKUP(CONCATENATE($D41,$E41,AH$1),'ROLLING SCHED'!$A:$A,1,FALSE),"x")&lt;&gt;"x","x",IF(IFERROR(VLOOKUP(CONCATENATE($D41,$E41,AH$1+7),'ROLLING SCHED'!$A:$A,1,FALSE),"y")&lt;&gt;"y","y",""))</f>
        <v/>
      </c>
      <c r="AI41" s="1" t="str">
        <f>IF(IFERROR(VLOOKUP(CONCATENATE($D41,$E41,AI$1),'ROLLING SCHED'!$A:$A,1,FALSE),"x")&lt;&gt;"x","x",IF(IFERROR(VLOOKUP(CONCATENATE($D41,$E41,AI$1+7),'ROLLING SCHED'!$A:$A,1,FALSE),"y")&lt;&gt;"y","y",""))</f>
        <v>y</v>
      </c>
      <c r="AJ41" s="1" t="str">
        <f>IF(IFERROR(VLOOKUP(CONCATENATE($D41,$E41,AJ$1),'ROLLING SCHED'!$A:$A,1,FALSE),"x")&lt;&gt;"x","x",IF(IFERROR(VLOOKUP(CONCATENATE($D41,$E41,AJ$1+7),'ROLLING SCHED'!$A:$A,1,FALSE),"y")&lt;&gt;"y","y",""))</f>
        <v>x</v>
      </c>
      <c r="AK41" s="1" t="str">
        <f>IF(IFERROR(VLOOKUP(CONCATENATE($D41,$E41,AK$1),'ROLLING SCHED'!$A:$A,1,FALSE),"x")&lt;&gt;"x","x",IF(IFERROR(VLOOKUP(CONCATENATE($D41,$E41,AK$1+7),'ROLLING SCHED'!$A:$A,1,FALSE),"y")&lt;&gt;"y","y",""))</f>
        <v/>
      </c>
      <c r="AL41" s="1" t="str">
        <f>IF(IFERROR(VLOOKUP(CONCATENATE($D41,$E41,AL$1),'ROLLING SCHED'!$A:$A,1,FALSE),"x")&lt;&gt;"x","x",IF(IFERROR(VLOOKUP(CONCATENATE($D41,$E41,AL$1+7),'ROLLING SCHED'!$A:$A,1,FALSE),"y")&lt;&gt;"y","y",""))</f>
        <v/>
      </c>
      <c r="AM41" s="1" t="str">
        <f>IF(IFERROR(VLOOKUP(CONCATENATE($D41,$E41,AM$1),'ROLLING SCHED'!$A:$A,1,FALSE),"x")&lt;&gt;"x","x",IF(IFERROR(VLOOKUP(CONCATENATE($D41,$E41,AM$1+7),'ROLLING SCHED'!$A:$A,1,FALSE),"y")&lt;&gt;"y","y",""))</f>
        <v/>
      </c>
      <c r="AN41" s="1" t="str">
        <f>IF(IFERROR(VLOOKUP(CONCATENATE($D41,$E41,AN$1),'ROLLING SCHED'!$A:$A,1,FALSE),"x")&lt;&gt;"x","x",IF(IFERROR(VLOOKUP(CONCATENATE($D41,$E41,AN$1+7),'ROLLING SCHED'!$A:$A,1,FALSE),"y")&lt;&gt;"y","y",""))</f>
        <v/>
      </c>
      <c r="AO41" s="1" t="str">
        <f>IF(IFERROR(VLOOKUP(CONCATENATE($D41,$E41,AO$1),'ROLLING SCHED'!$A:$A,1,FALSE),"x")&lt;&gt;"x","x",IF(IFERROR(VLOOKUP(CONCATENATE($D41,$E41,AO$1+7),'ROLLING SCHED'!$A:$A,1,FALSE),"y")&lt;&gt;"y","y",""))</f>
        <v/>
      </c>
      <c r="AP41" s="1" t="str">
        <f>IF(IFERROR(VLOOKUP(CONCATENATE($D41,$E41,AP$1),'ROLLING SCHED'!$A:$A,1,FALSE),"x")&lt;&gt;"x","x",IF(IFERROR(VLOOKUP(CONCATENATE($D41,$E41,AP$1+7),'ROLLING SCHED'!$A:$A,1,FALSE),"y")&lt;&gt;"y","y",""))</f>
        <v/>
      </c>
      <c r="AQ41" s="1" t="str">
        <f>IF(IFERROR(VLOOKUP(CONCATENATE($D41,$E41,AQ$1),'ROLLING SCHED'!$A:$A,1,FALSE),"x")&lt;&gt;"x","x",IF(IFERROR(VLOOKUP(CONCATENATE($D41,$E41,AQ$1+7),'ROLLING SCHED'!$A:$A,1,FALSE),"y")&lt;&gt;"y","y",""))</f>
        <v/>
      </c>
      <c r="AR41" s="1" t="str">
        <f>IF(IFERROR(VLOOKUP(CONCATENATE($D41,$E41,AR$1),'ROLLING SCHED'!$A:$A,1,FALSE),"x")&lt;&gt;"x","x",IF(IFERROR(VLOOKUP(CONCATENATE($D41,$E41,AR$1+7),'ROLLING SCHED'!$A:$A,1,FALSE),"y")&lt;&gt;"y","y",""))</f>
        <v>y</v>
      </c>
      <c r="AS41" s="1" t="str">
        <f>IF(IFERROR(VLOOKUP(CONCATENATE($D41,$E41,AS$1),'ROLLING SCHED'!$A:$A,1,FALSE),"x")&lt;&gt;"x","x",IF(IFERROR(VLOOKUP(CONCATENATE($D41,$E41,AS$1+7),'ROLLING SCHED'!$A:$A,1,FALSE),"y")&lt;&gt;"y","y",""))</f>
        <v>x</v>
      </c>
      <c r="AT41" s="1" t="str">
        <f>IF(IFERROR(VLOOKUP(CONCATENATE($D41,$E41,AT$1),'ROLLING SCHED'!$A:$A,1,FALSE),"x")&lt;&gt;"x","x",IF(IFERROR(VLOOKUP(CONCATENATE($D41,$E41,AT$1+7),'ROLLING SCHED'!$A:$A,1,FALSE),"y")&lt;&gt;"y","y",""))</f>
        <v/>
      </c>
      <c r="AU41" s="1" t="str">
        <f>IF(IFERROR(VLOOKUP(CONCATENATE($D41,$E41,AU$1),'ROLLING SCHED'!$A:$A,1,FALSE),"x")&lt;&gt;"x","x",IF(IFERROR(VLOOKUP(CONCATENATE($D41,$E41,AU$1+7),'ROLLING SCHED'!$A:$A,1,FALSE),"y")&lt;&gt;"y","y",""))</f>
        <v/>
      </c>
      <c r="AV41" s="1" t="str">
        <f>IF(IFERROR(VLOOKUP(CONCATENATE($D41,$E41,AV$1),'ROLLING SCHED'!$A:$A,1,FALSE),"x")&lt;&gt;"x","x",IF(IFERROR(VLOOKUP(CONCATENATE($D41,$E41,AV$1+7),'ROLLING SCHED'!$A:$A,1,FALSE),"y")&lt;&gt;"y","y",""))</f>
        <v/>
      </c>
      <c r="AW41" s="1" t="str">
        <f>IF(IFERROR(VLOOKUP(CONCATENATE($D41,$E41,AW$1),'ROLLING SCHED'!$A:$A,1,FALSE),"x")&lt;&gt;"x","x",IF(IFERROR(VLOOKUP(CONCATENATE($D41,$E41,AW$1+7),'ROLLING SCHED'!$A:$A,1,FALSE),"y")&lt;&gt;"y","y",""))</f>
        <v/>
      </c>
      <c r="AX41" s="1" t="str">
        <f>IF(IFERROR(VLOOKUP(CONCATENATE($D41,$E41,AX$1),'ROLLING SCHED'!$A:$A,1,FALSE),"x")&lt;&gt;"x","x",IF(IFERROR(VLOOKUP(CONCATENATE($D41,$E41,AX$1+7),'ROLLING SCHED'!$A:$A,1,FALSE),"y")&lt;&gt;"y","y",""))</f>
        <v/>
      </c>
      <c r="AY41" s="1" t="str">
        <f>IF(IFERROR(VLOOKUP(CONCATENATE($D41,$E41,AY$1),'ROLLING SCHED'!$A:$A,1,FALSE),"x")&lt;&gt;"x","x",IF(IFERROR(VLOOKUP(CONCATENATE($D41,$E41,AY$1+7),'ROLLING SCHED'!$A:$A,1,FALSE),"y")&lt;&gt;"y","y",""))</f>
        <v/>
      </c>
      <c r="AZ41" s="1" t="str">
        <f>IF(IFERROR(VLOOKUP(CONCATENATE($D41,$E41,AZ$1),'ROLLING SCHED'!$A:$A,1,FALSE),"x")&lt;&gt;"x","x",IF(IFERROR(VLOOKUP(CONCATENATE($D41,$E41,AZ$1+7),'ROLLING SCHED'!$A:$A,1,FALSE),"y")&lt;&gt;"y","y",""))</f>
        <v/>
      </c>
      <c r="BA41" s="1" t="str">
        <f>IF(IFERROR(VLOOKUP(CONCATENATE($D41,$E41,BA$1),'ROLLING SCHED'!$A:$A,1,FALSE),"x")&lt;&gt;"x","x",IF(IFERROR(VLOOKUP(CONCATENATE($D41,$E41,BA$1+7),'ROLLING SCHED'!$A:$A,1,FALSE),"y")&lt;&gt;"y","y",""))</f>
        <v>y</v>
      </c>
      <c r="BB41" s="1" t="str">
        <f>IF(IFERROR(VLOOKUP(CONCATENATE($D41,$E41,BB$1),'ROLLING SCHED'!$A:$A,1,FALSE),"x")&lt;&gt;"x","x",IF(IFERROR(VLOOKUP(CONCATENATE($D41,$E41,BB$1+7),'ROLLING SCHED'!$A:$A,1,FALSE),"y")&lt;&gt;"y","y",""))</f>
        <v>x</v>
      </c>
      <c r="BC41" s="1" t="str">
        <f>IF(IFERROR(VLOOKUP(CONCATENATE($D41,$E41,BC$1),'ROLLING SCHED'!$A:$A,1,FALSE),"x")&lt;&gt;"x","x",IF(IFERROR(VLOOKUP(CONCATENATE($D41,$E41,BC$1+7),'ROLLING SCHED'!$A:$A,1,FALSE),"y")&lt;&gt;"y","y",""))</f>
        <v/>
      </c>
      <c r="BD41" s="1" t="str">
        <f>IF(IFERROR(VLOOKUP(CONCATENATE($D41,$E41,BD$1),'ROLLING SCHED'!$A:$A,1,FALSE),"x")&lt;&gt;"x","x",IF(IFERROR(VLOOKUP(CONCATENATE($D41,$E41,BD$1+7),'ROLLING SCHED'!$A:$A,1,FALSE),"y")&lt;&gt;"y","y",""))</f>
        <v/>
      </c>
      <c r="BE41" s="1" t="str">
        <f>IF(IFERROR(VLOOKUP(CONCATENATE($D41,$E41,BE$1),'ROLLING SCHED'!$A:$A,1,FALSE),"x")&lt;&gt;"x","x",IF(IFERROR(VLOOKUP(CONCATENATE($D41,$E41,BE$1+7),'ROLLING SCHED'!$A:$A,1,FALSE),"y")&lt;&gt;"y","y",""))</f>
        <v/>
      </c>
      <c r="BF41" s="1" t="str">
        <f>IF(IFERROR(VLOOKUP(CONCATENATE($D41,$E41,BF$1),'ROLLING SCHED'!$A:$A,1,FALSE),"x")&lt;&gt;"x","x",IF(IFERROR(VLOOKUP(CONCATENATE($D41,$E41,BF$1+7),'ROLLING SCHED'!$A:$A,1,FALSE),"y")&lt;&gt;"y","y",""))</f>
        <v/>
      </c>
      <c r="BG41" s="1" t="str">
        <f>IF(IFERROR(VLOOKUP(CONCATENATE($D41,$E41,BG$1),'ROLLING SCHED'!$A:$A,1,FALSE),"x")&lt;&gt;"x","x",IF(IFERROR(VLOOKUP(CONCATENATE($D41,$E41,BG$1+7),'ROLLING SCHED'!$A:$A,1,FALSE),"y")&lt;&gt;"y","y",""))</f>
        <v/>
      </c>
      <c r="BH41" s="1" t="str">
        <f>IF(IFERROR(VLOOKUP(CONCATENATE($D41,$E41,BH$1),'ROLLING SCHED'!$A:$A,1,FALSE),"x")&lt;&gt;"x","x",IF(IFERROR(VLOOKUP(CONCATENATE($D41,$E41,BH$1+7),'ROLLING SCHED'!$A:$A,1,FALSE),"y")&lt;&gt;"y","y",""))</f>
        <v/>
      </c>
      <c r="BI41" s="1" t="str">
        <f>IF(IFERROR(VLOOKUP(CONCATENATE($D41,$E41,BI$1),'ROLLING SCHED'!$A:$A,1,FALSE),"x")&lt;&gt;"x","x",IF(IFERROR(VLOOKUP(CONCATENATE($D41,$E41,BI$1+7),'ROLLING SCHED'!$A:$A,1,FALSE),"y")&lt;&gt;"y","y",""))</f>
        <v/>
      </c>
      <c r="BJ41" s="1" t="str">
        <f>IF(IFERROR(VLOOKUP(CONCATENATE($D41,$E41,BJ$1),'ROLLING SCHED'!$A:$A,1,FALSE),"x")&lt;&gt;"x","x",IF(IFERROR(VLOOKUP(CONCATENATE($D41,$E41,BJ$1+7),'ROLLING SCHED'!$A:$A,1,FALSE),"y")&lt;&gt;"y","y",""))</f>
        <v/>
      </c>
      <c r="BK41" s="1" t="str">
        <f>IF(IFERROR(VLOOKUP(CONCATENATE($D41,$E41,BK$1),'ROLLING SCHED'!$A:$A,1,FALSE),"x")&lt;&gt;"x","x",IF(IFERROR(VLOOKUP(CONCATENATE($D41,$E41,BK$1+7),'ROLLING SCHED'!$A:$A,1,FALSE),"y")&lt;&gt;"y","y",""))</f>
        <v>y</v>
      </c>
      <c r="BL41" s="1" t="str">
        <f>IF(IFERROR(VLOOKUP(CONCATENATE($D41,$E41,BL$1),'ROLLING SCHED'!$A:$A,1,FALSE),"x")&lt;&gt;"x","x",IF(IFERROR(VLOOKUP(CONCATENATE($D41,$E41,BL$1+7),'ROLLING SCHED'!$A:$A,1,FALSE),"y")&lt;&gt;"y","y",""))</f>
        <v>x</v>
      </c>
      <c r="BM41" s="1" t="str">
        <f>IF(IFERROR(VLOOKUP(CONCATENATE($D41,$E41,BM$1),'ROLLING SCHED'!$A:$A,1,FALSE),"x")&lt;&gt;"x","x",IF(IFERROR(VLOOKUP(CONCATENATE($D41,$E41,BM$1+7),'ROLLING SCHED'!$A:$A,1,FALSE),"y")&lt;&gt;"y","y",""))</f>
        <v/>
      </c>
      <c r="BN41" s="1" t="str">
        <f>IF(IFERROR(VLOOKUP(CONCATENATE($D41,$E41,BN$1),'ROLLING SCHED'!$A:$A,1,FALSE),"x")&lt;&gt;"x","x",IF(IFERROR(VLOOKUP(CONCATENATE($D41,$E41,BN$1+7),'ROLLING SCHED'!$A:$A,1,FALSE),"y")&lt;&gt;"y","y",""))</f>
        <v/>
      </c>
      <c r="BO41" s="1" t="str">
        <f>IF(IFERROR(VLOOKUP(CONCATENATE($D41,$E41,BO$1),'ROLLING SCHED'!$A:$A,1,FALSE),"x")&lt;&gt;"x","x",IF(IFERROR(VLOOKUP(CONCATENATE($D41,$E41,BO$1+7),'ROLLING SCHED'!$A:$A,1,FALSE),"y")&lt;&gt;"y","y",""))</f>
        <v/>
      </c>
      <c r="BP41" s="1" t="str">
        <f>IF(IFERROR(VLOOKUP(CONCATENATE($D41,$E41,BP$1),'ROLLING SCHED'!$A:$A,1,FALSE),"x")&lt;&gt;"x","x",IF(IFERROR(VLOOKUP(CONCATENATE($D41,$E41,BP$1+7),'ROLLING SCHED'!$A:$A,1,FALSE),"y")&lt;&gt;"y","y",""))</f>
        <v/>
      </c>
      <c r="BQ41" s="1" t="str">
        <f>IF(IFERROR(VLOOKUP(CONCATENATE($D41,$E41,BQ$1),'ROLLING SCHED'!$A:$A,1,FALSE),"x")&lt;&gt;"x","x",IF(IFERROR(VLOOKUP(CONCATENATE($D41,$E41,BQ$1+7),'ROLLING SCHED'!$A:$A,1,FALSE),"y")&lt;&gt;"y","y",""))</f>
        <v/>
      </c>
      <c r="BR41" s="1" t="str">
        <f>IF(IFERROR(VLOOKUP(CONCATENATE($D41,$E41,BR$1),'ROLLING SCHED'!$A:$A,1,FALSE),"x")&lt;&gt;"x","x",IF(IFERROR(VLOOKUP(CONCATENATE($D41,$E41,BR$1+7),'ROLLING SCHED'!$A:$A,1,FALSE),"y")&lt;&gt;"y","y",""))</f>
        <v/>
      </c>
      <c r="BS41" s="1" t="str">
        <f>IF(IFERROR(VLOOKUP(CONCATENATE($D41,$E41,BS$1),'ROLLING SCHED'!$A:$A,1,FALSE),"x")&lt;&gt;"x","x",IF(IFERROR(VLOOKUP(CONCATENATE($D41,$E41,BS$1+7),'ROLLING SCHED'!$A:$A,1,FALSE),"y")&lt;&gt;"y","y",""))</f>
        <v/>
      </c>
      <c r="BT41" s="1" t="str">
        <f>IF(IFERROR(VLOOKUP(CONCATENATE($D41,$E41,BT$1),'ROLLING SCHED'!$A:$A,1,FALSE),"x")&lt;&gt;"x","x",IF(IFERROR(VLOOKUP(CONCATENATE($D41,$E41,BT$1+7),'ROLLING SCHED'!$A:$A,1,FALSE),"y")&lt;&gt;"y","y",""))</f>
        <v/>
      </c>
      <c r="BU41" s="1" t="str">
        <f>IF(IFERROR(VLOOKUP(CONCATENATE($D41,$E41,BU$1),'ROLLING SCHED'!$A:$A,1,FALSE),"x")&lt;&gt;"x","x",IF(IFERROR(VLOOKUP(CONCATENATE($D41,$E41,BU$1+7),'ROLLING SCHED'!$A:$A,1,FALSE),"y")&lt;&gt;"y","y",""))</f>
        <v/>
      </c>
      <c r="BV41" s="1" t="str">
        <f>IF(IFERROR(VLOOKUP(CONCATENATE($D41,$E41,BV$1),'ROLLING SCHED'!$A:$A,1,FALSE),"x")&lt;&gt;"x","x",IF(IFERROR(VLOOKUP(CONCATENATE($D41,$E41,BV$1+7),'ROLLING SCHED'!$A:$A,1,FALSE),"y")&lt;&gt;"y","y",""))</f>
        <v/>
      </c>
      <c r="BW41" s="1" t="str">
        <f>IF(IFERROR(VLOOKUP(CONCATENATE($D41,$E41,BW$1),'ROLLING SCHED'!$A:$A,1,FALSE),"x")&lt;&gt;"x","x",IF(IFERROR(VLOOKUP(CONCATENATE($D41,$E41,BW$1+7),'ROLLING SCHED'!$A:$A,1,FALSE),"y")&lt;&gt;"y","y",""))</f>
        <v/>
      </c>
      <c r="BX41" s="1" t="str">
        <f>IF(IFERROR(VLOOKUP(CONCATENATE($D41,$E41,BX$1),'ROLLING SCHED'!$A:$A,1,FALSE),"x")&lt;&gt;"x","x",IF(IFERROR(VLOOKUP(CONCATENATE($D41,$E41,BX$1+7),'ROLLING SCHED'!$A:$A,1,FALSE),"y")&lt;&gt;"y","y",""))</f>
        <v/>
      </c>
      <c r="BY41" s="1" t="str">
        <f>IF(IFERROR(VLOOKUP(CONCATENATE($D41,$E41,BY$1),'ROLLING SCHED'!$A:$A,1,FALSE),"x")&lt;&gt;"x","x",IF(IFERROR(VLOOKUP(CONCATENATE($D41,$E41,BY$1+7),'ROLLING SCHED'!$A:$A,1,FALSE),"y")&lt;&gt;"y","y",""))</f>
        <v/>
      </c>
      <c r="BZ41" s="1" t="str">
        <f>IF(IFERROR(VLOOKUP(CONCATENATE($D41,$E41,BZ$1),'ROLLING SCHED'!$A:$A,1,FALSE),"x")&lt;&gt;"x","x",IF(IFERROR(VLOOKUP(CONCATENATE($D41,$E41,BZ$1+7),'ROLLING SCHED'!$A:$A,1,FALSE),"y")&lt;&gt;"y","y",""))</f>
        <v/>
      </c>
      <c r="CA41" s="1" t="str">
        <f>IF(IFERROR(VLOOKUP(CONCATENATE($D41,$E41,CA$1),'ROLLING SCHED'!$A:$A,1,FALSE),"x")&lt;&gt;"x","x",IF(IFERROR(VLOOKUP(CONCATENATE($D41,$E41,CA$1+7),'ROLLING SCHED'!$A:$A,1,FALSE),"y")&lt;&gt;"y","y",""))</f>
        <v/>
      </c>
      <c r="CB41" s="1" t="str">
        <f>IF(IFERROR(VLOOKUP(CONCATENATE($D41,$E41,CB$1),'ROLLING SCHED'!$A:$A,1,FALSE),"x")&lt;&gt;"x","x",IF(IFERROR(VLOOKUP(CONCATENATE($D41,$E41,CB$1+7),'ROLLING SCHED'!$A:$A,1,FALSE),"y")&lt;&gt;"y","y",""))</f>
        <v/>
      </c>
      <c r="CC41" s="1" t="str">
        <f>IF(IFERROR(VLOOKUP(CONCATENATE($D41,$E41,CC$1),'ROLLING SCHED'!$A:$A,1,FALSE),"x")&lt;&gt;"x","x",IF(IFERROR(VLOOKUP(CONCATENATE($D41,$E41,CC$1+7),'ROLLING SCHED'!$A:$A,1,FALSE),"y")&lt;&gt;"y","y",""))</f>
        <v/>
      </c>
      <c r="CD41" s="1" t="str">
        <f>IF(IFERROR(VLOOKUP(CONCATENATE($D41,$E41,CD$1),'ROLLING SCHED'!$A:$A,1,FALSE),"x")&lt;&gt;"x","x",IF(IFERROR(VLOOKUP(CONCATENATE($D41,$E41,CD$1+7),'ROLLING SCHED'!$A:$A,1,FALSE),"y")&lt;&gt;"y","y",""))</f>
        <v/>
      </c>
      <c r="CE41" s="1" t="str">
        <f>IF(IFERROR(VLOOKUP(CONCATENATE($D41,$E41,CE$1),'ROLLING SCHED'!$A:$A,1,FALSE),"x")&lt;&gt;"x","x",IF(IFERROR(VLOOKUP(CONCATENATE($D41,$E41,CE$1+7),'ROLLING SCHED'!$A:$A,1,FALSE),"y")&lt;&gt;"y","y",""))</f>
        <v/>
      </c>
      <c r="CF41" s="1" t="str">
        <f>IF(IFERROR(VLOOKUP(CONCATENATE($D41,$E41,CF$1),'ROLLING SCHED'!$A:$A,1,FALSE),"x")&lt;&gt;"x","x",IF(IFERROR(VLOOKUP(CONCATENATE($D41,$E41,CF$1+7),'ROLLING SCHED'!$A:$A,1,FALSE),"y")&lt;&gt;"y","y",""))</f>
        <v/>
      </c>
      <c r="CG41" s="1" t="str">
        <f>IF(IFERROR(VLOOKUP(CONCATENATE($D41,$E41,CG$1),'ROLLING SCHED'!$A:$A,1,FALSE),"x")&lt;&gt;"x","x",IF(IFERROR(VLOOKUP(CONCATENATE($D41,$E41,CG$1+7),'ROLLING SCHED'!$A:$A,1,FALSE),"y")&lt;&gt;"y","y",""))</f>
        <v/>
      </c>
      <c r="CH41" s="1" t="str">
        <f>IF(IFERROR(VLOOKUP(CONCATENATE($D41,$E41,CH$1),'ROLLING SCHED'!$A:$A,1,FALSE),"x")&lt;&gt;"x","x",IF(IFERROR(VLOOKUP(CONCATENATE($D41,$E41,CH$1+7),'ROLLING SCHED'!$A:$A,1,FALSE),"y")&lt;&gt;"y","y",""))</f>
        <v/>
      </c>
      <c r="CI41" s="1" t="str">
        <f>IF(IFERROR(VLOOKUP(CONCATENATE($D41,$E41,CI$1),'ROLLING SCHED'!$A:$A,1,FALSE),"x")&lt;&gt;"x","x",IF(IFERROR(VLOOKUP(CONCATENATE($D41,$E41,CI$1+7),'ROLLING SCHED'!$A:$A,1,FALSE),"y")&lt;&gt;"y","y",""))</f>
        <v/>
      </c>
      <c r="CJ41" s="1" t="str">
        <f>IF(IFERROR(VLOOKUP(CONCATENATE($D41,$E41,CJ$1),'ROLLING SCHED'!$A:$A,1,FALSE),"x")&lt;&gt;"x","x",IF(IFERROR(VLOOKUP(CONCATENATE($D41,$E41,CJ$1+7),'ROLLING SCHED'!$A:$A,1,FALSE),"y")&lt;&gt;"y","y",""))</f>
        <v/>
      </c>
      <c r="CK41" s="1" t="str">
        <f>IF(IFERROR(VLOOKUP(CONCATENATE($D41,$E41,CK$1),'ROLLING SCHED'!$A:$A,1,FALSE),"x")&lt;&gt;"x","x",IF(IFERROR(VLOOKUP(CONCATENATE($D41,$E41,CK$1+7),'ROLLING SCHED'!$A:$A,1,FALSE),"y")&lt;&gt;"y","y",""))</f>
        <v/>
      </c>
      <c r="CL41" s="1" t="str">
        <f>IF(IFERROR(VLOOKUP(CONCATENATE($D41,$E41,CL$1),'ROLLING SCHED'!$A:$A,1,FALSE),"x")&lt;&gt;"x","x",IF(IFERROR(VLOOKUP(CONCATENATE($D41,$E41,CL$1+7),'ROLLING SCHED'!$A:$A,1,FALSE),"y")&lt;&gt;"y","y",""))</f>
        <v/>
      </c>
      <c r="CM41" s="1" t="str">
        <f>IF(IFERROR(VLOOKUP(CONCATENATE($D41,$E41,CM$1),'ROLLING SCHED'!$A:$A,1,FALSE),"x")&lt;&gt;"x","x",IF(IFERROR(VLOOKUP(CONCATENATE($D41,$E41,CM$1+7),'ROLLING SCHED'!$A:$A,1,FALSE),"y")&lt;&gt;"y","y",""))</f>
        <v/>
      </c>
      <c r="CN41" s="1" t="str">
        <f>IF(IFERROR(VLOOKUP(CONCATENATE($D41,$E41,CN$1),'ROLLING SCHED'!$A:$A,1,FALSE),"x")&lt;&gt;"x","x",IF(IFERROR(VLOOKUP(CONCATENATE($D41,$E41,CN$1+7),'ROLLING SCHED'!$A:$A,1,FALSE),"y")&lt;&gt;"y","y",""))</f>
        <v/>
      </c>
      <c r="CO41" s="1" t="str">
        <f>IF(IFERROR(VLOOKUP(CONCATENATE($D41,$E41,CO$1),'ROLLING SCHED'!$A:$A,1,FALSE),"x")&lt;&gt;"x","x",IF(IFERROR(VLOOKUP(CONCATENATE($D41,$E41,CO$1+7),'ROLLING SCHED'!$A:$A,1,FALSE),"y")&lt;&gt;"y","y",""))</f>
        <v/>
      </c>
      <c r="CP41" s="1" t="str">
        <f>IF(IFERROR(VLOOKUP(CONCATENATE($D41,$E41,CP$1),'ROLLING SCHED'!$A:$A,1,FALSE),"x")&lt;&gt;"x","x",IF(IFERROR(VLOOKUP(CONCATENATE($D41,$E41,CP$1+7),'ROLLING SCHED'!$A:$A,1,FALSE),"y")&lt;&gt;"y","y",""))</f>
        <v/>
      </c>
      <c r="CQ41" s="1" t="str">
        <f>IF(IFERROR(VLOOKUP(CONCATENATE($D41,$E41,CQ$1),'ROLLING SCHED'!$A:$A,1,FALSE),"x")&lt;&gt;"x","x",IF(IFERROR(VLOOKUP(CONCATENATE($D41,$E41,CQ$1+7),'ROLLING SCHED'!$A:$A,1,FALSE),"y")&lt;&gt;"y","y",""))</f>
        <v/>
      </c>
      <c r="CR41" s="1" t="str">
        <f>IF(IFERROR(VLOOKUP(CONCATENATE($D41,$E41,CR$1),'ROLLING SCHED'!$A:$A,1,FALSE),"x")&lt;&gt;"x","x",IF(IFERROR(VLOOKUP(CONCATENATE($D41,$E41,CR$1+7),'ROLLING SCHED'!$A:$A,1,FALSE),"y")&lt;&gt;"y","y",""))</f>
        <v/>
      </c>
      <c r="CS41" s="1" t="str">
        <f>IF(IFERROR(VLOOKUP(CONCATENATE($D41,$E41,CS$1),'ROLLING SCHED'!$A:$A,1,FALSE),"x")&lt;&gt;"x","x",IF(IFERROR(VLOOKUP(CONCATENATE($D41,$E41,CS$1+7),'ROLLING SCHED'!$A:$A,1,FALSE),"y")&lt;&gt;"y","y",""))</f>
        <v/>
      </c>
      <c r="CT41" s="1" t="str">
        <f>IF(IFERROR(VLOOKUP(CONCATENATE($D41,$E41,CT$1),'ROLLING SCHED'!$A:$A,1,FALSE),"x")&lt;&gt;"x","x",IF(IFERROR(VLOOKUP(CONCATENATE($D41,$E41,CT$1+7),'ROLLING SCHED'!$A:$A,1,FALSE),"y")&lt;&gt;"y","y",""))</f>
        <v/>
      </c>
      <c r="CU41" s="1" t="str">
        <f>IF(IFERROR(VLOOKUP(CONCATENATE($D41,$E41,CU$1),'ROLLING SCHED'!$A:$A,1,FALSE),"x")&lt;&gt;"x","x",IF(IFERROR(VLOOKUP(CONCATENATE($D41,$E41,CU$1+7),'ROLLING SCHED'!$A:$A,1,FALSE),"y")&lt;&gt;"y","y",""))</f>
        <v/>
      </c>
      <c r="CV41" s="1" t="str">
        <f>IF(IFERROR(VLOOKUP(CONCATENATE($D41,$E41,CV$1),'ROLLING SCHED'!$A:$A,1,FALSE),"x")&lt;&gt;"x","x",IF(IFERROR(VLOOKUP(CONCATENATE($D41,$E41,CV$1+7),'ROLLING SCHED'!$A:$A,1,FALSE),"y")&lt;&gt;"y","y",""))</f>
        <v/>
      </c>
      <c r="CW41" s="1" t="str">
        <f>IF(IFERROR(VLOOKUP(CONCATENATE($D41,$E41,CW$1),'ROLLING SCHED'!$A:$A,1,FALSE),"x")&lt;&gt;"x","x",IF(IFERROR(VLOOKUP(CONCATENATE($D41,$E41,CW$1+7),'ROLLING SCHED'!$A:$A,1,FALSE),"y")&lt;&gt;"y","y",""))</f>
        <v/>
      </c>
      <c r="CX41" s="1" t="str">
        <f>IF(IFERROR(VLOOKUP(CONCATENATE($D41,$E41,CX$1),'ROLLING SCHED'!$A:$A,1,FALSE),"x")&lt;&gt;"x","x",IF(IFERROR(VLOOKUP(CONCATENATE($D41,$E41,CX$1+7),'ROLLING SCHED'!$A:$A,1,FALSE),"y")&lt;&gt;"y","y",""))</f>
        <v/>
      </c>
      <c r="CY41" s="1" t="str">
        <f>IF(IFERROR(VLOOKUP(CONCATENATE($D41,$E41,CY$1),'ROLLING SCHED'!$A:$A,1,FALSE),"x")&lt;&gt;"x","x",IF(IFERROR(VLOOKUP(CONCATENATE($D41,$E41,CY$1+7),'ROLLING SCHED'!$A:$A,1,FALSE),"y")&lt;&gt;"y","y",""))</f>
        <v/>
      </c>
      <c r="CZ41" s="1" t="str">
        <f>IF(IFERROR(VLOOKUP(CONCATENATE($D41,$E41,CZ$1),'ROLLING SCHED'!$A:$A,1,FALSE),"x")&lt;&gt;"x","x",IF(IFERROR(VLOOKUP(CONCATENATE($D41,$E41,CZ$1+7),'ROLLING SCHED'!$A:$A,1,FALSE),"y")&lt;&gt;"y","y",""))</f>
        <v/>
      </c>
      <c r="DA41" s="1" t="str">
        <f>IF(IFERROR(VLOOKUP(CONCATENATE($D41,$E41,DA$1),'ROLLING SCHED'!$A:$A,1,FALSE),"x")&lt;&gt;"x","x",IF(IFERROR(VLOOKUP(CONCATENATE($D41,$E41,DA$1+7),'ROLLING SCHED'!$A:$A,1,FALSE),"y")&lt;&gt;"y","y",""))</f>
        <v/>
      </c>
      <c r="DB41" s="1" t="str">
        <f>IF(IFERROR(VLOOKUP(CONCATENATE($D41,$E41,DB$1),'ROLLING SCHED'!$A:$A,1,FALSE),"x")&lt;&gt;"x","x",IF(IFERROR(VLOOKUP(CONCATENATE($D41,$E41,DB$1+7),'ROLLING SCHED'!$A:$A,1,FALSE),"y")&lt;&gt;"y","y",""))</f>
        <v/>
      </c>
      <c r="DC41" s="1" t="str">
        <f>IF(IFERROR(VLOOKUP(CONCATENATE($D41,$E41,DC$1),'ROLLING SCHED'!$A:$A,1,FALSE),"x")&lt;&gt;"x","x",IF(IFERROR(VLOOKUP(CONCATENATE($D41,$E41,DC$1+7),'ROLLING SCHED'!$A:$A,1,FALSE),"y")&lt;&gt;"y","y",""))</f>
        <v/>
      </c>
      <c r="DD41" s="1" t="str">
        <f>IF(IFERROR(VLOOKUP(CONCATENATE($D41,$E41,DD$1),'ROLLING SCHED'!$A:$A,1,FALSE),"x")&lt;&gt;"x","x",IF(IFERROR(VLOOKUP(CONCATENATE($D41,$E41,DD$1+7),'ROLLING SCHED'!$A:$A,1,FALSE),"y")&lt;&gt;"y","y",""))</f>
        <v/>
      </c>
      <c r="DE41" s="1" t="str">
        <f>IF(IFERROR(VLOOKUP(CONCATENATE($D41,$E41,DE$1),'ROLLING SCHED'!$A:$A,1,FALSE),"x")&lt;&gt;"x","x",IF(IFERROR(VLOOKUP(CONCATENATE($D41,$E41,DE$1+7),'ROLLING SCHED'!$A:$A,1,FALSE),"y")&lt;&gt;"y","y",""))</f>
        <v/>
      </c>
      <c r="DF41" s="1" t="str">
        <f>IF(IFERROR(VLOOKUP(CONCATENATE($D41,$E41,DF$1),'ROLLING SCHED'!$A:$A,1,FALSE),"x")&lt;&gt;"x","x",IF(IFERROR(VLOOKUP(CONCATENATE($D41,$E41,DF$1+7),'ROLLING SCHED'!$A:$A,1,FALSE),"y")&lt;&gt;"y","y",""))</f>
        <v/>
      </c>
      <c r="DG41" s="1" t="str">
        <f>IF(IFERROR(VLOOKUP(CONCATENATE($D41,$E41,DG$1),'ROLLING SCHED'!$A:$A,1,FALSE),"x")&lt;&gt;"x","x",IF(IFERROR(VLOOKUP(CONCATENATE($D41,$E41,DG$1+7),'ROLLING SCHED'!$A:$A,1,FALSE),"y")&lt;&gt;"y","y",""))</f>
        <v/>
      </c>
      <c r="DH41" s="1" t="str">
        <f>IF(IFERROR(VLOOKUP(CONCATENATE($D41,$E41,DH$1),'ROLLING SCHED'!$A:$A,1,FALSE),"x")&lt;&gt;"x","x",IF(IFERROR(VLOOKUP(CONCATENATE($D41,$E41,DH$1+7),'ROLLING SCHED'!$A:$A,1,FALSE),"y")&lt;&gt;"y","y",""))</f>
        <v/>
      </c>
      <c r="DI41" s="1" t="str">
        <f>IF(IFERROR(VLOOKUP(CONCATENATE($D41,$E41,DI$1),'ROLLING SCHED'!$A:$A,1,FALSE),"x")&lt;&gt;"x","x",IF(IFERROR(VLOOKUP(CONCATENATE($D41,$E41,DI$1+7),'ROLLING SCHED'!$A:$A,1,FALSE),"y")&lt;&gt;"y","y",""))</f>
        <v/>
      </c>
      <c r="DJ41" s="1" t="str">
        <f>IF(IFERROR(VLOOKUP(CONCATENATE($D41,$E41,DJ$1),'ROLLING SCHED'!$A:$A,1,FALSE),"x")&lt;&gt;"x","x",IF(IFERROR(VLOOKUP(CONCATENATE($D41,$E41,DJ$1+7),'ROLLING SCHED'!$A:$A,1,FALSE),"y")&lt;&gt;"y","y",""))</f>
        <v/>
      </c>
      <c r="DK41" s="1" t="str">
        <f>IF(IFERROR(VLOOKUP(CONCATENATE($D41,$E41,DK$1),'ROLLING SCHED'!$A:$A,1,FALSE),"x")&lt;&gt;"x","x",IF(IFERROR(VLOOKUP(CONCATENATE($D41,$E41,DK$1+7),'ROLLING SCHED'!$A:$A,1,FALSE),"y")&lt;&gt;"y","y",""))</f>
        <v/>
      </c>
      <c r="DL41" s="1" t="str">
        <f>IF(IFERROR(VLOOKUP(CONCATENATE($D41,$E41,DL$1),'ROLLING SCHED'!$A:$A,1,FALSE),"x")&lt;&gt;"x","x",IF(IFERROR(VLOOKUP(CONCATENATE($D41,$E41,DL$1+7),'ROLLING SCHED'!$A:$A,1,FALSE),"y")&lt;&gt;"y","y",""))</f>
        <v/>
      </c>
      <c r="DM41" s="1" t="str">
        <f>IF(IFERROR(VLOOKUP(CONCATENATE($D41,$E41,DM$1),'ROLLING SCHED'!$A:$A,1,FALSE),"x")&lt;&gt;"x","x",IF(IFERROR(VLOOKUP(CONCATENATE($D41,$E41,DM$1+7),'ROLLING SCHED'!$A:$A,1,FALSE),"y")&lt;&gt;"y","y",""))</f>
        <v/>
      </c>
      <c r="DN41" s="1" t="str">
        <f>IF(IFERROR(VLOOKUP(CONCATENATE($D41,$E41,DN$1),'ROLLING SCHED'!$A:$A,1,FALSE),"x")&lt;&gt;"x","x",IF(IFERROR(VLOOKUP(CONCATENATE($D41,$E41,DN$1+7),'ROLLING SCHED'!$A:$A,1,FALSE),"y")&lt;&gt;"y","y",""))</f>
        <v/>
      </c>
      <c r="DO41" s="1" t="str">
        <f>IF(IFERROR(VLOOKUP(CONCATENATE($D41,$E41,DO$1),'ROLLING SCHED'!$A:$A,1,FALSE),"x")&lt;&gt;"x","x",IF(IFERROR(VLOOKUP(CONCATENATE($D41,$E41,DO$1+7),'ROLLING SCHED'!$A:$A,1,FALSE),"y")&lt;&gt;"y","y",""))</f>
        <v/>
      </c>
      <c r="DP41" s="1" t="str">
        <f>IF(IFERROR(VLOOKUP(CONCATENATE($D41,$E41,DP$1),'ROLLING SCHED'!$A:$A,1,FALSE),"x")&lt;&gt;"x","x",IF(IFERROR(VLOOKUP(CONCATENATE($D41,$E41,DP$1+7),'ROLLING SCHED'!$A:$A,1,FALSE),"y")&lt;&gt;"y","y",""))</f>
        <v/>
      </c>
      <c r="DQ41" s="1" t="str">
        <f>IF(IFERROR(VLOOKUP(CONCATENATE($D41,$E41,DQ$1),'ROLLING SCHED'!$A:$A,1,FALSE),"x")&lt;&gt;"x","x",IF(IFERROR(VLOOKUP(CONCATENATE($D41,$E41,DQ$1+7),'ROLLING SCHED'!$A:$A,1,FALSE),"y")&lt;&gt;"y","y",""))</f>
        <v/>
      </c>
      <c r="DR41" s="1" t="str">
        <f>IF(IFERROR(VLOOKUP(CONCATENATE($D41,$E41,DR$1),'ROLLING SCHED'!$A:$A,1,FALSE),"x")&lt;&gt;"x","x",IF(IFERROR(VLOOKUP(CONCATENATE($D41,$E41,DR$1+7),'ROLLING SCHED'!$A:$A,1,FALSE),"y")&lt;&gt;"y","y",""))</f>
        <v/>
      </c>
      <c r="DS41" s="1" t="str">
        <f>IF(IFERROR(VLOOKUP(CONCATENATE($D41,$E41,DS$1),'ROLLING SCHED'!$A:$A,1,FALSE),"x")&lt;&gt;"x","x",IF(IFERROR(VLOOKUP(CONCATENATE($D41,$E41,DS$1+7),'ROLLING SCHED'!$A:$A,1,FALSE),"y")&lt;&gt;"y","y",""))</f>
        <v/>
      </c>
      <c r="DT41" s="1" t="str">
        <f>IF(IFERROR(VLOOKUP(CONCATENATE($D41,$E41,DT$1),'ROLLING SCHED'!$A:$A,1,FALSE),"x")&lt;&gt;"x","x",IF(IFERROR(VLOOKUP(CONCATENATE($D41,$E41,DT$1+7),'ROLLING SCHED'!$A:$A,1,FALSE),"y")&lt;&gt;"y","y",""))</f>
        <v/>
      </c>
      <c r="DU41" s="1" t="str">
        <f>IF(IFERROR(VLOOKUP(CONCATENATE($D41,$E41,DU$1),'ROLLING SCHED'!$A:$A,1,FALSE),"x")&lt;&gt;"x","x",IF(IFERROR(VLOOKUP(CONCATENATE($D41,$E41,DU$1+7),'ROLLING SCHED'!$A:$A,1,FALSE),"y")&lt;&gt;"y","y",""))</f>
        <v/>
      </c>
      <c r="DV41" s="1" t="str">
        <f>IF(IFERROR(VLOOKUP(CONCATENATE($D41,$E41,DV$1),'ROLLING SCHED'!$A:$A,1,FALSE),"x")&lt;&gt;"x","x",IF(IFERROR(VLOOKUP(CONCATENATE($D41,$E41,DV$1+7),'ROLLING SCHED'!$A:$A,1,FALSE),"y")&lt;&gt;"y","y",""))</f>
        <v/>
      </c>
      <c r="DW41" s="1" t="str">
        <f>IF(IFERROR(VLOOKUP(CONCATENATE($D41,$E41,DW$1),'ROLLING SCHED'!$A:$A,1,FALSE),"x")&lt;&gt;"x","x",IF(IFERROR(VLOOKUP(CONCATENATE($D41,$E41,DW$1+7),'ROLLING SCHED'!$A:$A,1,FALSE),"y")&lt;&gt;"y","y",""))</f>
        <v/>
      </c>
    </row>
    <row r="42" spans="1:127" outlineLevel="1" x14ac:dyDescent="0.3">
      <c r="A42" s="96" t="str">
        <f t="shared" si="791"/>
        <v>106030251Production Calculation</v>
      </c>
      <c r="B42" s="20">
        <f t="shared" si="792"/>
        <v>106030251</v>
      </c>
      <c r="C42" s="20" t="str">
        <f t="shared" si="792"/>
        <v>L 4X4X1/2 GGMULTI 50'00"</v>
      </c>
      <c r="D42" s="20">
        <f t="shared" si="792"/>
        <v>1333</v>
      </c>
      <c r="E42" s="20" t="str">
        <f t="shared" si="792"/>
        <v>4" ANG</v>
      </c>
      <c r="F42" s="4" t="s">
        <v>207</v>
      </c>
      <c r="H42" s="1">
        <f>MAX(IFERROR(IF(H41="x",HLOOKUP("y",I41:$DW46,5,FALSE),0)+IF(H41="x",HLOOKUP("y",I41:$DW46,6,FALSE)*-1-IF(H41="x",SUM(G42:$H42),0),0),0),0)</f>
        <v>0</v>
      </c>
      <c r="I42" s="1">
        <f>MAX(IFERROR(IF(I41="x",HLOOKUP("y",J41:$DW46,5,FALSE),0)+IF(I41="x",HLOOKUP("y",J41:$DW46,6,FALSE)*-1-IF(I41="x",SUM(H42:$H42),0),0),0),0)</f>
        <v>0</v>
      </c>
      <c r="J42" s="1">
        <f>MAX(IFERROR(IF(J41="x",HLOOKUP("y",K41:$DW46,5,FALSE),0)+IF(J41="x",HLOOKUP("y",K41:$DW46,6,FALSE)*-1-IF(J41="x",SUM($H42:I42),0),0),0),0)</f>
        <v>0</v>
      </c>
      <c r="K42" s="112">
        <f>MAX(IFERROR(IF(K41="x",HLOOKUP("y",L41:$DW46,5,FALSE),0)+IF(K41="x",HLOOKUP("y",L41:$DW46,6,FALSE)*-1-IF(K41="x",SUM($H42:J42),0),0),0),0)</f>
        <v>0</v>
      </c>
      <c r="L42" s="112">
        <f>MAX(IFERROR(IF(L41="x",HLOOKUP("y",M41:$DW46,5,FALSE),0)+IF(L41="x",HLOOKUP("y",M41:$DW46,6,FALSE)*-1-IF(L41="x",SUM($H42:K42),0),0),0),0)</f>
        <v>0</v>
      </c>
      <c r="M42" s="112">
        <f>MAX(IFERROR(IF(M41="x",HLOOKUP("y",N41:$DW46,5,FALSE),0)+IF(M41="x",HLOOKUP("y",N41:$DW46,6,FALSE)*-1-IF(M41="x",SUM($H42:L42),0),0),0),0)</f>
        <v>0</v>
      </c>
      <c r="N42" s="112">
        <f>MAX(IFERROR(IF(N41="x",HLOOKUP("y",O41:$DW46,5,FALSE),0)+IF(N41="x",HLOOKUP("y",O41:$DW46,6,FALSE)*-1-IF(N41="x",SUM($H42:M42),0),0),0),0)</f>
        <v>0</v>
      </c>
      <c r="O42" s="112">
        <f>MAX(IFERROR(IF(O41="x",HLOOKUP("y",P41:$DW46,5,FALSE),0)+IF(O41="x",HLOOKUP("y",P41:$DW46,6,FALSE)*-1-IF(O41="x",SUM($H42:N42),0),0),0),0)</f>
        <v>0</v>
      </c>
      <c r="P42" s="112">
        <f>MAX(IFERROR(IF(P41="x",HLOOKUP("y",Q41:$DW46,5,FALSE),0)+IF(P41="x",HLOOKUP("y",Q41:$DW46,6,FALSE)*-1-IF(P41="x",SUM($H42:O42),0),0),0),0)</f>
        <v>0</v>
      </c>
      <c r="Q42" s="112">
        <f>MAX(IFERROR(IF(Q41="x",HLOOKUP("y",R41:$DW46,5,FALSE),0)+IF(Q41="x",HLOOKUP("y",R41:$DW46,6,FALSE)*-1-IF(Q41="x",SUM($H42:P42),0),0),0),0)</f>
        <v>0</v>
      </c>
      <c r="R42" s="112">
        <f>MAX(IFERROR(IF(R41="x",HLOOKUP("y",S41:$DW46,5,FALSE),0)+IF(R41="x",HLOOKUP("y",S41:$DW46,6,FALSE)*-1-IF(R41="x",SUM($H42:Q42),0),0),0),0)</f>
        <v>0</v>
      </c>
      <c r="S42" s="9">
        <f>MAX(IFERROR(IF(S41="x",HLOOKUP("y",T41:$DW46,5,FALSE),0)+IF(S41="x",HLOOKUP("y",T41:$DW46,6,FALSE)*-1-IF(S41="x",SUM($H42:R42),0),0),0),0)</f>
        <v>0</v>
      </c>
      <c r="T42" s="9">
        <f>MAX(IFERROR(IF(T41="x",HLOOKUP("y",U41:$DW46,5,FALSE),0)+IF(T41="x",HLOOKUP("y",U41:$DW46,6,FALSE)*-1-IF(T41="x",SUM($H42:S42),0),0),0),0)</f>
        <v>0</v>
      </c>
      <c r="U42" s="9">
        <f>MAX(IFERROR(IF(U41="x",HLOOKUP("y",V41:$DW46,5,FALSE),0)+IF(U41="x",HLOOKUP("y",V41:$DW46,6,FALSE)*-1-IF(U41="x",SUM($H42:T42),0),0),0),0)</f>
        <v>0</v>
      </c>
      <c r="V42" s="9">
        <f>MAX(IFERROR(IF(V41="x",HLOOKUP("y",W41:$DW46,5,FALSE),0)+IF(V41="x",HLOOKUP("y",W41:$DW46,6,FALSE)*-1-IF(V41="x",SUM($H42:U42),0),0),0),0)</f>
        <v>0</v>
      </c>
      <c r="W42" s="9">
        <f>MAX(IFERROR(IF(W41="x",HLOOKUP("y",X41:$DW46,5,FALSE),0)+IF(W41="x",HLOOKUP("y",X41:$DW46,6,FALSE)*-1-IF(W41="x",SUM($H42:V42),0),0),0),0)</f>
        <v>0</v>
      </c>
      <c r="X42" s="9">
        <f>MAX(IFERROR(IF(X41="x",HLOOKUP("y",Y41:$DW46,5,FALSE),0)+IF(X41="x",HLOOKUP("y",Y41:$DW46,6,FALSE)*-1-IF(X41="x",SUM($H42:W42),0),0),0),0)</f>
        <v>0</v>
      </c>
      <c r="Y42" s="9">
        <f>MAX(IFERROR(IF(Y41="x",HLOOKUP("y",Z41:$DW46,5,FALSE),0)+IF(Y41="x",HLOOKUP("y",Z41:$DW46,6,FALSE)*-1-IF(Y41="x",SUM($H42:X42),0),0),0),0)</f>
        <v>0</v>
      </c>
      <c r="Z42" s="9">
        <f>MAX(IFERROR(IF(Z41="x",HLOOKUP("y",AA41:$DW46,5,FALSE),0)+IF(Z41="x",HLOOKUP("y",AA41:$DW46,6,FALSE)*-1-IF(Z41="x",SUM($H42:Y42),0),0),0),0)</f>
        <v>0</v>
      </c>
      <c r="AA42" s="9">
        <f>MAX(IFERROR(IF(AA41="x",HLOOKUP("y",AB41:$DW46,5,FALSE),0)+IF(AA41="x",HLOOKUP("y",AB41:$DW46,6,FALSE)*-1-IF(AA41="x",SUM($H42:Z42),0),0),0),0)</f>
        <v>0</v>
      </c>
      <c r="AB42" s="1">
        <f>MAX(IFERROR(IF(AB41="x",HLOOKUP("y",AC41:$DW46,5,FALSE),0)+IF(AB41="x",HLOOKUP("y",AC41:$DW46,6,FALSE)*-1-IF(AB41="x",SUM($H42:AA42),0),0),0),0)</f>
        <v>0</v>
      </c>
      <c r="AC42" s="1">
        <f>MAX(IFERROR(IF(AC41="x",HLOOKUP("y",AD41:$DW46,5,FALSE),0)+IF(AC41="x",HLOOKUP("y",AD41:$DW46,6,FALSE)*-1-IF(AC41="x",SUM($H42:AB42),0),0),0),0)</f>
        <v>0</v>
      </c>
      <c r="AD42" s="1">
        <f>MAX(IFERROR(IF(AD41="x",HLOOKUP("y",AE41:$DW46,5,FALSE),0)+IF(AD41="x",HLOOKUP("y",AE41:$DW46,6,FALSE)*-1-IF(AD41="x",SUM($H42:AC42),0),0),0),0)</f>
        <v>0</v>
      </c>
      <c r="AE42" s="1">
        <f>MAX(IFERROR(IF(AE41="x",HLOOKUP("y",AF41:$DW46,5,FALSE),0)+IF(AE41="x",HLOOKUP("y",AF41:$DW46,6,FALSE)*-1-IF(AE41="x",SUM($H42:AD42),0),0),0),0)</f>
        <v>0</v>
      </c>
      <c r="AF42" s="1">
        <f>MAX(IFERROR(IF(AF41="x",HLOOKUP("y",AG41:$DW46,5,FALSE),0)+IF(AF41="x",HLOOKUP("y",AG41:$DW46,6,FALSE)*-1-IF(AF41="x",SUM($H42:AE42),0),0),0),0)</f>
        <v>0</v>
      </c>
      <c r="AG42" s="1">
        <f>MAX(IFERROR(IF(AG41="x",HLOOKUP("y",AH41:$DW46,5,FALSE),0)+IF(AG41="x",HLOOKUP("y",AH41:$DW46,6,FALSE)*-1-IF(AG41="x",SUM($H42:AF42),0),0),0),0)</f>
        <v>0</v>
      </c>
      <c r="AH42" s="1">
        <f>MAX(IFERROR(IF(AH41="x",HLOOKUP("y",AI41:$DW46,5,FALSE),0)+IF(AH41="x",HLOOKUP("y",AI41:$DW46,6,FALSE)*-1-IF(AH41="x",SUM($H42:AG42),0),0),0),0)</f>
        <v>0</v>
      </c>
      <c r="AI42" s="1">
        <f>MAX(IFERROR(IF(AI41="x",HLOOKUP("y",AJ41:$DW46,5,FALSE),0)+IF(AI41="x",HLOOKUP("y",AJ41:$DW46,6,FALSE)*-1-IF(AI41="x",SUM($H42:AH42),0),0),0),0)</f>
        <v>0</v>
      </c>
      <c r="AJ42" s="1">
        <f>MAX(IFERROR(IF(AJ41="x",HLOOKUP("y",AK41:$DW46,5,FALSE),0)+IF(AJ41="x",HLOOKUP("y",AK41:$DW46,6,FALSE)*-1-IF(AJ41="x",SUM($H42:AI42),0),0),0),0)</f>
        <v>0</v>
      </c>
      <c r="AK42" s="1">
        <f>MAX(IFERROR(IF(AK41="x",HLOOKUP("y",AL41:$DW46,5,FALSE),0)+IF(AK41="x",HLOOKUP("y",AL41:$DW46,6,FALSE)*-1-IF(AK41="x",SUM($H42:AJ42),0),0),0),0)</f>
        <v>0</v>
      </c>
      <c r="AL42" s="1">
        <f>MAX(IFERROR(IF(AL41="x",HLOOKUP("y",AM41:$DW46,5,FALSE),0)+IF(AL41="x",HLOOKUP("y",AM41:$DW46,6,FALSE)*-1-IF(AL41="x",SUM($H42:AK42),0),0),0),0)</f>
        <v>0</v>
      </c>
      <c r="AM42" s="1">
        <f>MAX(IFERROR(IF(AM41="x",HLOOKUP("y",AN41:$DW46,5,FALSE),0)+IF(AM41="x",HLOOKUP("y",AN41:$DW46,6,FALSE)*-1-IF(AM41="x",SUM($H42:AL42),0),0),0),0)</f>
        <v>0</v>
      </c>
      <c r="AN42" s="1">
        <f>MAX(IFERROR(IF(AN41="x",HLOOKUP("y",AO41:$DW46,5,FALSE),0)+IF(AN41="x",HLOOKUP("y",AO41:$DW46,6,FALSE)*-1-IF(AN41="x",SUM($H42:AM42),0),0),0),0)</f>
        <v>0</v>
      </c>
      <c r="AO42" s="1">
        <f>MAX(IFERROR(IF(AO41="x",HLOOKUP("y",AP41:$DW46,5,FALSE),0)+IF(AO41="x",HLOOKUP("y",AP41:$DW46,6,FALSE)*-1-IF(AO41="x",SUM($H42:AN42),0),0),0),0)</f>
        <v>0</v>
      </c>
      <c r="AP42" s="1">
        <f>MAX(IFERROR(IF(AP41="x",HLOOKUP("y",AQ41:$DW46,5,FALSE),0)+IF(AP41="x",HLOOKUP("y",AQ41:$DW46,6,FALSE)*-1-IF(AP41="x",SUM($H42:AO42),0),0),0),0)</f>
        <v>0</v>
      </c>
      <c r="AQ42" s="1">
        <f>MAX(IFERROR(IF(AQ41="x",HLOOKUP("y",AR41:$DW46,5,FALSE),0)+IF(AQ41="x",HLOOKUP("y",AR41:$DW46,6,FALSE)*-1-IF(AQ41="x",SUM($H42:AP42),0),0),0),0)</f>
        <v>0</v>
      </c>
      <c r="AR42" s="1">
        <f>MAX(IFERROR(IF(AR41="x",HLOOKUP("y",AS41:$DW46,5,FALSE),0)+IF(AR41="x",HLOOKUP("y",AS41:$DW46,6,FALSE)*-1-IF(AR41="x",SUM($H42:AQ42),0),0),0),0)</f>
        <v>0</v>
      </c>
      <c r="AS42" s="1">
        <f>MAX(IFERROR(IF(AS41="x",HLOOKUP("y",AT41:$DW46,5,FALSE),0)+IF(AS41="x",HLOOKUP("y",AT41:$DW46,6,FALSE)*-1-IF(AS41="x",SUM($H42:AR42),0),0),0),0)</f>
        <v>0</v>
      </c>
      <c r="AT42" s="1">
        <f>MAX(IFERROR(IF(AT41="x",HLOOKUP("y",AU41:$DW46,5,FALSE),0)+IF(AT41="x",HLOOKUP("y",AU41:$DW46,6,FALSE)*-1-IF(AT41="x",SUM($H42:AS42),0),0),0),0)</f>
        <v>0</v>
      </c>
      <c r="AU42" s="1">
        <f>MAX(IFERROR(IF(AU41="x",HLOOKUP("y",AV41:$DW46,5,FALSE),0)+IF(AU41="x",HLOOKUP("y",AV41:$DW46,6,FALSE)*-1-IF(AU41="x",SUM($H42:AT42),0),0),0),0)</f>
        <v>0</v>
      </c>
      <c r="AV42" s="1">
        <f>MAX(IFERROR(IF(AV41="x",HLOOKUP("y",AW41:$DW46,5,FALSE),0)+IF(AV41="x",HLOOKUP("y",AW41:$DW46,6,FALSE)*-1-IF(AV41="x",SUM($H42:AU42),0),0),0),0)</f>
        <v>0</v>
      </c>
      <c r="AW42" s="1">
        <f>MAX(IFERROR(IF(AW41="x",HLOOKUP("y",AX41:$DW46,5,FALSE),0)+IF(AW41="x",HLOOKUP("y",AX41:$DW46,6,FALSE)*-1-IF(AW41="x",SUM($H42:AV42),0),0),0),0)</f>
        <v>0</v>
      </c>
      <c r="AX42" s="1">
        <f>MAX(IFERROR(IF(AX41="x",HLOOKUP("y",AY41:$DW46,5,FALSE),0)+IF(AX41="x",HLOOKUP("y",AY41:$DW46,6,FALSE)*-1-IF(AX41="x",SUM($H42:AW42),0),0),0),0)</f>
        <v>0</v>
      </c>
      <c r="AY42" s="1">
        <f>MAX(IFERROR(IF(AY41="x",HLOOKUP("y",AZ41:$DW46,5,FALSE),0)+IF(AY41="x",HLOOKUP("y",AZ41:$DW46,6,FALSE)*-1-IF(AY41="x",SUM($H42:AX42),0),0),0),0)</f>
        <v>0</v>
      </c>
      <c r="AZ42" s="1">
        <f>MAX(IFERROR(IF(AZ41="x",HLOOKUP("y",BA41:$DW46,5,FALSE),0)+IF(AZ41="x",HLOOKUP("y",BA41:$DW46,6,FALSE)*-1-IF(AZ41="x",SUM($H42:AY42),0),0),0),0)</f>
        <v>0</v>
      </c>
      <c r="BA42" s="1">
        <f>MAX(IFERROR(IF(BA41="x",HLOOKUP("y",BB41:$DW46,5,FALSE),0)+IF(BA41="x",HLOOKUP("y",BB41:$DW46,6,FALSE)*-1-IF(BA41="x",SUM($H42:AZ42),0),0),0),0)</f>
        <v>0</v>
      </c>
      <c r="BB42" s="1">
        <f>MAX(IFERROR(IF(BB41="x",HLOOKUP("y",BC41:$DW46,5,FALSE),0)+IF(BB41="x",HLOOKUP("y",BC41:$DW46,6,FALSE)*-1-IF(BB41="x",SUM($H42:BA42),0),0),0),0)</f>
        <v>0</v>
      </c>
      <c r="BC42" s="1">
        <f>MAX(IFERROR(IF(BC41="x",HLOOKUP("y",BD41:$DW46,5,FALSE),0)+IF(BC41="x",HLOOKUP("y",BD41:$DW46,6,FALSE)*-1-IF(BC41="x",SUM($H42:BB42),0),0),0),0)</f>
        <v>0</v>
      </c>
      <c r="BD42" s="1">
        <f>MAX(IFERROR(IF(BD41="x",HLOOKUP("y",BE41:$DW46,5,FALSE),0)+IF(BD41="x",HLOOKUP("y",BE41:$DW46,6,FALSE)*-1-IF(BD41="x",SUM($H42:BC42),0),0),0),0)</f>
        <v>0</v>
      </c>
      <c r="BE42" s="1">
        <f>MAX(IFERROR(IF(BE41="x",HLOOKUP("y",BF41:$DW46,5,FALSE),0)+IF(BE41="x",HLOOKUP("y",BF41:$DW46,6,FALSE)*-1-IF(BE41="x",SUM($H42:BD42),0),0),0),0)</f>
        <v>0</v>
      </c>
      <c r="BF42" s="1">
        <f>MAX(IFERROR(IF(BF41="x",HLOOKUP("y",BG41:$DW46,5,FALSE),0)+IF(BF41="x",HLOOKUP("y",BG41:$DW46,6,FALSE)*-1-IF(BF41="x",SUM($H42:BE42),0),0),0),0)</f>
        <v>0</v>
      </c>
      <c r="BG42" s="1">
        <f>MAX(IFERROR(IF(BG41="x",HLOOKUP("y",BH41:$DW46,5,FALSE),0)+IF(BG41="x",HLOOKUP("y",BH41:$DW46,6,FALSE)*-1-IF(BG41="x",SUM($H42:BF42),0),0),0),0)</f>
        <v>0</v>
      </c>
      <c r="BH42" s="1">
        <f>MAX(IFERROR(IF(BH41="x",HLOOKUP("y",BI41:$DW46,5,FALSE),0)+IF(BH41="x",HLOOKUP("y",BI41:$DW46,6,FALSE)*-1-IF(BH41="x",SUM($H42:BG42),0),0),0),0)</f>
        <v>0</v>
      </c>
      <c r="BI42" s="1">
        <f>MAX(IFERROR(IF(BI41="x",HLOOKUP("y",BJ41:$DW46,5,FALSE),0)+IF(BI41="x",HLOOKUP("y",BJ41:$DW46,6,FALSE)*-1-IF(BI41="x",SUM($H42:BH42),0),0),0),0)</f>
        <v>0</v>
      </c>
      <c r="BJ42" s="1">
        <f>MAX(IFERROR(IF(BJ41="x",HLOOKUP("y",BK41:$DW46,5,FALSE),0)+IF(BJ41="x",HLOOKUP("y",BK41:$DW46,6,FALSE)*-1-IF(BJ41="x",SUM($H42:BI42),0),0),0),0)</f>
        <v>0</v>
      </c>
      <c r="BK42" s="1">
        <f>MAX(IFERROR(IF(BK41="x",HLOOKUP("y",BL41:$DW46,5,FALSE),0)+IF(BK41="x",HLOOKUP("y",BL41:$DW46,6,FALSE)*-1-IF(BK41="x",SUM($H42:BJ42),0),0),0),0)</f>
        <v>0</v>
      </c>
      <c r="BL42" s="1">
        <f>MAX(IFERROR(IF(BL41="x",HLOOKUP("y",BM41:$DW46,5,FALSE),0)+IF(BL41="x",HLOOKUP("y",BM41:$DW46,6,FALSE)*-1-IF(BL41="x",SUM($H42:BK42),0),0),0),0)</f>
        <v>0</v>
      </c>
      <c r="BM42" s="1">
        <f>MAX(IFERROR(IF(BM41="x",HLOOKUP("y",BN41:$DW46,5,FALSE),0)+IF(BM41="x",HLOOKUP("y",BN41:$DW46,6,FALSE)*-1-IF(BM41="x",SUM($H42:BL42),0),0),0),0)</f>
        <v>0</v>
      </c>
      <c r="BN42" s="1">
        <f>MAX(IFERROR(IF(BN41="x",HLOOKUP("y",BO41:$DW46,5,FALSE),0)+IF(BN41="x",HLOOKUP("y",BO41:$DW46,6,FALSE)*-1-IF(BN41="x",SUM($H42:BM42),0),0),0),0)</f>
        <v>0</v>
      </c>
      <c r="BO42" s="1">
        <f>MAX(IFERROR(IF(BO41="x",HLOOKUP("y",BP41:$DW46,5,FALSE),0)+IF(BO41="x",HLOOKUP("y",BP41:$DW46,6,FALSE)*-1-IF(BO41="x",SUM($H42:BN42),0),0),0),0)</f>
        <v>0</v>
      </c>
      <c r="BP42" s="1">
        <f>MAX(IFERROR(IF(BP41="x",HLOOKUP("y",BQ41:$DW46,5,FALSE),0)+IF(BP41="x",HLOOKUP("y",BQ41:$DW46,6,FALSE)*-1-IF(BP41="x",SUM($H42:BO42),0),0),0),0)</f>
        <v>0</v>
      </c>
      <c r="BQ42" s="1">
        <f>MAX(IFERROR(IF(BQ41="x",HLOOKUP("y",BR41:$DW46,5,FALSE),0)+IF(BQ41="x",HLOOKUP("y",BR41:$DW46,6,FALSE)*-1-IF(BQ41="x",SUM($H42:BP42),0),0),0),0)</f>
        <v>0</v>
      </c>
      <c r="BR42" s="1">
        <f>MAX(IFERROR(IF(BR41="x",HLOOKUP("y",BS41:$DW46,5,FALSE),0)+IF(BR41="x",HLOOKUP("y",BS41:$DW46,6,FALSE)*-1-IF(BR41="x",SUM($H42:BQ42),0),0),0),0)</f>
        <v>0</v>
      </c>
      <c r="BS42" s="1">
        <f>MAX(IFERROR(IF(BS41="x",HLOOKUP("y",BT41:$DW46,5,FALSE),0)+IF(BS41="x",HLOOKUP("y",BT41:$DW46,6,FALSE)*-1-IF(BS41="x",SUM($H42:BR42),0),0),0),0)</f>
        <v>0</v>
      </c>
      <c r="BT42" s="1">
        <f>MAX(IFERROR(IF(BT41="x",HLOOKUP("y",BU41:$DW46,5,FALSE),0)+IF(BT41="x",HLOOKUP("y",BU41:$DW46,6,FALSE)*-1-IF(BT41="x",SUM($H42:BS42),0),0),0),0)</f>
        <v>0</v>
      </c>
      <c r="BU42" s="1">
        <f>MAX(IFERROR(IF(BU41="x",HLOOKUP("y",BV41:$DW46,5,FALSE),0)+IF(BU41="x",HLOOKUP("y",BV41:$DW46,6,FALSE)*-1-IF(BU41="x",SUM($H42:BT42),0),0),0),0)</f>
        <v>0</v>
      </c>
      <c r="BV42" s="1">
        <f>MAX(IFERROR(IF(BV41="x",HLOOKUP("y",BW41:$DW46,5,FALSE),0)+IF(BV41="x",HLOOKUP("y",BW41:$DW46,6,FALSE)*-1-IF(BV41="x",SUM($H42:BU42),0),0),0),0)</f>
        <v>0</v>
      </c>
      <c r="BW42" s="1">
        <f>MAX(IFERROR(IF(BW41="x",HLOOKUP("y",BX41:$DW46,5,FALSE),0)+IF(BW41="x",HLOOKUP("y",BX41:$DW46,6,FALSE)*-1-IF(BW41="x",SUM($H42:BV42),0),0),0),0)</f>
        <v>0</v>
      </c>
      <c r="BX42" s="1">
        <f>MAX(IFERROR(IF(BX41="x",HLOOKUP("y",BY41:$DW46,5,FALSE),0)+IF(BX41="x",HLOOKUP("y",BY41:$DW46,6,FALSE)*-1-IF(BX41="x",SUM($H42:BW42),0),0),0),0)</f>
        <v>0</v>
      </c>
      <c r="BY42" s="1">
        <f>MAX(IFERROR(IF(BY41="x",HLOOKUP("y",BZ41:$DW46,5,FALSE),0)+IF(BY41="x",HLOOKUP("y",BZ41:$DW46,6,FALSE)*-1-IF(BY41="x",SUM($H42:BX42),0),0),0),0)</f>
        <v>0</v>
      </c>
      <c r="BZ42" s="1">
        <f>MAX(IFERROR(IF(BZ41="x",HLOOKUP("y",CA41:$DW46,5,FALSE),0)+IF(BZ41="x",HLOOKUP("y",CA41:$DW46,6,FALSE)*-1-IF(BZ41="x",SUM($H42:BY42),0),0),0),0)</f>
        <v>0</v>
      </c>
      <c r="CA42" s="1">
        <f>MAX(IFERROR(IF(CA41="x",HLOOKUP("y",CB41:$DW46,5,FALSE),0)+IF(CA41="x",HLOOKUP("y",CB41:$DW46,6,FALSE)*-1-IF(CA41="x",SUM($H42:BZ42),0),0),0),0)</f>
        <v>0</v>
      </c>
      <c r="CB42" s="1">
        <f>MAX(IFERROR(IF(CB41="x",HLOOKUP("y",CC41:$DW46,5,FALSE),0)+IF(CB41="x",HLOOKUP("y",CC41:$DW46,6,FALSE)*-1-IF(CB41="x",SUM($H42:CA42),0),0),0),0)</f>
        <v>0</v>
      </c>
      <c r="CC42" s="1">
        <f>MAX(IFERROR(IF(CC41="x",HLOOKUP("y",CD41:$DW46,5,FALSE),0)+IF(CC41="x",HLOOKUP("y",CD41:$DW46,6,FALSE)*-1-IF(CC41="x",SUM($H42:CB42),0),0),0),0)</f>
        <v>0</v>
      </c>
      <c r="CD42" s="1">
        <f>MAX(IFERROR(IF(CD41="x",HLOOKUP("y",CE41:$DW46,5,FALSE),0)+IF(CD41="x",HLOOKUP("y",CE41:$DW46,6,FALSE)*-1-IF(CD41="x",SUM($H42:CC42),0),0),0),0)</f>
        <v>0</v>
      </c>
      <c r="CE42" s="1">
        <f>MAX(IFERROR(IF(CE41="x",HLOOKUP("y",CF41:$DW46,5,FALSE),0)+IF(CE41="x",HLOOKUP("y",CF41:$DW46,6,FALSE)*-1-IF(CE41="x",SUM($H42:CD42),0),0),0),0)</f>
        <v>0</v>
      </c>
      <c r="CF42" s="1">
        <f>MAX(IFERROR(IF(CF41="x",HLOOKUP("y",CG41:$DW46,5,FALSE),0)+IF(CF41="x",HLOOKUP("y",CG41:$DW46,6,FALSE)*-1-IF(CF41="x",SUM($H42:CE42),0),0),0),0)</f>
        <v>0</v>
      </c>
      <c r="CG42" s="1">
        <f>MAX(IFERROR(IF(CG41="x",HLOOKUP("y",CH41:$DW46,5,FALSE),0)+IF(CG41="x",HLOOKUP("y",CH41:$DW46,6,FALSE)*-1-IF(CG41="x",SUM($H42:CF42),0),0),0),0)</f>
        <v>0</v>
      </c>
      <c r="CH42" s="1">
        <f>MAX(IFERROR(IF(CH41="x",HLOOKUP("y",CI41:$DW46,5,FALSE),0)+IF(CH41="x",HLOOKUP("y",CI41:$DW46,6,FALSE)*-1-IF(CH41="x",SUM($H42:CG42),0),0),0),0)</f>
        <v>0</v>
      </c>
      <c r="CI42" s="1">
        <f>MAX(IFERROR(IF(CI41="x",HLOOKUP("y",CJ41:$DW46,5,FALSE),0)+IF(CI41="x",HLOOKUP("y",CJ41:$DW46,6,FALSE)*-1-IF(CI41="x",SUM($H42:CH42),0),0),0),0)</f>
        <v>0</v>
      </c>
      <c r="CJ42" s="1">
        <f>MAX(IFERROR(IF(CJ41="x",HLOOKUP("y",CK41:$DW46,5,FALSE),0)+IF(CJ41="x",HLOOKUP("y",CK41:$DW46,6,FALSE)*-1-IF(CJ41="x",SUM($H42:CI42),0),0),0),0)</f>
        <v>0</v>
      </c>
      <c r="CK42" s="1">
        <f>MAX(IFERROR(IF(CK41="x",HLOOKUP("y",CL41:$DW46,5,FALSE),0)+IF(CK41="x",HLOOKUP("y",CL41:$DW46,6,FALSE)*-1-IF(CK41="x",SUM($H42:CJ42),0),0),0),0)</f>
        <v>0</v>
      </c>
      <c r="CL42" s="1">
        <f>MAX(IFERROR(IF(CL41="x",HLOOKUP("y",CM41:$DW46,5,FALSE),0)+IF(CL41="x",HLOOKUP("y",CM41:$DW46,6,FALSE)*-1-IF(CL41="x",SUM($H42:CK42),0),0),0),0)</f>
        <v>0</v>
      </c>
      <c r="CM42" s="1">
        <f>MAX(IFERROR(IF(CM41="x",HLOOKUP("y",CN41:$DW46,5,FALSE),0)+IF(CM41="x",HLOOKUP("y",CN41:$DW46,6,FALSE)*-1-IF(CM41="x",SUM($H42:CL42),0),0),0),0)</f>
        <v>0</v>
      </c>
      <c r="CN42" s="1">
        <f>MAX(IFERROR(IF(CN41="x",HLOOKUP("y",CO41:$DW46,5,FALSE),0)+IF(CN41="x",HLOOKUP("y",CO41:$DW46,6,FALSE)*-1-IF(CN41="x",SUM($H42:CM42),0),0),0),0)</f>
        <v>0</v>
      </c>
      <c r="CO42" s="1">
        <f>MAX(IFERROR(IF(CO41="x",HLOOKUP("y",CP41:$DW46,5,FALSE),0)+IF(CO41="x",HLOOKUP("y",CP41:$DW46,6,FALSE)*-1-IF(CO41="x",SUM($H42:CN42),0),0),0),0)</f>
        <v>0</v>
      </c>
      <c r="CP42" s="1">
        <f>MAX(IFERROR(IF(CP41="x",HLOOKUP("y",CQ41:$DW46,5,FALSE),0)+IF(CP41="x",HLOOKUP("y",CQ41:$DW46,6,FALSE)*-1-IF(CP41="x",SUM($H42:CO42),0),0),0),0)</f>
        <v>0</v>
      </c>
      <c r="CQ42" s="1">
        <f>MAX(IFERROR(IF(CQ41="x",HLOOKUP("y",CR41:$DW46,5,FALSE),0)+IF(CQ41="x",HLOOKUP("y",CR41:$DW46,6,FALSE)*-1-IF(CQ41="x",SUM($H42:CP42),0),0),0),0)</f>
        <v>0</v>
      </c>
      <c r="CR42" s="1">
        <f>MAX(IFERROR(IF(CR41="x",HLOOKUP("y",CS41:$DW46,5,FALSE),0)+IF(CR41="x",HLOOKUP("y",CS41:$DW46,6,FALSE)*-1-IF(CR41="x",SUM($H42:CQ42),0),0),0),0)</f>
        <v>0</v>
      </c>
      <c r="CS42" s="1">
        <f>MAX(IFERROR(IF(CS41="x",HLOOKUP("y",CT41:$DW46,5,FALSE),0)+IF(CS41="x",HLOOKUP("y",CT41:$DW46,6,FALSE)*-1-IF(CS41="x",SUM($H42:CR42),0),0),0),0)</f>
        <v>0</v>
      </c>
      <c r="CT42" s="1">
        <f>MAX(IFERROR(IF(CT41="x",HLOOKUP("y",CU41:$DW46,5,FALSE),0)+IF(CT41="x",HLOOKUP("y",CU41:$DW46,6,FALSE)*-1-IF(CT41="x",SUM($H42:CS42),0),0),0),0)</f>
        <v>0</v>
      </c>
      <c r="CU42" s="1">
        <f>MAX(IFERROR(IF(CU41="x",HLOOKUP("y",CV41:$DW46,5,FALSE),0)+IF(CU41="x",HLOOKUP("y",CV41:$DW46,6,FALSE)*-1-IF(CU41="x",SUM($H42:CT42),0),0),0),0)</f>
        <v>0</v>
      </c>
      <c r="CV42" s="1">
        <f>MAX(IFERROR(IF(CV41="x",HLOOKUP("y",CW41:$DW46,5,FALSE),0)+IF(CV41="x",HLOOKUP("y",CW41:$DW46,6,FALSE)*-1-IF(CV41="x",SUM($H42:CU42),0),0),0),0)</f>
        <v>0</v>
      </c>
      <c r="CW42" s="1">
        <f>MAX(IFERROR(IF(CW41="x",HLOOKUP("y",CX41:$DW46,5,FALSE),0)+IF(CW41="x",HLOOKUP("y",CX41:$DW46,6,FALSE)*-1-IF(CW41="x",SUM($H42:CV42),0),0),0),0)</f>
        <v>0</v>
      </c>
      <c r="CX42" s="1">
        <f>MAX(IFERROR(IF(CX41="x",HLOOKUP("y",CY41:$DW46,5,FALSE),0)+IF(CX41="x",HLOOKUP("y",CY41:$DW46,6,FALSE)*-1-IF(CX41="x",SUM($H42:CW42),0),0),0),0)</f>
        <v>0</v>
      </c>
      <c r="CY42" s="1">
        <f>MAX(IFERROR(IF(CY41="x",HLOOKUP("y",CZ41:$DW46,5,FALSE),0)+IF(CY41="x",HLOOKUP("y",CZ41:$DW46,6,FALSE)*-1-IF(CY41="x",SUM($H42:CX42),0),0),0),0)</f>
        <v>0</v>
      </c>
      <c r="CZ42" s="1">
        <f>MAX(IFERROR(IF(CZ41="x",HLOOKUP("y",DA41:$DW46,5,FALSE),0)+IF(CZ41="x",HLOOKUP("y",DA41:$DW46,6,FALSE)*-1-IF(CZ41="x",SUM($H42:CY42),0),0),0),0)</f>
        <v>0</v>
      </c>
      <c r="DA42" s="1">
        <f>MAX(IFERROR(IF(DA41="x",HLOOKUP("y",DB41:$DW46,5,FALSE),0)+IF(DA41="x",HLOOKUP("y",DB41:$DW46,6,FALSE)*-1-IF(DA41="x",SUM($H42:CZ42),0),0),0),0)</f>
        <v>0</v>
      </c>
      <c r="DB42" s="1">
        <f>MAX(IFERROR(IF(DB41="x",HLOOKUP("y",DC41:$DW46,5,FALSE),0)+IF(DB41="x",HLOOKUP("y",DC41:$DW46,6,FALSE)*-1-IF(DB41="x",SUM($H42:DA42),0),0),0),0)</f>
        <v>0</v>
      </c>
      <c r="DC42" s="1">
        <f>MAX(IFERROR(IF(DC41="x",HLOOKUP("y",DD41:$DW46,5,FALSE),0)+IF(DC41="x",HLOOKUP("y",DD41:$DW46,6,FALSE)*-1-IF(DC41="x",SUM($H42:DB42),0),0),0),0)</f>
        <v>0</v>
      </c>
      <c r="DD42" s="1">
        <f>MAX(IFERROR(IF(DD41="x",HLOOKUP("y",DE41:$DW46,5,FALSE),0)+IF(DD41="x",HLOOKUP("y",DE41:$DW46,6,FALSE)*-1-IF(DD41="x",SUM($H42:DC42),0),0),0),0)</f>
        <v>0</v>
      </c>
      <c r="DE42" s="1">
        <f>MAX(IFERROR(IF(DE41="x",HLOOKUP("y",DF41:$DW46,5,FALSE),0)+IF(DE41="x",HLOOKUP("y",DF41:$DW46,6,FALSE)*-1-IF(DE41="x",SUM($H42:DD42),0),0),0),0)</f>
        <v>0</v>
      </c>
      <c r="DF42" s="1">
        <f>MAX(IFERROR(IF(DF41="x",HLOOKUP("y",DG41:$DW46,5,FALSE),0)+IF(DF41="x",HLOOKUP("y",DG41:$DW46,6,FALSE)*-1-IF(DF41="x",SUM($H42:DE42),0),0),0),0)</f>
        <v>0</v>
      </c>
      <c r="DG42" s="1">
        <f>MAX(IFERROR(IF(DG41="x",HLOOKUP("y",DH41:$DW46,5,FALSE),0)+IF(DG41="x",HLOOKUP("y",DH41:$DW46,6,FALSE)*-1-IF(DG41="x",SUM($H42:DF42),0),0),0),0)</f>
        <v>0</v>
      </c>
      <c r="DH42" s="1">
        <f>MAX(IFERROR(IF(DH41="x",HLOOKUP("y",DI41:$DW46,5,FALSE),0)+IF(DH41="x",HLOOKUP("y",DI41:$DW46,6,FALSE)*-1-IF(DH41="x",SUM($H42:DG42),0),0),0),0)</f>
        <v>0</v>
      </c>
      <c r="DI42" s="1">
        <f>MAX(IFERROR(IF(DI41="x",HLOOKUP("y",DJ41:$DW46,5,FALSE),0)+IF(DI41="x",HLOOKUP("y",DJ41:$DW46,6,FALSE)*-1-IF(DI41="x",SUM($H42:DH42),0),0),0),0)</f>
        <v>0</v>
      </c>
      <c r="DJ42" s="1">
        <f>MAX(IFERROR(IF(DJ41="x",HLOOKUP("y",DK41:$DW46,5,FALSE),0)+IF(DJ41="x",HLOOKUP("y",DK41:$DW46,6,FALSE)*-1-IF(DJ41="x",SUM($H42:DI42),0),0),0),0)</f>
        <v>0</v>
      </c>
      <c r="DK42" s="1">
        <f>MAX(IFERROR(IF(DK41="x",HLOOKUP("y",DL41:$DW46,5,FALSE),0)+IF(DK41="x",HLOOKUP("y",DL41:$DW46,6,FALSE)*-1-IF(DK41="x",SUM($H42:DJ42),0),0),0),0)</f>
        <v>0</v>
      </c>
      <c r="DL42" s="1">
        <f>MAX(IFERROR(IF(DL41="x",HLOOKUP("y",DM41:$DW46,5,FALSE),0)+IF(DL41="x",HLOOKUP("y",DM41:$DW46,6,FALSE)*-1-IF(DL41="x",SUM($H42:DK42),0),0),0),0)</f>
        <v>0</v>
      </c>
      <c r="DM42" s="1">
        <f>MAX(IFERROR(IF(DM41="x",HLOOKUP("y",DN41:$DW46,5,FALSE),0)+IF(DM41="x",HLOOKUP("y",DN41:$DW46,6,FALSE)*-1-IF(DM41="x",SUM($H42:DL42),0),0),0),0)</f>
        <v>0</v>
      </c>
      <c r="DN42" s="1">
        <f>MAX(IFERROR(IF(DN41="x",HLOOKUP("y",DO41:$DW46,5,FALSE),0)+IF(DN41="x",HLOOKUP("y",DO41:$DW46,6,FALSE)*-1-IF(DN41="x",SUM($H42:DM42),0),0),0),0)</f>
        <v>0</v>
      </c>
      <c r="DO42" s="1">
        <f>MAX(IFERROR(IF(DO41="x",HLOOKUP("y",DP41:$DW46,5,FALSE),0)+IF(DO41="x",HLOOKUP("y",DP41:$DW46,6,FALSE)*-1-IF(DO41="x",SUM($H42:DN42),0),0),0),0)</f>
        <v>0</v>
      </c>
      <c r="DP42" s="1">
        <f>MAX(IFERROR(IF(DP41="x",HLOOKUP("y",DQ41:$DW46,5,FALSE),0)+IF(DP41="x",HLOOKUP("y",DQ41:$DW46,6,FALSE)*-1-IF(DP41="x",SUM($H42:DO42),0),0),0),0)</f>
        <v>0</v>
      </c>
      <c r="DQ42" s="1">
        <f>MAX(IFERROR(IF(DQ41="x",HLOOKUP("y",DR41:$DW46,5,FALSE),0)+IF(DQ41="x",HLOOKUP("y",DR41:$DW46,6,FALSE)*-1-IF(DQ41="x",SUM($H42:DP42),0),0),0),0)</f>
        <v>0</v>
      </c>
      <c r="DR42" s="1">
        <f>MAX(IFERROR(IF(DR41="x",HLOOKUP("y",DS41:$DW46,5,FALSE),0)+IF(DR41="x",HLOOKUP("y",DS41:$DW46,6,FALSE)*-1-IF(DR41="x",SUM($H42:DQ42),0),0),0),0)</f>
        <v>0</v>
      </c>
      <c r="DS42" s="1">
        <f>MAX(IFERROR(IF(DS41="x",HLOOKUP("y",DT41:$DW46,5,FALSE),0)+IF(DS41="x",HLOOKUP("y",DT41:$DW46,6,FALSE)*-1-IF(DS41="x",SUM($H42:DR42),0),0),0),0)</f>
        <v>0</v>
      </c>
      <c r="DT42" s="1">
        <f>MAX(IFERROR(IF(DT41="x",HLOOKUP("y",DU41:$DW46,5,FALSE),0)+IF(DT41="x",HLOOKUP("y",DU41:$DW46,6,FALSE)*-1-IF(DT41="x",SUM($H42:DS42),0),0),0),0)</f>
        <v>0</v>
      </c>
      <c r="DU42" s="1">
        <f>MAX(IFERROR(IF(DU41="x",HLOOKUP("y",DV41:$DW46,5,FALSE),0)+IF(DU41="x",HLOOKUP("y",DV41:$DW46,6,FALSE)*-1-IF(DU41="x",SUM($H42:DT42),0),0),0),0)</f>
        <v>0</v>
      </c>
      <c r="DV42" s="1">
        <f>MAX(IFERROR(IF(DV41="x",HLOOKUP("y",DW41:$DW46,5,FALSE),0)+IF(DV41="x",HLOOKUP("y",DW41:$DW46,6,FALSE)*-1-IF(DV41="x",SUM($H42:DU42),0),0),0),0)</f>
        <v>0</v>
      </c>
      <c r="DW42" s="1">
        <f>MAX(IFERROR(IF(DW41="x",HLOOKUP("y",$DW41:DX46,5,FALSE),0)+IF(DW41="x",HLOOKUP("y",$DW41:DX46,6,FALSE)*-1-IF(DW41="x",SUM($H42:DV42),0),0),0),0)</f>
        <v>0</v>
      </c>
    </row>
    <row r="43" spans="1:127" outlineLevel="1" x14ac:dyDescent="0.3">
      <c r="A43" s="96" t="str">
        <f t="shared" si="791"/>
        <v>106030251Production</v>
      </c>
      <c r="B43" s="20">
        <f t="shared" si="792"/>
        <v>106030251</v>
      </c>
      <c r="C43" s="20" t="str">
        <f t="shared" si="792"/>
        <v>L 4X4X1/2 GGMULTI 50'00"</v>
      </c>
      <c r="D43" s="20">
        <f t="shared" si="792"/>
        <v>1333</v>
      </c>
      <c r="E43" s="20" t="str">
        <f t="shared" si="792"/>
        <v>4" ANG</v>
      </c>
      <c r="F43" s="4" t="s">
        <v>172</v>
      </c>
      <c r="H43" s="1">
        <v>0</v>
      </c>
      <c r="I43" s="1">
        <v>0</v>
      </c>
      <c r="J43" s="1">
        <v>0</v>
      </c>
      <c r="K43" s="112">
        <v>0</v>
      </c>
      <c r="L43" s="112">
        <v>0</v>
      </c>
      <c r="M43" s="112">
        <v>0</v>
      </c>
      <c r="N43" s="112">
        <v>0</v>
      </c>
      <c r="O43" s="112">
        <v>0</v>
      </c>
      <c r="P43" s="112">
        <v>0</v>
      </c>
      <c r="Q43" s="112">
        <v>137.46666666666655</v>
      </c>
      <c r="R43" s="112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6.3000000000000114</v>
      </c>
      <c r="AA43" s="9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2.1000000000000227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2.0999999999999943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2.3333333333333428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</row>
    <row r="44" spans="1:127" outlineLevel="1" x14ac:dyDescent="0.3">
      <c r="A44" s="96" t="str">
        <f t="shared" si="791"/>
        <v>106030251Production from another Mill / SKU</v>
      </c>
      <c r="B44" s="20">
        <f t="shared" si="792"/>
        <v>106030251</v>
      </c>
      <c r="C44" s="20" t="str">
        <f t="shared" si="792"/>
        <v>L 4X4X1/2 GGMULTI 50'00"</v>
      </c>
      <c r="D44" s="20">
        <f t="shared" si="792"/>
        <v>1333</v>
      </c>
      <c r="E44" s="20" t="str">
        <f t="shared" si="792"/>
        <v>4" ANG</v>
      </c>
      <c r="F44" s="35" t="s">
        <v>208</v>
      </c>
      <c r="H44" s="68">
        <f>VLOOKUP(B44,FORECAST!$D:$X,21,FALSE)</f>
        <v>65</v>
      </c>
      <c r="I44" s="1"/>
      <c r="J44" s="1"/>
      <c r="K44" s="112"/>
      <c r="L44" s="112"/>
      <c r="M44" s="112"/>
      <c r="N44" s="112"/>
      <c r="O44" s="112"/>
      <c r="P44" s="112"/>
      <c r="Q44" s="112"/>
      <c r="R44" s="112"/>
      <c r="S44" s="9"/>
      <c r="T44" s="9"/>
      <c r="U44" s="9"/>
      <c r="V44" s="9"/>
      <c r="W44" s="9"/>
      <c r="X44" s="9"/>
      <c r="Y44" s="9"/>
      <c r="Z44" s="9"/>
      <c r="AA44" s="9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1:127" s="1" customFormat="1" outlineLevel="1" x14ac:dyDescent="0.3">
      <c r="A45" s="96" t="str">
        <f t="shared" si="791"/>
        <v>106030251Safety Stock</v>
      </c>
      <c r="B45" s="20">
        <f t="shared" si="792"/>
        <v>106030251</v>
      </c>
      <c r="C45" s="20" t="str">
        <f t="shared" si="792"/>
        <v>L 4X4X1/2 GGMULTI 50'00"</v>
      </c>
      <c r="D45" s="20">
        <f t="shared" si="792"/>
        <v>1333</v>
      </c>
      <c r="E45" s="20" t="str">
        <f t="shared" si="792"/>
        <v>4" ANG</v>
      </c>
      <c r="F45" s="5" t="s">
        <v>74</v>
      </c>
      <c r="G45" s="37">
        <f>VLOOKUP(B45,FORECAST!$D:$W,4,FALSE)</f>
        <v>100</v>
      </c>
      <c r="H45" s="38">
        <f>G45</f>
        <v>100</v>
      </c>
      <c r="I45" s="38">
        <f t="shared" ref="I45" si="793">H45</f>
        <v>100</v>
      </c>
      <c r="J45" s="38">
        <f t="shared" ref="J45" si="794">I45</f>
        <v>100</v>
      </c>
      <c r="K45" s="114">
        <f t="shared" ref="K45" si="795">J45</f>
        <v>100</v>
      </c>
      <c r="L45" s="114">
        <f t="shared" ref="L45" si="796">K45</f>
        <v>100</v>
      </c>
      <c r="M45" s="114">
        <f t="shared" ref="M45" si="797">L45</f>
        <v>100</v>
      </c>
      <c r="N45" s="114">
        <f t="shared" ref="N45" si="798">M45</f>
        <v>100</v>
      </c>
      <c r="O45" s="114">
        <f t="shared" ref="O45" si="799">N45</f>
        <v>100</v>
      </c>
      <c r="P45" s="114">
        <f t="shared" ref="P45" si="800">O45</f>
        <v>100</v>
      </c>
      <c r="Q45" s="114">
        <f t="shared" ref="Q45" si="801">P45</f>
        <v>100</v>
      </c>
      <c r="R45" s="114">
        <f t="shared" ref="R45" si="802">Q45</f>
        <v>100</v>
      </c>
      <c r="S45" s="118">
        <f t="shared" ref="S45" si="803">R45</f>
        <v>100</v>
      </c>
      <c r="T45" s="118">
        <f t="shared" ref="T45" si="804">S45</f>
        <v>100</v>
      </c>
      <c r="U45" s="118">
        <f t="shared" ref="U45" si="805">T45</f>
        <v>100</v>
      </c>
      <c r="V45" s="118">
        <f t="shared" ref="V45" si="806">U45</f>
        <v>100</v>
      </c>
      <c r="W45" s="118">
        <f t="shared" ref="W45" si="807">V45</f>
        <v>100</v>
      </c>
      <c r="X45" s="118">
        <f t="shared" ref="X45" si="808">W45</f>
        <v>100</v>
      </c>
      <c r="Y45" s="118">
        <f t="shared" ref="Y45" si="809">X45</f>
        <v>100</v>
      </c>
      <c r="Z45" s="118">
        <f t="shared" ref="Z45" si="810">Y45</f>
        <v>100</v>
      </c>
      <c r="AA45" s="118">
        <f t="shared" ref="AA45" si="811">Z45</f>
        <v>100</v>
      </c>
      <c r="AB45" s="38">
        <f t="shared" ref="AB45" si="812">AA45</f>
        <v>100</v>
      </c>
      <c r="AC45" s="38">
        <f t="shared" ref="AC45" si="813">AB45</f>
        <v>100</v>
      </c>
      <c r="AD45" s="38">
        <f t="shared" ref="AD45" si="814">AC45</f>
        <v>100</v>
      </c>
      <c r="AE45" s="38">
        <f t="shared" ref="AE45" si="815">AD45</f>
        <v>100</v>
      </c>
      <c r="AF45" s="38">
        <f t="shared" ref="AF45" si="816">AE45</f>
        <v>100</v>
      </c>
      <c r="AG45" s="38">
        <f t="shared" ref="AG45" si="817">AF45</f>
        <v>100</v>
      </c>
      <c r="AH45" s="38">
        <f t="shared" ref="AH45" si="818">AG45</f>
        <v>100</v>
      </c>
      <c r="AI45" s="38">
        <f t="shared" ref="AI45" si="819">AH45</f>
        <v>100</v>
      </c>
      <c r="AJ45" s="38">
        <f t="shared" ref="AJ45" si="820">AI45</f>
        <v>100</v>
      </c>
      <c r="AK45" s="38">
        <f t="shared" ref="AK45" si="821">AJ45</f>
        <v>100</v>
      </c>
      <c r="AL45" s="38">
        <f t="shared" ref="AL45" si="822">AK45</f>
        <v>100</v>
      </c>
      <c r="AM45" s="38">
        <f t="shared" ref="AM45" si="823">AL45</f>
        <v>100</v>
      </c>
      <c r="AN45" s="38">
        <f t="shared" ref="AN45" si="824">AM45</f>
        <v>100</v>
      </c>
      <c r="AO45" s="38">
        <f t="shared" ref="AO45" si="825">AN45</f>
        <v>100</v>
      </c>
      <c r="AP45" s="38">
        <f t="shared" ref="AP45" si="826">AO45</f>
        <v>100</v>
      </c>
      <c r="AQ45" s="38">
        <f t="shared" ref="AQ45" si="827">AP45</f>
        <v>100</v>
      </c>
      <c r="AR45" s="38">
        <f t="shared" ref="AR45" si="828">AQ45</f>
        <v>100</v>
      </c>
      <c r="AS45" s="38">
        <f t="shared" ref="AS45" si="829">AR45</f>
        <v>100</v>
      </c>
      <c r="AT45" s="38">
        <f t="shared" ref="AT45" si="830">AS45</f>
        <v>100</v>
      </c>
      <c r="AU45" s="38">
        <f t="shared" ref="AU45" si="831">AT45</f>
        <v>100</v>
      </c>
      <c r="AV45" s="38">
        <f t="shared" ref="AV45" si="832">AU45</f>
        <v>100</v>
      </c>
      <c r="AW45" s="38">
        <f t="shared" ref="AW45" si="833">AV45</f>
        <v>100</v>
      </c>
      <c r="AX45" s="38">
        <f t="shared" ref="AX45" si="834">AW45</f>
        <v>100</v>
      </c>
      <c r="AY45" s="38">
        <f t="shared" ref="AY45" si="835">AX45</f>
        <v>100</v>
      </c>
      <c r="AZ45" s="38">
        <f t="shared" ref="AZ45" si="836">AY45</f>
        <v>100</v>
      </c>
      <c r="BA45" s="38">
        <f t="shared" ref="BA45" si="837">AZ45</f>
        <v>100</v>
      </c>
      <c r="BB45" s="38">
        <f t="shared" ref="BB45" si="838">BA45</f>
        <v>100</v>
      </c>
      <c r="BC45" s="38">
        <f t="shared" ref="BC45" si="839">BB45</f>
        <v>100</v>
      </c>
      <c r="BD45" s="38">
        <f t="shared" ref="BD45" si="840">BC45</f>
        <v>100</v>
      </c>
      <c r="BE45" s="38">
        <f t="shared" ref="BE45" si="841">BD45</f>
        <v>100</v>
      </c>
      <c r="BF45" s="38">
        <f t="shared" ref="BF45" si="842">BE45</f>
        <v>100</v>
      </c>
      <c r="BG45" s="38">
        <f t="shared" ref="BG45" si="843">BF45</f>
        <v>100</v>
      </c>
      <c r="BH45" s="38">
        <f t="shared" ref="BH45" si="844">BG45</f>
        <v>100</v>
      </c>
      <c r="BI45" s="38">
        <f t="shared" ref="BI45" si="845">BH45</f>
        <v>100</v>
      </c>
      <c r="BJ45" s="38">
        <f t="shared" ref="BJ45" si="846">BI45</f>
        <v>100</v>
      </c>
      <c r="BK45" s="38">
        <f t="shared" ref="BK45" si="847">BJ45</f>
        <v>100</v>
      </c>
      <c r="BL45" s="38">
        <f t="shared" ref="BL45" si="848">BK45</f>
        <v>100</v>
      </c>
      <c r="BM45" s="38">
        <f t="shared" ref="BM45" si="849">BL45</f>
        <v>100</v>
      </c>
      <c r="BN45" s="38">
        <f t="shared" ref="BN45" si="850">BM45</f>
        <v>100</v>
      </c>
      <c r="BO45" s="38">
        <f t="shared" ref="BO45" si="851">BN45</f>
        <v>100</v>
      </c>
      <c r="BP45" s="38">
        <f t="shared" ref="BP45" si="852">BO45</f>
        <v>100</v>
      </c>
      <c r="BQ45" s="38">
        <f t="shared" ref="BQ45" si="853">BP45</f>
        <v>100</v>
      </c>
      <c r="BR45" s="38">
        <f t="shared" ref="BR45" si="854">BQ45</f>
        <v>100</v>
      </c>
      <c r="BS45" s="38">
        <f t="shared" ref="BS45" si="855">BR45</f>
        <v>100</v>
      </c>
      <c r="BT45" s="38">
        <f t="shared" ref="BT45" si="856">BS45</f>
        <v>100</v>
      </c>
      <c r="BU45" s="38">
        <f t="shared" ref="BU45" si="857">BT45</f>
        <v>100</v>
      </c>
      <c r="BV45" s="38">
        <f t="shared" ref="BV45" si="858">BU45</f>
        <v>100</v>
      </c>
      <c r="BW45" s="38">
        <f t="shared" ref="BW45" si="859">BV45</f>
        <v>100</v>
      </c>
      <c r="BX45" s="38">
        <f t="shared" ref="BX45" si="860">BW45</f>
        <v>100</v>
      </c>
      <c r="BY45" s="38">
        <f t="shared" ref="BY45" si="861">BX45</f>
        <v>100</v>
      </c>
      <c r="BZ45" s="38">
        <f t="shared" ref="BZ45" si="862">BY45</f>
        <v>100</v>
      </c>
      <c r="CA45" s="38">
        <f t="shared" ref="CA45" si="863">BZ45</f>
        <v>100</v>
      </c>
      <c r="CB45" s="38">
        <f t="shared" ref="CB45" si="864">CA45</f>
        <v>100</v>
      </c>
      <c r="CC45" s="38">
        <f t="shared" ref="CC45" si="865">CB45</f>
        <v>100</v>
      </c>
      <c r="CD45" s="38">
        <f t="shared" ref="CD45" si="866">CC45</f>
        <v>100</v>
      </c>
      <c r="CE45" s="38">
        <f t="shared" ref="CE45" si="867">CD45</f>
        <v>100</v>
      </c>
      <c r="CF45" s="38">
        <f t="shared" ref="CF45" si="868">CE45</f>
        <v>100</v>
      </c>
      <c r="CG45" s="38">
        <f t="shared" ref="CG45" si="869">CF45</f>
        <v>100</v>
      </c>
      <c r="CH45" s="38">
        <f t="shared" ref="CH45" si="870">CG45</f>
        <v>100</v>
      </c>
      <c r="CI45" s="38">
        <f t="shared" ref="CI45" si="871">CH45</f>
        <v>100</v>
      </c>
      <c r="CJ45" s="38">
        <f t="shared" ref="CJ45" si="872">CI45</f>
        <v>100</v>
      </c>
      <c r="CK45" s="38">
        <f t="shared" ref="CK45" si="873">CJ45</f>
        <v>100</v>
      </c>
      <c r="CL45" s="38">
        <f t="shared" ref="CL45" si="874">CK45</f>
        <v>100</v>
      </c>
      <c r="CM45" s="38">
        <f t="shared" ref="CM45" si="875">CL45</f>
        <v>100</v>
      </c>
      <c r="CN45" s="38">
        <f t="shared" ref="CN45" si="876">CM45</f>
        <v>100</v>
      </c>
      <c r="CO45" s="38">
        <f t="shared" ref="CO45" si="877">CN45</f>
        <v>100</v>
      </c>
      <c r="CP45" s="38">
        <f t="shared" ref="CP45" si="878">CO45</f>
        <v>100</v>
      </c>
      <c r="CQ45" s="38">
        <f t="shared" ref="CQ45" si="879">CP45</f>
        <v>100</v>
      </c>
      <c r="CR45" s="38">
        <f t="shared" ref="CR45" si="880">CQ45</f>
        <v>100</v>
      </c>
      <c r="CS45" s="38">
        <f t="shared" ref="CS45" si="881">CR45</f>
        <v>100</v>
      </c>
      <c r="CT45" s="38">
        <f t="shared" ref="CT45" si="882">CS45</f>
        <v>100</v>
      </c>
      <c r="CU45" s="38">
        <f t="shared" ref="CU45" si="883">CT45</f>
        <v>100</v>
      </c>
      <c r="CV45" s="38">
        <f t="shared" ref="CV45" si="884">CU45</f>
        <v>100</v>
      </c>
      <c r="CW45" s="38">
        <f t="shared" ref="CW45" si="885">CV45</f>
        <v>100</v>
      </c>
      <c r="CX45" s="38">
        <f t="shared" ref="CX45" si="886">CW45</f>
        <v>100</v>
      </c>
      <c r="CY45" s="38">
        <f t="shared" ref="CY45" si="887">CX45</f>
        <v>100</v>
      </c>
      <c r="CZ45" s="38">
        <f t="shared" ref="CZ45" si="888">CY45</f>
        <v>100</v>
      </c>
      <c r="DA45" s="38">
        <f t="shared" ref="DA45" si="889">CZ45</f>
        <v>100</v>
      </c>
      <c r="DB45" s="38">
        <f t="shared" ref="DB45" si="890">DA45</f>
        <v>100</v>
      </c>
      <c r="DC45" s="38">
        <f t="shared" ref="DC45" si="891">DB45</f>
        <v>100</v>
      </c>
      <c r="DD45" s="38">
        <f t="shared" ref="DD45" si="892">DC45</f>
        <v>100</v>
      </c>
      <c r="DE45" s="38">
        <f t="shared" ref="DE45" si="893">DD45</f>
        <v>100</v>
      </c>
      <c r="DF45" s="38">
        <f t="shared" ref="DF45" si="894">DE45</f>
        <v>100</v>
      </c>
      <c r="DG45" s="38">
        <f t="shared" ref="DG45" si="895">DF45</f>
        <v>100</v>
      </c>
      <c r="DH45" s="38">
        <f t="shared" ref="DH45" si="896">DG45</f>
        <v>100</v>
      </c>
      <c r="DI45" s="38">
        <f t="shared" ref="DI45" si="897">DH45</f>
        <v>100</v>
      </c>
      <c r="DJ45" s="38">
        <f t="shared" ref="DJ45" si="898">DI45</f>
        <v>100</v>
      </c>
      <c r="DK45" s="38">
        <f t="shared" ref="DK45" si="899">DJ45</f>
        <v>100</v>
      </c>
      <c r="DL45" s="38">
        <f t="shared" ref="DL45" si="900">DK45</f>
        <v>100</v>
      </c>
      <c r="DM45" s="38">
        <f t="shared" ref="DM45" si="901">DL45</f>
        <v>100</v>
      </c>
      <c r="DN45" s="38">
        <f t="shared" ref="DN45" si="902">DM45</f>
        <v>100</v>
      </c>
      <c r="DO45" s="38">
        <f t="shared" ref="DO45" si="903">DN45</f>
        <v>100</v>
      </c>
      <c r="DP45" s="38">
        <f t="shared" ref="DP45" si="904">DO45</f>
        <v>100</v>
      </c>
      <c r="DQ45" s="38">
        <f t="shared" ref="DQ45" si="905">DP45</f>
        <v>100</v>
      </c>
      <c r="DR45" s="38">
        <f t="shared" ref="DR45" si="906">DQ45</f>
        <v>100</v>
      </c>
      <c r="DS45" s="38">
        <f t="shared" ref="DS45" si="907">DR45</f>
        <v>100</v>
      </c>
      <c r="DT45" s="38">
        <f t="shared" ref="DT45" si="908">DS45</f>
        <v>100</v>
      </c>
      <c r="DU45" s="38">
        <f t="shared" ref="DU45" si="909">DT45</f>
        <v>100</v>
      </c>
      <c r="DV45" s="38">
        <f t="shared" ref="DV45" si="910">DU45</f>
        <v>100</v>
      </c>
      <c r="DW45" s="38">
        <f t="shared" ref="DW45" si="911">DV45</f>
        <v>100</v>
      </c>
    </row>
    <row r="46" spans="1:127" outlineLevel="1" x14ac:dyDescent="0.3">
      <c r="A46" s="96" t="str">
        <f t="shared" si="791"/>
        <v>106030251Projected Stock</v>
      </c>
      <c r="B46" s="20">
        <f t="shared" si="792"/>
        <v>106030251</v>
      </c>
      <c r="C46" s="20" t="str">
        <f t="shared" si="792"/>
        <v>L 4X4X1/2 GGMULTI 50'00"</v>
      </c>
      <c r="D46" s="20">
        <f t="shared" si="792"/>
        <v>1333</v>
      </c>
      <c r="E46" s="20" t="str">
        <f t="shared" si="792"/>
        <v>4" ANG</v>
      </c>
      <c r="F46" s="4" t="s">
        <v>209</v>
      </c>
      <c r="G46" s="1">
        <f>SUM(G38:G39)</f>
        <v>213</v>
      </c>
      <c r="H46" s="1">
        <f>G46-H40+H43+H44</f>
        <v>273.56666666666666</v>
      </c>
      <c r="I46" s="1">
        <f t="shared" ref="I46" si="912">H46-I40+I43+I44</f>
        <v>259.8</v>
      </c>
      <c r="J46" s="1">
        <f t="shared" ref="J46" si="913">I46-J40+J43+J44</f>
        <v>246.03333333333336</v>
      </c>
      <c r="K46" s="112">
        <f t="shared" ref="K46" si="914">J46-K40+K43+K44</f>
        <v>232.26666666666671</v>
      </c>
      <c r="L46" s="112">
        <f t="shared" ref="L46" si="915">K46-L40+L43+L44</f>
        <v>218.50000000000006</v>
      </c>
      <c r="M46" s="112">
        <f t="shared" ref="M46" si="916">L46-M40+M43+M44</f>
        <v>182.80000000000007</v>
      </c>
      <c r="N46" s="112">
        <f t="shared" ref="N46" si="917">M46-N40+N43+N44</f>
        <v>147.10000000000008</v>
      </c>
      <c r="O46" s="112">
        <f t="shared" ref="O46" si="918">N46-O40+O43+O44</f>
        <v>111.40000000000009</v>
      </c>
      <c r="P46" s="112">
        <f t="shared" ref="P46" si="919">O46-P40+P43+P44</f>
        <v>75.700000000000102</v>
      </c>
      <c r="Q46" s="112">
        <f t="shared" ref="Q46" si="920">P46-Q40+Q43+Q44</f>
        <v>177.46666666666667</v>
      </c>
      <c r="R46" s="112">
        <f t="shared" ref="R46" si="921">Q46-R40+R43+R44</f>
        <v>162.30000000000001</v>
      </c>
      <c r="S46" s="9">
        <f t="shared" ref="S46" si="922">R46-S40+S43+S44</f>
        <v>147.13333333333335</v>
      </c>
      <c r="T46" s="9">
        <f t="shared" ref="T46" si="923">S46-T40+T43+T44</f>
        <v>131.9666666666667</v>
      </c>
      <c r="U46" s="9">
        <f t="shared" ref="U46" si="924">T46-U40+U43+U44</f>
        <v>116.80000000000003</v>
      </c>
      <c r="V46" s="9">
        <f t="shared" ref="V46" si="925">U46-V40+V43+V44</f>
        <v>112.60000000000002</v>
      </c>
      <c r="W46" s="9">
        <f t="shared" ref="W46" si="926">V46-W40+W43+W44</f>
        <v>108.40000000000002</v>
      </c>
      <c r="X46" s="9">
        <f t="shared" ref="X46" si="927">W46-X40+X43+X44</f>
        <v>104.20000000000002</v>
      </c>
      <c r="Y46" s="9">
        <f t="shared" ref="Y46" si="928">X46-Y40+Y43+Y44</f>
        <v>100.00000000000001</v>
      </c>
      <c r="Z46" s="9">
        <f t="shared" ref="Z46" si="929">Y46-Z40+Z43+Z44</f>
        <v>102.10000000000002</v>
      </c>
      <c r="AA46" s="9">
        <f t="shared" ref="AA46" si="930">Z46-AA40+AA43+AA44</f>
        <v>101.86666666666669</v>
      </c>
      <c r="AB46" s="1">
        <f t="shared" ref="AB46" si="931">AA46-AB40+AB43+AB44</f>
        <v>101.63333333333335</v>
      </c>
      <c r="AC46" s="1">
        <f t="shared" ref="AC46" si="932">AB46-AC40+AC43+AC44</f>
        <v>101.40000000000002</v>
      </c>
      <c r="AD46" s="1">
        <f t="shared" ref="AD46" si="933">AC46-AD40+AD43+AD44</f>
        <v>101.16666666666669</v>
      </c>
      <c r="AE46" s="1">
        <f t="shared" ref="AE46" si="934">AD46-AE40+AE43+AE44</f>
        <v>100.93333333333335</v>
      </c>
      <c r="AF46" s="1">
        <f t="shared" ref="AF46" si="935">AE46-AF40+AF43+AF44</f>
        <v>100.70000000000002</v>
      </c>
      <c r="AG46" s="1">
        <f t="shared" ref="AG46" si="936">AF46-AG40+AG43+AG44</f>
        <v>100.46666666666668</v>
      </c>
      <c r="AH46" s="1">
        <f t="shared" ref="AH46" si="937">AG46-AH40+AH43+AH44</f>
        <v>100.23333333333335</v>
      </c>
      <c r="AI46" s="1">
        <f t="shared" ref="AI46" si="938">AH46-AI40+AI43+AI44</f>
        <v>100.00000000000001</v>
      </c>
      <c r="AJ46" s="1">
        <f t="shared" ref="AJ46" si="939">AI46-AJ40+AJ43+AJ44</f>
        <v>101.8666666666667</v>
      </c>
      <c r="AK46" s="1">
        <f t="shared" ref="AK46" si="940">AJ46-AK40+AK43+AK44</f>
        <v>101.63333333333337</v>
      </c>
      <c r="AL46" s="1">
        <f t="shared" ref="AL46" si="941">AK46-AL40+AL43+AL44</f>
        <v>101.40000000000003</v>
      </c>
      <c r="AM46" s="1">
        <f t="shared" ref="AM46" si="942">AL46-AM40+AM43+AM44</f>
        <v>101.1666666666667</v>
      </c>
      <c r="AN46" s="1">
        <f t="shared" ref="AN46" si="943">AM46-AN40+AN43+AN44</f>
        <v>100.93333333333337</v>
      </c>
      <c r="AO46" s="1">
        <f t="shared" ref="AO46" si="944">AN46-AO40+AO43+AO44</f>
        <v>100.70000000000003</v>
      </c>
      <c r="AP46" s="1">
        <f t="shared" ref="AP46" si="945">AO46-AP40+AP43+AP44</f>
        <v>100.4666666666667</v>
      </c>
      <c r="AQ46" s="1">
        <f t="shared" ref="AQ46" si="946">AP46-AQ40+AQ43+AQ44</f>
        <v>100.23333333333336</v>
      </c>
      <c r="AR46" s="1">
        <f t="shared" ref="AR46" si="947">AQ46-AR40+AR43+AR44</f>
        <v>100.00000000000003</v>
      </c>
      <c r="AS46" s="1">
        <f t="shared" ref="AS46" si="948">AR46-AS40+AS43+AS44</f>
        <v>101.86666666666669</v>
      </c>
      <c r="AT46" s="1">
        <f t="shared" ref="AT46" si="949">AS46-AT40+AT43+AT44</f>
        <v>101.63333333333335</v>
      </c>
      <c r="AU46" s="1">
        <f t="shared" ref="AU46" si="950">AT46-AU40+AU43+AU44</f>
        <v>101.40000000000002</v>
      </c>
      <c r="AV46" s="1">
        <f t="shared" ref="AV46" si="951">AU46-AV40+AV43+AV44</f>
        <v>101.16666666666669</v>
      </c>
      <c r="AW46" s="1">
        <f t="shared" ref="AW46" si="952">AV46-AW40+AW43+AW44</f>
        <v>100.93333333333335</v>
      </c>
      <c r="AX46" s="1">
        <f t="shared" ref="AX46" si="953">AW46-AX40+AX43+AX44</f>
        <v>100.70000000000002</v>
      </c>
      <c r="AY46" s="1">
        <f t="shared" ref="AY46" si="954">AX46-AY40+AY43+AY44</f>
        <v>100.46666666666668</v>
      </c>
      <c r="AZ46" s="1">
        <f t="shared" ref="AZ46" si="955">AY46-AZ40+AZ43+AZ44</f>
        <v>100.23333333333335</v>
      </c>
      <c r="BA46" s="1">
        <f t="shared" ref="BA46" si="956">AZ46-BA40+BA43+BA44</f>
        <v>100.00000000000001</v>
      </c>
      <c r="BB46" s="1">
        <f t="shared" ref="BB46" si="957">BA46-BB40+BB43+BB44</f>
        <v>102.10000000000002</v>
      </c>
      <c r="BC46" s="1">
        <f t="shared" ref="BC46" si="958">BB46-BC40+BC43+BC44</f>
        <v>101.86666666666669</v>
      </c>
      <c r="BD46" s="1">
        <f t="shared" ref="BD46" si="959">BC46-BD40+BD43+BD44</f>
        <v>101.63333333333335</v>
      </c>
      <c r="BE46" s="1">
        <f t="shared" ref="BE46" si="960">BD46-BE40+BE43+BE44</f>
        <v>101.40000000000002</v>
      </c>
      <c r="BF46" s="1">
        <f t="shared" ref="BF46" si="961">BE46-BF40+BF43+BF44</f>
        <v>101.16666666666669</v>
      </c>
      <c r="BG46" s="1">
        <f t="shared" ref="BG46" si="962">BF46-BG40+BG43+BG44</f>
        <v>100.93333333333335</v>
      </c>
      <c r="BH46" s="1">
        <f t="shared" ref="BH46" si="963">BG46-BH40+BH43+BH44</f>
        <v>100.70000000000002</v>
      </c>
      <c r="BI46" s="1">
        <f t="shared" ref="BI46" si="964">BH46-BI40+BI43+BI44</f>
        <v>100.46666666666668</v>
      </c>
      <c r="BJ46" s="1">
        <f t="shared" ref="BJ46" si="965">BI46-BJ40+BJ43+BJ44</f>
        <v>100.23333333333335</v>
      </c>
      <c r="BK46" s="1">
        <f t="shared" ref="BK46" si="966">BJ46-BK40+BK43+BK44</f>
        <v>100.00000000000001</v>
      </c>
      <c r="BL46" s="1">
        <f t="shared" ref="BL46" si="967">BK46-BL40+BL43+BL44</f>
        <v>99.76666666666668</v>
      </c>
      <c r="BM46" s="1">
        <f t="shared" ref="BM46" si="968">BL46-BM40+BM43+BM44</f>
        <v>99.533333333333346</v>
      </c>
      <c r="BN46" s="1">
        <f t="shared" ref="BN46" si="969">BM46-BN40+BN43+BN44</f>
        <v>99.300000000000011</v>
      </c>
      <c r="BO46" s="1">
        <f t="shared" ref="BO46" si="970">BN46-BO40+BO43+BO44</f>
        <v>99.066666666666677</v>
      </c>
      <c r="BP46" s="1">
        <f t="shared" ref="BP46" si="971">BO46-BP40+BP43+BP44</f>
        <v>98.833333333333343</v>
      </c>
      <c r="BQ46" s="1">
        <f t="shared" ref="BQ46" si="972">BP46-BQ40+BQ43+BQ44</f>
        <v>98.600000000000009</v>
      </c>
      <c r="BR46" s="1">
        <f t="shared" ref="BR46" si="973">BQ46-BR40+BR43+BR44</f>
        <v>98.366666666666674</v>
      </c>
      <c r="BS46" s="1">
        <f t="shared" ref="BS46" si="974">BR46-BS40+BS43+BS44</f>
        <v>98.13333333333334</v>
      </c>
      <c r="BT46" s="1">
        <f t="shared" ref="BT46" si="975">BS46-BT40+BT43+BT44</f>
        <v>97.9</v>
      </c>
      <c r="BU46" s="1">
        <f t="shared" ref="BU46" si="976">BT46-BU40+BU43+BU44</f>
        <v>97.666666666666671</v>
      </c>
      <c r="BV46" s="1">
        <f t="shared" ref="BV46" si="977">BU46-BV40+BV43+BV44</f>
        <v>97.433333333333337</v>
      </c>
      <c r="BW46" s="1">
        <f t="shared" ref="BW46" si="978">BV46-BW40+BW43+BW44</f>
        <v>97.2</v>
      </c>
      <c r="BX46" s="1">
        <f t="shared" ref="BX46" si="979">BW46-BX40+BX43+BX44</f>
        <v>96.966666666666669</v>
      </c>
      <c r="BY46" s="1">
        <f t="shared" ref="BY46" si="980">BX46-BY40+BY43+BY44</f>
        <v>96.733333333333334</v>
      </c>
      <c r="BZ46" s="1">
        <f t="shared" ref="BZ46" si="981">BY46-BZ40+BZ43+BZ44</f>
        <v>96.5</v>
      </c>
      <c r="CA46" s="1">
        <f t="shared" ref="CA46" si="982">BZ46-CA40+CA43+CA44</f>
        <v>96.266666666666666</v>
      </c>
      <c r="CB46" s="1">
        <f t="shared" ref="CB46" si="983">CA46-CB40+CB43+CB44</f>
        <v>96.033333333333331</v>
      </c>
      <c r="CC46" s="1">
        <f t="shared" ref="CC46" si="984">CB46-CC40+CC43+CC44</f>
        <v>95.8</v>
      </c>
      <c r="CD46" s="1">
        <f t="shared" ref="CD46" si="985">CC46-CD40+CD43+CD44</f>
        <v>95.566666666666663</v>
      </c>
      <c r="CE46" s="1">
        <f t="shared" ref="CE46" si="986">CD46-CE40+CE43+CE44</f>
        <v>95.333333333333329</v>
      </c>
      <c r="CF46" s="1">
        <f t="shared" ref="CF46" si="987">CE46-CF40+CF43+CF44</f>
        <v>95.1</v>
      </c>
      <c r="CG46" s="1">
        <f t="shared" ref="CG46" si="988">CF46-CG40+CG43+CG44</f>
        <v>94.86666666666666</v>
      </c>
      <c r="CH46" s="1">
        <f t="shared" ref="CH46" si="989">CG46-CH40+CH43+CH44</f>
        <v>94.633333333333326</v>
      </c>
      <c r="CI46" s="1">
        <f t="shared" ref="CI46" si="990">CH46-CI40+CI43+CI44</f>
        <v>94.399999999999991</v>
      </c>
      <c r="CJ46" s="1">
        <f t="shared" ref="CJ46" si="991">CI46-CJ40+CJ43+CJ44</f>
        <v>94.166666666666657</v>
      </c>
      <c r="CK46" s="1">
        <f t="shared" ref="CK46" si="992">CJ46-CK40+CK43+CK44</f>
        <v>93.933333333333323</v>
      </c>
      <c r="CL46" s="1">
        <f t="shared" ref="CL46" si="993">CK46-CL40+CL43+CL44</f>
        <v>93.699999999999989</v>
      </c>
      <c r="CM46" s="1">
        <f t="shared" ref="CM46" si="994">CL46-CM40+CM43+CM44</f>
        <v>93.466666666666654</v>
      </c>
      <c r="CN46" s="1">
        <f t="shared" ref="CN46" si="995">CM46-CN40+CN43+CN44</f>
        <v>93.23333333333332</v>
      </c>
      <c r="CO46" s="1">
        <f t="shared" ref="CO46" si="996">CN46-CO40+CO43+CO44</f>
        <v>92.999999999999986</v>
      </c>
      <c r="CP46" s="1">
        <f t="shared" ref="CP46" si="997">CO46-CP40+CP43+CP44</f>
        <v>92.766666666666652</v>
      </c>
      <c r="CQ46" s="1">
        <f t="shared" ref="CQ46" si="998">CP46-CQ40+CQ43+CQ44</f>
        <v>92.533333333333317</v>
      </c>
      <c r="CR46" s="1">
        <f t="shared" ref="CR46" si="999">CQ46-CR40+CR43+CR44</f>
        <v>92.299999999999983</v>
      </c>
      <c r="CS46" s="1">
        <f t="shared" ref="CS46" si="1000">CR46-CS40+CS43+CS44</f>
        <v>92.066666666666649</v>
      </c>
      <c r="CT46" s="1">
        <f t="shared" ref="CT46" si="1001">CS46-CT40+CT43+CT44</f>
        <v>91.833333333333314</v>
      </c>
      <c r="CU46" s="1">
        <f t="shared" ref="CU46" si="1002">CT46-CU40+CU43+CU44</f>
        <v>91.59999999999998</v>
      </c>
      <c r="CV46" s="1">
        <f t="shared" ref="CV46" si="1003">CU46-CV40+CV43+CV44</f>
        <v>91.366666666666646</v>
      </c>
      <c r="CW46" s="1">
        <f t="shared" ref="CW46" si="1004">CV46-CW40+CW43+CW44</f>
        <v>91.133333333333312</v>
      </c>
      <c r="CX46" s="1">
        <f t="shared" ref="CX46" si="1005">CW46-CX40+CX43+CX44</f>
        <v>90.899999999999977</v>
      </c>
      <c r="CY46" s="1">
        <f t="shared" ref="CY46" si="1006">CX46-CY40+CY43+CY44</f>
        <v>90.666666666666643</v>
      </c>
      <c r="CZ46" s="1">
        <f t="shared" ref="CZ46" si="1007">CY46-CZ40+CZ43+CZ44</f>
        <v>90.433333333333309</v>
      </c>
      <c r="DA46" s="1">
        <f t="shared" ref="DA46" si="1008">CZ46-DA40+DA43+DA44</f>
        <v>90.199999999999974</v>
      </c>
      <c r="DB46" s="1">
        <f t="shared" ref="DB46" si="1009">DA46-DB40+DB43+DB44</f>
        <v>89.96666666666664</v>
      </c>
      <c r="DC46" s="1">
        <f t="shared" ref="DC46" si="1010">DB46-DC40+DC43+DC44</f>
        <v>89.733333333333306</v>
      </c>
      <c r="DD46" s="1">
        <f t="shared" ref="DD46" si="1011">DC46-DD40+DD43+DD44</f>
        <v>89.499999999999972</v>
      </c>
      <c r="DE46" s="1">
        <f t="shared" ref="DE46" si="1012">DD46-DE40+DE43+DE44</f>
        <v>89.266666666666637</v>
      </c>
      <c r="DF46" s="1">
        <f t="shared" ref="DF46" si="1013">DE46-DF40+DF43+DF44</f>
        <v>89.033333333333303</v>
      </c>
      <c r="DG46" s="1">
        <f t="shared" ref="DG46" si="1014">DF46-DG40+DG43+DG44</f>
        <v>88.799999999999969</v>
      </c>
      <c r="DH46" s="1">
        <f t="shared" ref="DH46" si="1015">DG46-DH40+DH43+DH44</f>
        <v>88.566666666666634</v>
      </c>
      <c r="DI46" s="1">
        <f t="shared" ref="DI46" si="1016">DH46-DI40+DI43+DI44</f>
        <v>88.3333333333333</v>
      </c>
      <c r="DJ46" s="1">
        <f t="shared" ref="DJ46" si="1017">DI46-DJ40+DJ43+DJ44</f>
        <v>88.099999999999966</v>
      </c>
      <c r="DK46" s="1">
        <f t="shared" ref="DK46" si="1018">DJ46-DK40+DK43+DK44</f>
        <v>87.866666666666632</v>
      </c>
      <c r="DL46" s="1">
        <f t="shared" ref="DL46" si="1019">DK46-DL40+DL43+DL44</f>
        <v>87.633333333333297</v>
      </c>
      <c r="DM46" s="1">
        <f t="shared" ref="DM46" si="1020">DL46-DM40+DM43+DM44</f>
        <v>87.399999999999963</v>
      </c>
      <c r="DN46" s="1">
        <f t="shared" ref="DN46" si="1021">DM46-DN40+DN43+DN44</f>
        <v>87.166666666666629</v>
      </c>
      <c r="DO46" s="1">
        <f t="shared" ref="DO46" si="1022">DN46-DO40+DO43+DO44</f>
        <v>86.933333333333294</v>
      </c>
      <c r="DP46" s="1">
        <f t="shared" ref="DP46" si="1023">DO46-DP40+DP43+DP44</f>
        <v>86.69999999999996</v>
      </c>
      <c r="DQ46" s="1">
        <f t="shared" ref="DQ46" si="1024">DP46-DQ40+DQ43+DQ44</f>
        <v>86.466666666666626</v>
      </c>
      <c r="DR46" s="1">
        <f t="shared" ref="DR46" si="1025">DQ46-DR40+DR43+DR44</f>
        <v>86.233333333333292</v>
      </c>
      <c r="DS46" s="1">
        <f t="shared" ref="DS46" si="1026">DR46-DS40+DS43+DS44</f>
        <v>85.999999999999957</v>
      </c>
      <c r="DT46" s="1">
        <f t="shared" ref="DT46" si="1027">DS46-DT40+DT43+DT44</f>
        <v>85.766666666666623</v>
      </c>
      <c r="DU46" s="1">
        <f t="shared" ref="DU46" si="1028">DT46-DU40+DU43+DU44</f>
        <v>85.533333333333289</v>
      </c>
      <c r="DV46" s="1">
        <f t="shared" ref="DV46" si="1029">DU46-DV40+DV43+DV44</f>
        <v>85.299999999999955</v>
      </c>
      <c r="DW46" s="1">
        <f t="shared" ref="DW46" si="1030">DV46-DW40+DW43+DW44</f>
        <v>85.06666666666662</v>
      </c>
    </row>
    <row r="47" spans="1:127" ht="28.8" x14ac:dyDescent="0.3">
      <c r="A47" s="96" t="str">
        <f t="shared" ref="A47:A55" si="1031">CONCATENATE(B47,F47)</f>
        <v>106029553Header</v>
      </c>
      <c r="B47" s="11">
        <v>106029553</v>
      </c>
      <c r="C47" s="11" t="s">
        <v>67</v>
      </c>
      <c r="D47" s="11">
        <f>VLOOKUP($B47,FORECAST!$D:$V,18,FALSE)</f>
        <v>1323</v>
      </c>
      <c r="E47" s="11" t="str">
        <f>VLOOKUP($B47,FORECAST!$D:$V,19,FALSE)</f>
        <v>5" ANG</v>
      </c>
      <c r="F47" s="11" t="s">
        <v>200</v>
      </c>
      <c r="G47" s="43" t="s">
        <v>151</v>
      </c>
      <c r="H47" s="43" t="s">
        <v>201</v>
      </c>
      <c r="I47" s="43" t="s">
        <v>125</v>
      </c>
      <c r="J47" s="43" t="s">
        <v>97</v>
      </c>
      <c r="K47" s="111" t="s">
        <v>202</v>
      </c>
      <c r="L47" s="111" t="s">
        <v>203</v>
      </c>
      <c r="M47" s="112"/>
      <c r="N47" s="112"/>
      <c r="O47" s="112"/>
      <c r="P47" s="112"/>
      <c r="Q47" s="112"/>
      <c r="R47" s="112"/>
      <c r="S47" s="9"/>
      <c r="T47" s="9"/>
      <c r="U47" s="9"/>
      <c r="V47" s="9"/>
      <c r="W47" s="9"/>
      <c r="X47" s="9"/>
      <c r="Y47" s="9"/>
      <c r="Z47" s="9"/>
      <c r="AA47" s="9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</row>
    <row r="48" spans="1:127" outlineLevel="1" x14ac:dyDescent="0.3">
      <c r="A48" s="96" t="str">
        <f t="shared" si="1031"/>
        <v>106029553Inventory</v>
      </c>
      <c r="B48" s="20">
        <f t="shared" ref="B48:E55" si="1032">B47</f>
        <v>106029553</v>
      </c>
      <c r="C48" s="20" t="str">
        <f t="shared" si="1032"/>
        <v>L 5X5X1/2 GGMULTI 50'00"</v>
      </c>
      <c r="D48" s="20">
        <f t="shared" si="1032"/>
        <v>1323</v>
      </c>
      <c r="E48" s="20" t="str">
        <f t="shared" si="1032"/>
        <v>5" ANG</v>
      </c>
      <c r="F48" s="11" t="s">
        <v>204</v>
      </c>
      <c r="G48" s="1">
        <f>SUM(H48:L48)</f>
        <v>232</v>
      </c>
      <c r="H48" s="36">
        <f>SUMIFS(FORECAST!$I:$I,FORECAST!$D:$D,MRP!$B48)</f>
        <v>81</v>
      </c>
      <c r="I48" s="36">
        <f>SUMIFS(FORECAST!$Q:$Q,FORECAST!$D:$D,B48)</f>
        <v>151</v>
      </c>
      <c r="J48" s="36">
        <f>SUMIFS(FORECAST!$R:$R,FORECAST!$D:$D,B48)</f>
        <v>0</v>
      </c>
      <c r="K48" s="112">
        <f>SUMIFS(FORECAST!$S:$S,FORECAST!$D:$D,B48)</f>
        <v>0</v>
      </c>
      <c r="L48" s="112">
        <f>SUMIFS(FORECAST!$T:$T,FORECAST!$D:$D,B48)</f>
        <v>0</v>
      </c>
      <c r="M48" s="112"/>
      <c r="N48" s="112"/>
      <c r="O48" s="112"/>
      <c r="P48" s="112"/>
      <c r="Q48" s="112"/>
      <c r="R48" s="112"/>
      <c r="S48" s="9"/>
      <c r="T48" s="9"/>
      <c r="U48" s="9"/>
      <c r="V48" s="9"/>
      <c r="W48" s="9"/>
      <c r="X48" s="9"/>
      <c r="Y48" s="9"/>
      <c r="Z48" s="9"/>
      <c r="AA48" s="9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</row>
    <row r="49" spans="1:127" outlineLevel="1" x14ac:dyDescent="0.3">
      <c r="A49" s="96" t="str">
        <f t="shared" si="1031"/>
        <v>106029553Shipments</v>
      </c>
      <c r="B49" s="20">
        <f t="shared" si="1032"/>
        <v>106029553</v>
      </c>
      <c r="C49" s="20" t="str">
        <f t="shared" si="1032"/>
        <v>L 5X5X1/2 GGMULTI 50'00"</v>
      </c>
      <c r="D49" s="20">
        <f t="shared" si="1032"/>
        <v>1323</v>
      </c>
      <c r="E49" s="20" t="str">
        <f t="shared" si="1032"/>
        <v>5" ANG</v>
      </c>
      <c r="F49" s="4" t="s">
        <v>205</v>
      </c>
      <c r="H49" s="19" cm="1">
        <f t="array" ref="H49">IFERROR(VLOOKUP($B49,FORECAST!$D$2:$O$25,7+H$75,FALSE)/30*7,G49)</f>
        <v>4.8999999999999995</v>
      </c>
      <c r="I49" s="19" cm="1">
        <f t="array" ref="I49">IFERROR(VLOOKUP($B49,FORECAST!$D$2:$O$25,7+I$75,FALSE)/30*7,H49)</f>
        <v>23.8</v>
      </c>
      <c r="J49" s="19" cm="1">
        <f t="array" ref="J49">IFERROR(VLOOKUP($B49,FORECAST!$D$2:$O$25,7+J$75,FALSE)/30*7,I49)</f>
        <v>23.8</v>
      </c>
      <c r="K49" s="113" cm="1">
        <f t="array" ref="K49">IFERROR(VLOOKUP($B49,FORECAST!$D$2:$O$25,7+K$75,FALSE)/30*7,J49)</f>
        <v>23.8</v>
      </c>
      <c r="L49" s="113" cm="1">
        <f t="array" ref="L49">IFERROR(VLOOKUP($B49,FORECAST!$D$2:$O$25,7+L$75,FALSE)/30*7,K49)</f>
        <v>23.8</v>
      </c>
      <c r="M49" s="113" cm="1">
        <f t="array" ref="M49">IFERROR(VLOOKUP($B49,FORECAST!$D$2:$O$25,7+M$75,FALSE)/30*7,L49)</f>
        <v>61.133333333333326</v>
      </c>
      <c r="N49" s="113" cm="1">
        <f t="array" ref="N49">IFERROR(VLOOKUP($B49,FORECAST!$D$2:$O$25,7+N$75,FALSE)/30*7,M49)</f>
        <v>61.133333333333326</v>
      </c>
      <c r="O49" s="113" cm="1">
        <f t="array" ref="O49">IFERROR(VLOOKUP($B49,FORECAST!$D$2:$O$25,7+O$75,FALSE)/30*7,N49)</f>
        <v>61.133333333333326</v>
      </c>
      <c r="P49" s="113" cm="1">
        <f t="array" ref="P49">IFERROR(VLOOKUP($B49,FORECAST!$D$2:$O$25,7+P$75,FALSE)/30*7,O49)</f>
        <v>61.133333333333326</v>
      </c>
      <c r="Q49" s="113" cm="1">
        <f t="array" ref="Q49">IFERROR(VLOOKUP($B49,FORECAST!$D$2:$O$25,7+Q$75,FALSE)/30*7,P49)</f>
        <v>61.133333333333326</v>
      </c>
      <c r="R49" s="113" cm="1">
        <f t="array" ref="R49">IFERROR(VLOOKUP($B49,FORECAST!$D$2:$O$25,7+R$75,FALSE)/30*7,Q49)</f>
        <v>19.366666666666667</v>
      </c>
      <c r="S49" s="117" cm="1">
        <f t="array" ref="S49">IFERROR(VLOOKUP($B49,FORECAST!$D$2:$O$25,7+S$75,FALSE)/30*7,R49)</f>
        <v>19.366666666666667</v>
      </c>
      <c r="T49" s="117" cm="1">
        <f t="array" ref="T49">IFERROR(VLOOKUP($B49,FORECAST!$D$2:$O$25,7+T$75,FALSE)/30*7,S49)</f>
        <v>19.366666666666667</v>
      </c>
      <c r="U49" s="117" cm="1">
        <f t="array" ref="U49">IFERROR(VLOOKUP($B49,FORECAST!$D$2:$O$25,7+U$75,FALSE)/30*7,T49)</f>
        <v>19.366666666666667</v>
      </c>
      <c r="V49" s="117" cm="1">
        <f t="array" ref="V49">IFERROR(VLOOKUP($B49,FORECAST!$D$2:$O$25,7+V$75,FALSE)/30*7,U49)</f>
        <v>0.46666666666666667</v>
      </c>
      <c r="W49" s="117" cm="1">
        <f t="array" ref="W49">IFERROR(VLOOKUP($B49,FORECAST!$D$2:$O$25,7+W$75,FALSE)/30*7,V49)</f>
        <v>0.46666666666666667</v>
      </c>
      <c r="X49" s="117" cm="1">
        <f t="array" ref="X49">IFERROR(VLOOKUP($B49,FORECAST!$D$2:$O$25,7+X$75,FALSE)/30*7,W49)</f>
        <v>0.46666666666666667</v>
      </c>
      <c r="Y49" s="117" cm="1">
        <f t="array" ref="Y49">IFERROR(VLOOKUP($B49,FORECAST!$D$2:$O$25,7+Y$75,FALSE)/30*7,X49)</f>
        <v>0.46666666666666667</v>
      </c>
      <c r="Z49" s="117" cm="1">
        <f t="array" ref="Z49">IFERROR(VLOOKUP($B49,FORECAST!$D$2:$O$25,7+Z$75,FALSE)/30*7,Y49)</f>
        <v>0.46666666666666667</v>
      </c>
      <c r="AA49" s="117" cm="1">
        <f t="array" ref="AA49">IFERROR(VLOOKUP($B49,FORECAST!$D$2:$O$25,7+AA$75,FALSE)/30*7,Z49)</f>
        <v>1.1666666666666665</v>
      </c>
      <c r="AB49" s="19" cm="1">
        <f t="array" ref="AB49">IFERROR(VLOOKUP($B49,FORECAST!$D$2:$O$25,7+AB$75,FALSE)/30*7,AA49)</f>
        <v>1.1666666666666665</v>
      </c>
      <c r="AC49" s="19" cm="1">
        <f t="array" ref="AC49">IFERROR(VLOOKUP($B49,FORECAST!$D$2:$O$25,7+AC$75,FALSE)/30*7,AB49)</f>
        <v>1.1666666666666665</v>
      </c>
      <c r="AD49" s="19" cm="1">
        <f t="array" ref="AD49">IFERROR(VLOOKUP($B49,FORECAST!$D$2:$O$25,7+AD$75,FALSE)/30*7,AC49)</f>
        <v>1.1666666666666665</v>
      </c>
      <c r="AE49" s="19" cm="1">
        <f t="array" ref="AE49">IFERROR(VLOOKUP($B49,FORECAST!$D$2:$O$25,7+AE$75,FALSE)/30*7,AD49)</f>
        <v>1.1666666666666665</v>
      </c>
      <c r="AF49" s="19" cm="1">
        <f t="array" ref="AF49">IFERROR(VLOOKUP($B49,FORECAST!$D$2:$O$25,7+AF$75,FALSE)/30*7,AE49)</f>
        <v>1.1666666666666665</v>
      </c>
      <c r="AG49" s="19" cm="1">
        <f t="array" ref="AG49">IFERROR(VLOOKUP($B49,FORECAST!$D$2:$O$25,7+AG$75,FALSE)/30*7,AF49)</f>
        <v>1.1666666666666665</v>
      </c>
      <c r="AH49" s="19" cm="1">
        <f t="array" ref="AH49">IFERROR(VLOOKUP($B49,FORECAST!$D$2:$O$25,7+AH$75,FALSE)/30*7,AG49)</f>
        <v>1.1666666666666665</v>
      </c>
      <c r="AI49" s="19" cm="1">
        <f t="array" ref="AI49">IFERROR(VLOOKUP($B49,FORECAST!$D$2:$O$25,7+AI$75,FALSE)/30*7,AH49)</f>
        <v>1.1666666666666665</v>
      </c>
      <c r="AJ49" s="19" cm="1">
        <f t="array" ref="AJ49">IFERROR(VLOOKUP($B49,FORECAST!$D$2:$O$25,7+AJ$75,FALSE)/30*7,AI49)</f>
        <v>1.1666666666666665</v>
      </c>
      <c r="AK49" s="19" cm="1">
        <f t="array" ref="AK49">IFERROR(VLOOKUP($B49,FORECAST!$D$2:$O$25,7+AK$75,FALSE)/30*7,AJ49)</f>
        <v>1.1666666666666665</v>
      </c>
      <c r="AL49" s="19" cm="1">
        <f t="array" ref="AL49">IFERROR(VLOOKUP($B49,FORECAST!$D$2:$O$25,7+AL$75,FALSE)/30*7,AK49)</f>
        <v>1.1666666666666665</v>
      </c>
      <c r="AM49" s="19" cm="1">
        <f t="array" ref="AM49">IFERROR(VLOOKUP($B49,FORECAST!$D$2:$O$25,7+AM$75,FALSE)/30*7,AL49)</f>
        <v>1.1666666666666665</v>
      </c>
      <c r="AN49" s="19" cm="1">
        <f t="array" ref="AN49">IFERROR(VLOOKUP($B49,FORECAST!$D$2:$O$25,7+AN$75,FALSE)/30*7,AM49)</f>
        <v>1.1666666666666665</v>
      </c>
      <c r="AO49" s="19" cm="1">
        <f t="array" ref="AO49">IFERROR(VLOOKUP($B49,FORECAST!$D$2:$O$25,7+AO$75,FALSE)/30*7,AN49)</f>
        <v>1.1666666666666665</v>
      </c>
      <c r="AP49" s="19" cm="1">
        <f t="array" ref="AP49">IFERROR(VLOOKUP($B49,FORECAST!$D$2:$O$25,7+AP$75,FALSE)/30*7,AO49)</f>
        <v>1.1666666666666665</v>
      </c>
      <c r="AQ49" s="19" cm="1">
        <f t="array" ref="AQ49">IFERROR(VLOOKUP($B49,FORECAST!$D$2:$O$25,7+AQ$75,FALSE)/30*7,AP49)</f>
        <v>1.1666666666666665</v>
      </c>
      <c r="AR49" s="19" cm="1">
        <f t="array" ref="AR49">IFERROR(VLOOKUP($B49,FORECAST!$D$2:$O$25,7+AR$75,FALSE)/30*7,AQ49)</f>
        <v>1.1666666666666665</v>
      </c>
      <c r="AS49" s="19" cm="1">
        <f t="array" ref="AS49">IFERROR(VLOOKUP($B49,FORECAST!$D$2:$O$25,7+AS$75,FALSE)/30*7,AR49)</f>
        <v>1.1666666666666665</v>
      </c>
      <c r="AT49" s="19" cm="1">
        <f t="array" ref="AT49">IFERROR(VLOOKUP($B49,FORECAST!$D$2:$O$25,7+AT$75,FALSE)/30*7,AS49)</f>
        <v>1.1666666666666665</v>
      </c>
      <c r="AU49" s="19" cm="1">
        <f t="array" ref="AU49">IFERROR(VLOOKUP($B49,FORECAST!$D$2:$O$25,7+AU$75,FALSE)/30*7,AT49)</f>
        <v>1.1666666666666665</v>
      </c>
      <c r="AV49" s="19" cm="1">
        <f t="array" ref="AV49">IFERROR(VLOOKUP($B49,FORECAST!$D$2:$O$25,7+AV$75,FALSE)/30*7,AU49)</f>
        <v>1.1666666666666665</v>
      </c>
      <c r="AW49" s="19" cm="1">
        <f t="array" ref="AW49">IFERROR(VLOOKUP($B49,FORECAST!$D$2:$O$25,7+AW$75,FALSE)/30*7,AV49)</f>
        <v>1.1666666666666665</v>
      </c>
      <c r="AX49" s="19" cm="1">
        <f t="array" ref="AX49">IFERROR(VLOOKUP($B49,FORECAST!$D$2:$O$25,7+AX$75,FALSE)/30*7,AW49)</f>
        <v>1.1666666666666665</v>
      </c>
      <c r="AY49" s="19" cm="1">
        <f t="array" ref="AY49">IFERROR(VLOOKUP($B49,FORECAST!$D$2:$O$25,7+AY$75,FALSE)/30*7,AX49)</f>
        <v>1.1666666666666665</v>
      </c>
      <c r="AZ49" s="19" cm="1">
        <f t="array" ref="AZ49">IFERROR(VLOOKUP($B49,FORECAST!$D$2:$O$25,7+AZ$75,FALSE)/30*7,AY49)</f>
        <v>1.1666666666666665</v>
      </c>
      <c r="BA49" s="19" cm="1">
        <f t="array" ref="BA49">IFERROR(VLOOKUP($B49,FORECAST!$D$2:$O$25,7+BA$75,FALSE)/30*7,AZ49)</f>
        <v>1.1666666666666665</v>
      </c>
      <c r="BB49" s="19" cm="1">
        <f t="array" ref="BB49">IFERROR(VLOOKUP($B49,FORECAST!$D$2:$O$25,7+BB$75,FALSE)/30*7,BA49)</f>
        <v>1.1666666666666665</v>
      </c>
      <c r="BC49" s="19" cm="1">
        <f t="array" ref="BC49">IFERROR(VLOOKUP($B49,FORECAST!$D$2:$O$25,7+BC$75,FALSE)/30*7,BB49)</f>
        <v>1.1666666666666665</v>
      </c>
      <c r="BD49" s="19" cm="1">
        <f t="array" ref="BD49">IFERROR(VLOOKUP($B49,FORECAST!$D$2:$O$25,7+BD$75,FALSE)/30*7,BC49)</f>
        <v>1.1666666666666665</v>
      </c>
      <c r="BE49" s="19" cm="1">
        <f t="array" ref="BE49">IFERROR(VLOOKUP($B49,FORECAST!$D$2:$O$25,7+BE$75,FALSE)/30*7,BD49)</f>
        <v>1.1666666666666665</v>
      </c>
      <c r="BF49" s="19" cm="1">
        <f t="array" ref="BF49">IFERROR(VLOOKUP($B49,FORECAST!$D$2:$O$25,7+BF$75,FALSE)/30*7,BE49)</f>
        <v>1.1666666666666665</v>
      </c>
      <c r="BG49" s="19" cm="1">
        <f t="array" ref="BG49">IFERROR(VLOOKUP($B49,FORECAST!$D$2:$O$25,7+BG$75,FALSE)/30*7,BF49)</f>
        <v>1.1666666666666665</v>
      </c>
      <c r="BH49" s="19" cm="1">
        <f t="array" ref="BH49">IFERROR(VLOOKUP($B49,FORECAST!$D$2:$O$25,7+BH$75,FALSE)/30*7,BG49)</f>
        <v>1.1666666666666665</v>
      </c>
      <c r="BI49" s="19" cm="1">
        <f t="array" ref="BI49">IFERROR(VLOOKUP($B49,FORECAST!$D$2:$O$25,7+BI$75,FALSE)/30*7,BH49)</f>
        <v>1.1666666666666665</v>
      </c>
      <c r="BJ49" s="19" cm="1">
        <f t="array" ref="BJ49">IFERROR(VLOOKUP($B49,FORECAST!$D$2:$O$25,7+BJ$75,FALSE)/30*7,BI49)</f>
        <v>1.1666666666666665</v>
      </c>
      <c r="BK49" s="19" cm="1">
        <f t="array" ref="BK49">IFERROR(VLOOKUP($B49,FORECAST!$D$2:$O$25,7+BK$75,FALSE)/30*7,BJ49)</f>
        <v>1.1666666666666665</v>
      </c>
      <c r="BL49" s="19" cm="1">
        <f t="array" ref="BL49">IFERROR(VLOOKUP($B49,FORECAST!$D$2:$O$25,7+BL$75,FALSE)/30*7,BK49)</f>
        <v>1.1666666666666665</v>
      </c>
      <c r="BM49" s="19" cm="1">
        <f t="array" ref="BM49">IFERROR(VLOOKUP($B49,FORECAST!$D$2:$O$25,7+BM$75,FALSE)/30*7,BL49)</f>
        <v>1.1666666666666665</v>
      </c>
      <c r="BN49" s="19" cm="1">
        <f t="array" ref="BN49">IFERROR(VLOOKUP($B49,FORECAST!$D$2:$O$25,7+BN$75,FALSE)/30*7,BM49)</f>
        <v>1.1666666666666665</v>
      </c>
      <c r="BO49" s="19" cm="1">
        <f t="array" ref="BO49">IFERROR(VLOOKUP($B49,FORECAST!$D$2:$O$25,7+BO$75,FALSE)/30*7,BN49)</f>
        <v>1.1666666666666665</v>
      </c>
      <c r="BP49" s="19" cm="1">
        <f t="array" ref="BP49">IFERROR(VLOOKUP($B49,FORECAST!$D$2:$O$25,7+BP$75,FALSE)/30*7,BO49)</f>
        <v>1.1666666666666665</v>
      </c>
      <c r="BQ49" s="19" cm="1">
        <f t="array" ref="BQ49">IFERROR(VLOOKUP($B49,FORECAST!$D$2:$O$25,7+BQ$75,FALSE)/30*7,BP49)</f>
        <v>1.1666666666666665</v>
      </c>
      <c r="BR49" s="19" cm="1">
        <f t="array" ref="BR49">IFERROR(VLOOKUP($B49,FORECAST!$D$2:$O$25,7+BR$75,FALSE)/30*7,BQ49)</f>
        <v>1.1666666666666665</v>
      </c>
      <c r="BS49" s="19" cm="1">
        <f t="array" ref="BS49">IFERROR(VLOOKUP($B49,FORECAST!$D$2:$O$25,7+BS$75,FALSE)/30*7,BR49)</f>
        <v>1.1666666666666665</v>
      </c>
      <c r="BT49" s="19" cm="1">
        <f t="array" ref="BT49">IFERROR(VLOOKUP($B49,FORECAST!$D$2:$O$25,7+BT$75,FALSE)/30*7,BS49)</f>
        <v>1.1666666666666665</v>
      </c>
      <c r="BU49" s="19" cm="1">
        <f t="array" ref="BU49">IFERROR(VLOOKUP($B49,FORECAST!$D$2:$O$25,7+BU$75,FALSE)/30*7,BT49)</f>
        <v>1.1666666666666665</v>
      </c>
      <c r="BV49" s="19" cm="1">
        <f t="array" ref="BV49">IFERROR(VLOOKUP($B49,FORECAST!$D$2:$O$25,7+BV$75,FALSE)/30*7,BU49)</f>
        <v>1.1666666666666665</v>
      </c>
      <c r="BW49" s="19" cm="1">
        <f t="array" ref="BW49">IFERROR(VLOOKUP($B49,FORECAST!$D$2:$O$25,7+BW$75,FALSE)/30*7,BV49)</f>
        <v>1.1666666666666665</v>
      </c>
      <c r="BX49" s="19" cm="1">
        <f t="array" ref="BX49">IFERROR(VLOOKUP($B49,FORECAST!$D$2:$O$25,7+BX$75,FALSE)/30*7,BW49)</f>
        <v>1.1666666666666665</v>
      </c>
      <c r="BY49" s="19" cm="1">
        <f t="array" ref="BY49">IFERROR(VLOOKUP($B49,FORECAST!$D$2:$O$25,7+BY$75,FALSE)/30*7,BX49)</f>
        <v>1.1666666666666665</v>
      </c>
      <c r="BZ49" s="19" cm="1">
        <f t="array" ref="BZ49">IFERROR(VLOOKUP($B49,FORECAST!$D$2:$O$25,7+BZ$75,FALSE)/30*7,BY49)</f>
        <v>1.1666666666666665</v>
      </c>
      <c r="CA49" s="19" cm="1">
        <f t="array" ref="CA49">IFERROR(VLOOKUP($B49,FORECAST!$D$2:$O$25,7+CA$75,FALSE)/30*7,BZ49)</f>
        <v>1.1666666666666665</v>
      </c>
      <c r="CB49" s="19" cm="1">
        <f t="array" ref="CB49">IFERROR(VLOOKUP($B49,FORECAST!$D$2:$O$25,7+CB$75,FALSE)/30*7,CA49)</f>
        <v>1.1666666666666665</v>
      </c>
      <c r="CC49" s="19" cm="1">
        <f t="array" ref="CC49">IFERROR(VLOOKUP($B49,FORECAST!$D$2:$O$25,7+CC$75,FALSE)/30*7,CB49)</f>
        <v>1.1666666666666665</v>
      </c>
      <c r="CD49" s="19" cm="1">
        <f t="array" ref="CD49">IFERROR(VLOOKUP($B49,FORECAST!$D$2:$O$25,7+CD$75,FALSE)/30*7,CC49)</f>
        <v>1.1666666666666665</v>
      </c>
      <c r="CE49" s="19" cm="1">
        <f t="array" ref="CE49">IFERROR(VLOOKUP($B49,FORECAST!$D$2:$O$25,7+CE$75,FALSE)/30*7,CD49)</f>
        <v>1.1666666666666665</v>
      </c>
      <c r="CF49" s="19" cm="1">
        <f t="array" ref="CF49">IFERROR(VLOOKUP($B49,FORECAST!$D$2:$O$25,7+CF$75,FALSE)/30*7,CE49)</f>
        <v>1.1666666666666665</v>
      </c>
      <c r="CG49" s="19" cm="1">
        <f t="array" ref="CG49">IFERROR(VLOOKUP($B49,FORECAST!$D$2:$O$25,7+CG$75,FALSE)/30*7,CF49)</f>
        <v>1.1666666666666665</v>
      </c>
      <c r="CH49" s="19" cm="1">
        <f t="array" ref="CH49">IFERROR(VLOOKUP($B49,FORECAST!$D$2:$O$25,7+CH$75,FALSE)/30*7,CG49)</f>
        <v>1.1666666666666665</v>
      </c>
      <c r="CI49" s="19" cm="1">
        <f t="array" ref="CI49">IFERROR(VLOOKUP($B49,FORECAST!$D$2:$O$25,7+CI$75,FALSE)/30*7,CH49)</f>
        <v>1.1666666666666665</v>
      </c>
      <c r="CJ49" s="19" cm="1">
        <f t="array" ref="CJ49">IFERROR(VLOOKUP($B49,FORECAST!$D$2:$O$25,7+CJ$75,FALSE)/30*7,CI49)</f>
        <v>1.1666666666666665</v>
      </c>
      <c r="CK49" s="19" cm="1">
        <f t="array" ref="CK49">IFERROR(VLOOKUP($B49,FORECAST!$D$2:$O$25,7+CK$75,FALSE)/30*7,CJ49)</f>
        <v>1.1666666666666665</v>
      </c>
      <c r="CL49" s="19" cm="1">
        <f t="array" ref="CL49">IFERROR(VLOOKUP($B49,FORECAST!$D$2:$O$25,7+CL$75,FALSE)/30*7,CK49)</f>
        <v>1.1666666666666665</v>
      </c>
      <c r="CM49" s="19" cm="1">
        <f t="array" ref="CM49">IFERROR(VLOOKUP($B49,FORECAST!$D$2:$O$25,7+CM$75,FALSE)/30*7,CL49)</f>
        <v>1.1666666666666665</v>
      </c>
      <c r="CN49" s="19" cm="1">
        <f t="array" ref="CN49">IFERROR(VLOOKUP($B49,FORECAST!$D$2:$O$25,7+CN$75,FALSE)/30*7,CM49)</f>
        <v>1.1666666666666665</v>
      </c>
      <c r="CO49" s="19" cm="1">
        <f t="array" ref="CO49">IFERROR(VLOOKUP($B49,FORECAST!$D$2:$O$25,7+CO$75,FALSE)/30*7,CN49)</f>
        <v>1.1666666666666665</v>
      </c>
      <c r="CP49" s="19" cm="1">
        <f t="array" ref="CP49">IFERROR(VLOOKUP($B49,FORECAST!$D$2:$O$25,7+CP$75,FALSE)/30*7,CO49)</f>
        <v>1.1666666666666665</v>
      </c>
      <c r="CQ49" s="19" cm="1">
        <f t="array" ref="CQ49">IFERROR(VLOOKUP($B49,FORECAST!$D$2:$O$25,7+CQ$75,FALSE)/30*7,CP49)</f>
        <v>1.1666666666666665</v>
      </c>
      <c r="CR49" s="19" cm="1">
        <f t="array" ref="CR49">IFERROR(VLOOKUP($B49,FORECAST!$D$2:$O$25,7+CR$75,FALSE)/30*7,CQ49)</f>
        <v>1.1666666666666665</v>
      </c>
      <c r="CS49" s="19" cm="1">
        <f t="array" ref="CS49">IFERROR(VLOOKUP($B49,FORECAST!$D$2:$O$25,7+CS$75,FALSE)/30*7,CR49)</f>
        <v>1.1666666666666665</v>
      </c>
      <c r="CT49" s="19" cm="1">
        <f t="array" ref="CT49">IFERROR(VLOOKUP($B49,FORECAST!$D$2:$O$25,7+CT$75,FALSE)/30*7,CS49)</f>
        <v>1.1666666666666665</v>
      </c>
      <c r="CU49" s="19" cm="1">
        <f t="array" ref="CU49">IFERROR(VLOOKUP($B49,FORECAST!$D$2:$O$25,7+CU$75,FALSE)/30*7,CT49)</f>
        <v>1.1666666666666665</v>
      </c>
      <c r="CV49" s="19" cm="1">
        <f t="array" ref="CV49">IFERROR(VLOOKUP($B49,FORECAST!$D$2:$O$25,7+CV$75,FALSE)/30*7,CU49)</f>
        <v>1.1666666666666665</v>
      </c>
      <c r="CW49" s="19" cm="1">
        <f t="array" ref="CW49">IFERROR(VLOOKUP($B49,FORECAST!$D$2:$O$25,7+CW$75,FALSE)/30*7,CV49)</f>
        <v>1.1666666666666665</v>
      </c>
      <c r="CX49" s="19" cm="1">
        <f t="array" ref="CX49">IFERROR(VLOOKUP($B49,FORECAST!$D$2:$O$25,7+CX$75,FALSE)/30*7,CW49)</f>
        <v>1.1666666666666665</v>
      </c>
      <c r="CY49" s="19" cm="1">
        <f t="array" ref="CY49">IFERROR(VLOOKUP($B49,FORECAST!$D$2:$O$25,7+CY$75,FALSE)/30*7,CX49)</f>
        <v>1.1666666666666665</v>
      </c>
      <c r="CZ49" s="19" cm="1">
        <f t="array" ref="CZ49">IFERROR(VLOOKUP($B49,FORECAST!$D$2:$O$25,7+CZ$75,FALSE)/30*7,CY49)</f>
        <v>1.1666666666666665</v>
      </c>
      <c r="DA49" s="19" cm="1">
        <f t="array" ref="DA49">IFERROR(VLOOKUP($B49,FORECAST!$D$2:$O$25,7+DA$75,FALSE)/30*7,CZ49)</f>
        <v>1.1666666666666665</v>
      </c>
      <c r="DB49" s="19" cm="1">
        <f t="array" ref="DB49">IFERROR(VLOOKUP($B49,FORECAST!$D$2:$O$25,7+DB$75,FALSE)/30*7,DA49)</f>
        <v>1.1666666666666665</v>
      </c>
      <c r="DC49" s="19" cm="1">
        <f t="array" ref="DC49">IFERROR(VLOOKUP($B49,FORECAST!$D$2:$O$25,7+DC$75,FALSE)/30*7,DB49)</f>
        <v>1.1666666666666665</v>
      </c>
      <c r="DD49" s="19" cm="1">
        <f t="array" ref="DD49">IFERROR(VLOOKUP($B49,FORECAST!$D$2:$O$25,7+DD$75,FALSE)/30*7,DC49)</f>
        <v>1.1666666666666665</v>
      </c>
      <c r="DE49" s="19" cm="1">
        <f t="array" ref="DE49">IFERROR(VLOOKUP($B49,FORECAST!$D$2:$O$25,7+DE$75,FALSE)/30*7,DD49)</f>
        <v>1.1666666666666665</v>
      </c>
      <c r="DF49" s="19" cm="1">
        <f t="array" ref="DF49">IFERROR(VLOOKUP($B49,FORECAST!$D$2:$O$25,7+DF$75,FALSE)/30*7,DE49)</f>
        <v>1.1666666666666665</v>
      </c>
      <c r="DG49" s="19" cm="1">
        <f t="array" ref="DG49">IFERROR(VLOOKUP($B49,FORECAST!$D$2:$O$25,7+DG$75,FALSE)/30*7,DF49)</f>
        <v>1.1666666666666665</v>
      </c>
      <c r="DH49" s="19" cm="1">
        <f t="array" ref="DH49">IFERROR(VLOOKUP($B49,FORECAST!$D$2:$O$25,7+DH$75,FALSE)/30*7,DG49)</f>
        <v>1.1666666666666665</v>
      </c>
      <c r="DI49" s="19" cm="1">
        <f t="array" ref="DI49">IFERROR(VLOOKUP($B49,FORECAST!$D$2:$O$25,7+DI$75,FALSE)/30*7,DH49)</f>
        <v>1.1666666666666665</v>
      </c>
      <c r="DJ49" s="19" cm="1">
        <f t="array" ref="DJ49">IFERROR(VLOOKUP($B49,FORECAST!$D$2:$O$25,7+DJ$75,FALSE)/30*7,DI49)</f>
        <v>1.1666666666666665</v>
      </c>
      <c r="DK49" s="19" cm="1">
        <f t="array" ref="DK49">IFERROR(VLOOKUP($B49,FORECAST!$D$2:$O$25,7+DK$75,FALSE)/30*7,DJ49)</f>
        <v>1.1666666666666665</v>
      </c>
      <c r="DL49" s="19" cm="1">
        <f t="array" ref="DL49">IFERROR(VLOOKUP($B49,FORECAST!$D$2:$O$25,7+DL$75,FALSE)/30*7,DK49)</f>
        <v>1.1666666666666665</v>
      </c>
      <c r="DM49" s="19" cm="1">
        <f t="array" ref="DM49">IFERROR(VLOOKUP($B49,FORECAST!$D$2:$O$25,7+DM$75,FALSE)/30*7,DL49)</f>
        <v>1.1666666666666665</v>
      </c>
      <c r="DN49" s="19" cm="1">
        <f t="array" ref="DN49">IFERROR(VLOOKUP($B49,FORECAST!$D$2:$O$25,7+DN$75,FALSE)/30*7,DM49)</f>
        <v>1.1666666666666665</v>
      </c>
      <c r="DO49" s="19" cm="1">
        <f t="array" ref="DO49">IFERROR(VLOOKUP($B49,FORECAST!$D$2:$O$25,7+DO$75,FALSE)/30*7,DN49)</f>
        <v>1.1666666666666665</v>
      </c>
      <c r="DP49" s="19" cm="1">
        <f t="array" ref="DP49">IFERROR(VLOOKUP($B49,FORECAST!$D$2:$O$25,7+DP$75,FALSE)/30*7,DO49)</f>
        <v>1.1666666666666665</v>
      </c>
      <c r="DQ49" s="19" cm="1">
        <f t="array" ref="DQ49">IFERROR(VLOOKUP($B49,FORECAST!$D$2:$O$25,7+DQ$75,FALSE)/30*7,DP49)</f>
        <v>1.1666666666666665</v>
      </c>
      <c r="DR49" s="19" cm="1">
        <f t="array" ref="DR49">IFERROR(VLOOKUP($B49,FORECAST!$D$2:$O$25,7+DR$75,FALSE)/30*7,DQ49)</f>
        <v>1.1666666666666665</v>
      </c>
      <c r="DS49" s="19" cm="1">
        <f t="array" ref="DS49">IFERROR(VLOOKUP($B49,FORECAST!$D$2:$O$25,7+DS$75,FALSE)/30*7,DR49)</f>
        <v>1.1666666666666665</v>
      </c>
      <c r="DT49" s="19" cm="1">
        <f t="array" ref="DT49">IFERROR(VLOOKUP($B49,FORECAST!$D$2:$O$25,7+DT$75,FALSE)/30*7,DS49)</f>
        <v>1.1666666666666665</v>
      </c>
      <c r="DU49" s="19" cm="1">
        <f t="array" ref="DU49">IFERROR(VLOOKUP($B49,FORECAST!$D$2:$O$25,7+DU$75,FALSE)/30*7,DT49)</f>
        <v>1.1666666666666665</v>
      </c>
      <c r="DV49" s="19" cm="1">
        <f t="array" ref="DV49">IFERROR(VLOOKUP($B49,FORECAST!$D$2:$O$25,7+DV$75,FALSE)/30*7,DU49)</f>
        <v>1.1666666666666665</v>
      </c>
      <c r="DW49" s="19" cm="1">
        <f t="array" ref="DW49">IFERROR(VLOOKUP($B49,FORECAST!$D$2:$O$25,7+DW$75,FALSE)/30*7,DV49)</f>
        <v>1.1666666666666665</v>
      </c>
    </row>
    <row r="50" spans="1:127" outlineLevel="1" x14ac:dyDescent="0.3">
      <c r="A50" s="96" t="str">
        <f t="shared" si="1031"/>
        <v>106029553Production Week</v>
      </c>
      <c r="B50" s="20">
        <f t="shared" si="1032"/>
        <v>106029553</v>
      </c>
      <c r="C50" s="20" t="str">
        <f t="shared" si="1032"/>
        <v>L 5X5X1/2 GGMULTI 50'00"</v>
      </c>
      <c r="D50" s="20">
        <f t="shared" si="1032"/>
        <v>1323</v>
      </c>
      <c r="E50" s="20" t="str">
        <f t="shared" si="1032"/>
        <v>5" ANG</v>
      </c>
      <c r="F50" s="4" t="s">
        <v>206</v>
      </c>
      <c r="H50" s="1" t="str">
        <f>IF(IFERROR(VLOOKUP(CONCATENATE($D50,$E50,H$1),'ROLLING SCHED'!$A:$A,1,FALSE),"x")&lt;&gt;"x","x",IF(IFERROR(VLOOKUP(CONCATENATE($D50,$E50,H$1+7),'ROLLING SCHED'!$A:$A,1,FALSE),"y")&lt;&gt;"y","y",""))</f>
        <v/>
      </c>
      <c r="I50" s="1" t="str">
        <f>IF(IFERROR(VLOOKUP(CONCATENATE($D50,$E50,I$1),'ROLLING SCHED'!$A:$A,1,FALSE),"x")&lt;&gt;"x","x",IF(IFERROR(VLOOKUP(CONCATENATE($D50,$E50,I$1+7),'ROLLING SCHED'!$A:$A,1,FALSE),"y")&lt;&gt;"y","y",""))</f>
        <v/>
      </c>
      <c r="J50" s="1" t="str">
        <f>IF(IFERROR(VLOOKUP(CONCATENATE($D50,$E50,J$1),'ROLLING SCHED'!$A:$A,1,FALSE),"x")&lt;&gt;"x","x",IF(IFERROR(VLOOKUP(CONCATENATE($D50,$E50,J$1+7),'ROLLING SCHED'!$A:$A,1,FALSE),"y")&lt;&gt;"y","y",""))</f>
        <v/>
      </c>
      <c r="K50" s="112" t="str">
        <f>IF(IFERROR(VLOOKUP(CONCATENATE($D50,$E50,K$1),'ROLLING SCHED'!$A:$A,1,FALSE),"x")&lt;&gt;"x","x",IF(IFERROR(VLOOKUP(CONCATENATE($D50,$E50,K$1+7),'ROLLING SCHED'!$A:$A,1,FALSE),"y")&lt;&gt;"y","y",""))</f>
        <v/>
      </c>
      <c r="L50" s="112" t="str">
        <f>IF(IFERROR(VLOOKUP(CONCATENATE($D50,$E50,L$1),'ROLLING SCHED'!$A:$A,1,FALSE),"x")&lt;&gt;"x","x",IF(IFERROR(VLOOKUP(CONCATENATE($D50,$E50,L$1+7),'ROLLING SCHED'!$A:$A,1,FALSE),"y")&lt;&gt;"y","y",""))</f>
        <v/>
      </c>
      <c r="M50" s="112" t="str">
        <f>IF(IFERROR(VLOOKUP(CONCATENATE($D50,$E50,M$1),'ROLLING SCHED'!$A:$A,1,FALSE),"x")&lt;&gt;"x","x",IF(IFERROR(VLOOKUP(CONCATENATE($D50,$E50,M$1+7),'ROLLING SCHED'!$A:$A,1,FALSE),"y")&lt;&gt;"y","y",""))</f>
        <v/>
      </c>
      <c r="N50" s="112" t="str">
        <f>IF(IFERROR(VLOOKUP(CONCATENATE($D50,$E50,N$1),'ROLLING SCHED'!$A:$A,1,FALSE),"x")&lt;&gt;"x","x",IF(IFERROR(VLOOKUP(CONCATENATE($D50,$E50,N$1+7),'ROLLING SCHED'!$A:$A,1,FALSE),"y")&lt;&gt;"y","y",""))</f>
        <v/>
      </c>
      <c r="O50" s="112" t="str">
        <f>IF(IFERROR(VLOOKUP(CONCATENATE($D50,$E50,O$1),'ROLLING SCHED'!$A:$A,1,FALSE),"x")&lt;&gt;"x","x",IF(IFERROR(VLOOKUP(CONCATENATE($D50,$E50,O$1+7),'ROLLING SCHED'!$A:$A,1,FALSE),"y")&lt;&gt;"y","y",""))</f>
        <v>y</v>
      </c>
      <c r="P50" s="112" t="str">
        <f>IF(IFERROR(VLOOKUP(CONCATENATE($D50,$E50,P$1),'ROLLING SCHED'!$A:$A,1,FALSE),"x")&lt;&gt;"x","x",IF(IFERROR(VLOOKUP(CONCATENATE($D50,$E50,P$1+7),'ROLLING SCHED'!$A:$A,1,FALSE),"y")&lt;&gt;"y","y",""))</f>
        <v>x</v>
      </c>
      <c r="Q50" s="112" t="str">
        <f>IF(IFERROR(VLOOKUP(CONCATENATE($D50,$E50,Q$1),'ROLLING SCHED'!$A:$A,1,FALSE),"x")&lt;&gt;"x","x",IF(IFERROR(VLOOKUP(CONCATENATE($D50,$E50,Q$1+7),'ROLLING SCHED'!$A:$A,1,FALSE),"y")&lt;&gt;"y","y",""))</f>
        <v/>
      </c>
      <c r="R50" s="112" t="str">
        <f>IF(IFERROR(VLOOKUP(CONCATENATE($D50,$E50,R$1),'ROLLING SCHED'!$A:$A,1,FALSE),"x")&lt;&gt;"x","x",IF(IFERROR(VLOOKUP(CONCATENATE($D50,$E50,R$1+7),'ROLLING SCHED'!$A:$A,1,FALSE),"y")&lt;&gt;"y","y",""))</f>
        <v/>
      </c>
      <c r="S50" s="9" t="str">
        <f>IF(IFERROR(VLOOKUP(CONCATENATE($D50,$E50,S$1),'ROLLING SCHED'!$A:$A,1,FALSE),"x")&lt;&gt;"x","x",IF(IFERROR(VLOOKUP(CONCATENATE($D50,$E50,S$1+7),'ROLLING SCHED'!$A:$A,1,FALSE),"y")&lt;&gt;"y","y",""))</f>
        <v/>
      </c>
      <c r="T50" s="9" t="str">
        <f>IF(IFERROR(VLOOKUP(CONCATENATE($D50,$E50,T$1),'ROLLING SCHED'!$A:$A,1,FALSE),"x")&lt;&gt;"x","x",IF(IFERROR(VLOOKUP(CONCATENATE($D50,$E50,T$1+7),'ROLLING SCHED'!$A:$A,1,FALSE),"y")&lt;&gt;"y","y",""))</f>
        <v/>
      </c>
      <c r="U50" s="9" t="str">
        <f>IF(IFERROR(VLOOKUP(CONCATENATE($D50,$E50,U$1),'ROLLING SCHED'!$A:$A,1,FALSE),"x")&lt;&gt;"x","x",IF(IFERROR(VLOOKUP(CONCATENATE($D50,$E50,U$1+7),'ROLLING SCHED'!$A:$A,1,FALSE),"y")&lt;&gt;"y","y",""))</f>
        <v/>
      </c>
      <c r="V50" s="9" t="str">
        <f>IF(IFERROR(VLOOKUP(CONCATENATE($D50,$E50,V$1),'ROLLING SCHED'!$A:$A,1,FALSE),"x")&lt;&gt;"x","x",IF(IFERROR(VLOOKUP(CONCATENATE($D50,$E50,V$1+7),'ROLLING SCHED'!$A:$A,1,FALSE),"y")&lt;&gt;"y","y",""))</f>
        <v/>
      </c>
      <c r="W50" s="9" t="str">
        <f>IF(IFERROR(VLOOKUP(CONCATENATE($D50,$E50,W$1),'ROLLING SCHED'!$A:$A,1,FALSE),"x")&lt;&gt;"x","x",IF(IFERROR(VLOOKUP(CONCATENATE($D50,$E50,W$1+7),'ROLLING SCHED'!$A:$A,1,FALSE),"y")&lt;&gt;"y","y",""))</f>
        <v/>
      </c>
      <c r="X50" s="9" t="str">
        <f>IF(IFERROR(VLOOKUP(CONCATENATE($D50,$E50,X$1),'ROLLING SCHED'!$A:$A,1,FALSE),"x")&lt;&gt;"x","x",IF(IFERROR(VLOOKUP(CONCATENATE($D50,$E50,X$1+7),'ROLLING SCHED'!$A:$A,1,FALSE),"y")&lt;&gt;"y","y",""))</f>
        <v>y</v>
      </c>
      <c r="Y50" s="9" t="str">
        <f>IF(IFERROR(VLOOKUP(CONCATENATE($D50,$E50,Y$1),'ROLLING SCHED'!$A:$A,1,FALSE),"x")&lt;&gt;"x","x",IF(IFERROR(VLOOKUP(CONCATENATE($D50,$E50,Y$1+7),'ROLLING SCHED'!$A:$A,1,FALSE),"y")&lt;&gt;"y","y",""))</f>
        <v>x</v>
      </c>
      <c r="Z50" s="9" t="str">
        <f>IF(IFERROR(VLOOKUP(CONCATENATE($D50,$E50,Z$1),'ROLLING SCHED'!$A:$A,1,FALSE),"x")&lt;&gt;"x","x",IF(IFERROR(VLOOKUP(CONCATENATE($D50,$E50,Z$1+7),'ROLLING SCHED'!$A:$A,1,FALSE),"y")&lt;&gt;"y","y",""))</f>
        <v/>
      </c>
      <c r="AA50" s="9" t="str">
        <f>IF(IFERROR(VLOOKUP(CONCATENATE($D50,$E50,AA$1),'ROLLING SCHED'!$A:$A,1,FALSE),"x")&lt;&gt;"x","x",IF(IFERROR(VLOOKUP(CONCATENATE($D50,$E50,AA$1+7),'ROLLING SCHED'!$A:$A,1,FALSE),"y")&lt;&gt;"y","y",""))</f>
        <v/>
      </c>
      <c r="AB50" s="1" t="str">
        <f>IF(IFERROR(VLOOKUP(CONCATENATE($D50,$E50,AB$1),'ROLLING SCHED'!$A:$A,1,FALSE),"x")&lt;&gt;"x","x",IF(IFERROR(VLOOKUP(CONCATENATE($D50,$E50,AB$1+7),'ROLLING SCHED'!$A:$A,1,FALSE),"y")&lt;&gt;"y","y",""))</f>
        <v/>
      </c>
      <c r="AC50" s="1" t="str">
        <f>IF(IFERROR(VLOOKUP(CONCATENATE($D50,$E50,AC$1),'ROLLING SCHED'!$A:$A,1,FALSE),"x")&lt;&gt;"x","x",IF(IFERROR(VLOOKUP(CONCATENATE($D50,$E50,AC$1+7),'ROLLING SCHED'!$A:$A,1,FALSE),"y")&lt;&gt;"y","y",""))</f>
        <v/>
      </c>
      <c r="AD50" s="1" t="str">
        <f>IF(IFERROR(VLOOKUP(CONCATENATE($D50,$E50,AD$1),'ROLLING SCHED'!$A:$A,1,FALSE),"x")&lt;&gt;"x","x",IF(IFERROR(VLOOKUP(CONCATENATE($D50,$E50,AD$1+7),'ROLLING SCHED'!$A:$A,1,FALSE),"y")&lt;&gt;"y","y",""))</f>
        <v/>
      </c>
      <c r="AE50" s="1" t="str">
        <f>IF(IFERROR(VLOOKUP(CONCATENATE($D50,$E50,AE$1),'ROLLING SCHED'!$A:$A,1,FALSE),"x")&lt;&gt;"x","x",IF(IFERROR(VLOOKUP(CONCATENATE($D50,$E50,AE$1+7),'ROLLING SCHED'!$A:$A,1,FALSE),"y")&lt;&gt;"y","y",""))</f>
        <v>y</v>
      </c>
      <c r="AF50" s="1" t="str">
        <f>IF(IFERROR(VLOOKUP(CONCATENATE($D50,$E50,AF$1),'ROLLING SCHED'!$A:$A,1,FALSE),"x")&lt;&gt;"x","x",IF(IFERROR(VLOOKUP(CONCATENATE($D50,$E50,AF$1+7),'ROLLING SCHED'!$A:$A,1,FALSE),"y")&lt;&gt;"y","y",""))</f>
        <v>x</v>
      </c>
      <c r="AG50" s="1" t="str">
        <f>IF(IFERROR(VLOOKUP(CONCATENATE($D50,$E50,AG$1),'ROLLING SCHED'!$A:$A,1,FALSE),"x")&lt;&gt;"x","x",IF(IFERROR(VLOOKUP(CONCATENATE($D50,$E50,AG$1+7),'ROLLING SCHED'!$A:$A,1,FALSE),"y")&lt;&gt;"y","y",""))</f>
        <v/>
      </c>
      <c r="AH50" s="1" t="str">
        <f>IF(IFERROR(VLOOKUP(CONCATENATE($D50,$E50,AH$1),'ROLLING SCHED'!$A:$A,1,FALSE),"x")&lt;&gt;"x","x",IF(IFERROR(VLOOKUP(CONCATENATE($D50,$E50,AH$1+7),'ROLLING SCHED'!$A:$A,1,FALSE),"y")&lt;&gt;"y","y",""))</f>
        <v/>
      </c>
      <c r="AI50" s="1" t="str">
        <f>IF(IFERROR(VLOOKUP(CONCATENATE($D50,$E50,AI$1),'ROLLING SCHED'!$A:$A,1,FALSE),"x")&lt;&gt;"x","x",IF(IFERROR(VLOOKUP(CONCATENATE($D50,$E50,AI$1+7),'ROLLING SCHED'!$A:$A,1,FALSE),"y")&lt;&gt;"y","y",""))</f>
        <v/>
      </c>
      <c r="AJ50" s="1" t="str">
        <f>IF(IFERROR(VLOOKUP(CONCATENATE($D50,$E50,AJ$1),'ROLLING SCHED'!$A:$A,1,FALSE),"x")&lt;&gt;"x","x",IF(IFERROR(VLOOKUP(CONCATENATE($D50,$E50,AJ$1+7),'ROLLING SCHED'!$A:$A,1,FALSE),"y")&lt;&gt;"y","y",""))</f>
        <v/>
      </c>
      <c r="AK50" s="1" t="str">
        <f>IF(IFERROR(VLOOKUP(CONCATENATE($D50,$E50,AK$1),'ROLLING SCHED'!$A:$A,1,FALSE),"x")&lt;&gt;"x","x",IF(IFERROR(VLOOKUP(CONCATENATE($D50,$E50,AK$1+7),'ROLLING SCHED'!$A:$A,1,FALSE),"y")&lt;&gt;"y","y",""))</f>
        <v/>
      </c>
      <c r="AL50" s="1" t="str">
        <f>IF(IFERROR(VLOOKUP(CONCATENATE($D50,$E50,AL$1),'ROLLING SCHED'!$A:$A,1,FALSE),"x")&lt;&gt;"x","x",IF(IFERROR(VLOOKUP(CONCATENATE($D50,$E50,AL$1+7),'ROLLING SCHED'!$A:$A,1,FALSE),"y")&lt;&gt;"y","y",""))</f>
        <v/>
      </c>
      <c r="AM50" s="1" t="str">
        <f>IF(IFERROR(VLOOKUP(CONCATENATE($D50,$E50,AM$1),'ROLLING SCHED'!$A:$A,1,FALSE),"x")&lt;&gt;"x","x",IF(IFERROR(VLOOKUP(CONCATENATE($D50,$E50,AM$1+7),'ROLLING SCHED'!$A:$A,1,FALSE),"y")&lt;&gt;"y","y",""))</f>
        <v/>
      </c>
      <c r="AN50" s="1" t="str">
        <f>IF(IFERROR(VLOOKUP(CONCATENATE($D50,$E50,AN$1),'ROLLING SCHED'!$A:$A,1,FALSE),"x")&lt;&gt;"x","x",IF(IFERROR(VLOOKUP(CONCATENATE($D50,$E50,AN$1+7),'ROLLING SCHED'!$A:$A,1,FALSE),"y")&lt;&gt;"y","y",""))</f>
        <v>y</v>
      </c>
      <c r="AO50" s="1" t="str">
        <f>IF(IFERROR(VLOOKUP(CONCATENATE($D50,$E50,AO$1),'ROLLING SCHED'!$A:$A,1,FALSE),"x")&lt;&gt;"x","x",IF(IFERROR(VLOOKUP(CONCATENATE($D50,$E50,AO$1+7),'ROLLING SCHED'!$A:$A,1,FALSE),"y")&lt;&gt;"y","y",""))</f>
        <v>x</v>
      </c>
      <c r="AP50" s="1" t="str">
        <f>IF(IFERROR(VLOOKUP(CONCATENATE($D50,$E50,AP$1),'ROLLING SCHED'!$A:$A,1,FALSE),"x")&lt;&gt;"x","x",IF(IFERROR(VLOOKUP(CONCATENATE($D50,$E50,AP$1+7),'ROLLING SCHED'!$A:$A,1,FALSE),"y")&lt;&gt;"y","y",""))</f>
        <v/>
      </c>
      <c r="AQ50" s="1" t="str">
        <f>IF(IFERROR(VLOOKUP(CONCATENATE($D50,$E50,AQ$1),'ROLLING SCHED'!$A:$A,1,FALSE),"x")&lt;&gt;"x","x",IF(IFERROR(VLOOKUP(CONCATENATE($D50,$E50,AQ$1+7),'ROLLING SCHED'!$A:$A,1,FALSE),"y")&lt;&gt;"y","y",""))</f>
        <v/>
      </c>
      <c r="AR50" s="1" t="str">
        <f>IF(IFERROR(VLOOKUP(CONCATENATE($D50,$E50,AR$1),'ROLLING SCHED'!$A:$A,1,FALSE),"x")&lt;&gt;"x","x",IF(IFERROR(VLOOKUP(CONCATENATE($D50,$E50,AR$1+7),'ROLLING SCHED'!$A:$A,1,FALSE),"y")&lt;&gt;"y","y",""))</f>
        <v/>
      </c>
      <c r="AS50" s="1" t="str">
        <f>IF(IFERROR(VLOOKUP(CONCATENATE($D50,$E50,AS$1),'ROLLING SCHED'!$A:$A,1,FALSE),"x")&lt;&gt;"x","x",IF(IFERROR(VLOOKUP(CONCATENATE($D50,$E50,AS$1+7),'ROLLING SCHED'!$A:$A,1,FALSE),"y")&lt;&gt;"y","y",""))</f>
        <v/>
      </c>
      <c r="AT50" s="1" t="str">
        <f>IF(IFERROR(VLOOKUP(CONCATENATE($D50,$E50,AT$1),'ROLLING SCHED'!$A:$A,1,FALSE),"x")&lt;&gt;"x","x",IF(IFERROR(VLOOKUP(CONCATENATE($D50,$E50,AT$1+7),'ROLLING SCHED'!$A:$A,1,FALSE),"y")&lt;&gt;"y","y",""))</f>
        <v/>
      </c>
      <c r="AU50" s="1" t="str">
        <f>IF(IFERROR(VLOOKUP(CONCATENATE($D50,$E50,AU$1),'ROLLING SCHED'!$A:$A,1,FALSE),"x")&lt;&gt;"x","x",IF(IFERROR(VLOOKUP(CONCATENATE($D50,$E50,AU$1+7),'ROLLING SCHED'!$A:$A,1,FALSE),"y")&lt;&gt;"y","y",""))</f>
        <v/>
      </c>
      <c r="AV50" s="1" t="str">
        <f>IF(IFERROR(VLOOKUP(CONCATENATE($D50,$E50,AV$1),'ROLLING SCHED'!$A:$A,1,FALSE),"x")&lt;&gt;"x","x",IF(IFERROR(VLOOKUP(CONCATENATE($D50,$E50,AV$1+7),'ROLLING SCHED'!$A:$A,1,FALSE),"y")&lt;&gt;"y","y",""))</f>
        <v/>
      </c>
      <c r="AW50" s="1" t="str">
        <f>IF(IFERROR(VLOOKUP(CONCATENATE($D50,$E50,AW$1),'ROLLING SCHED'!$A:$A,1,FALSE),"x")&lt;&gt;"x","x",IF(IFERROR(VLOOKUP(CONCATENATE($D50,$E50,AW$1+7),'ROLLING SCHED'!$A:$A,1,FALSE),"y")&lt;&gt;"y","y",""))</f>
        <v>y</v>
      </c>
      <c r="AX50" s="1" t="str">
        <f>IF(IFERROR(VLOOKUP(CONCATENATE($D50,$E50,AX$1),'ROLLING SCHED'!$A:$A,1,FALSE),"x")&lt;&gt;"x","x",IF(IFERROR(VLOOKUP(CONCATENATE($D50,$E50,AX$1+7),'ROLLING SCHED'!$A:$A,1,FALSE),"y")&lt;&gt;"y","y",""))</f>
        <v>x</v>
      </c>
      <c r="AY50" s="1" t="str">
        <f>IF(IFERROR(VLOOKUP(CONCATENATE($D50,$E50,AY$1),'ROLLING SCHED'!$A:$A,1,FALSE),"x")&lt;&gt;"x","x",IF(IFERROR(VLOOKUP(CONCATENATE($D50,$E50,AY$1+7),'ROLLING SCHED'!$A:$A,1,FALSE),"y")&lt;&gt;"y","y",""))</f>
        <v/>
      </c>
      <c r="AZ50" s="1" t="str">
        <f>IF(IFERROR(VLOOKUP(CONCATENATE($D50,$E50,AZ$1),'ROLLING SCHED'!$A:$A,1,FALSE),"x")&lt;&gt;"x","x",IF(IFERROR(VLOOKUP(CONCATENATE($D50,$E50,AZ$1+7),'ROLLING SCHED'!$A:$A,1,FALSE),"y")&lt;&gt;"y","y",""))</f>
        <v/>
      </c>
      <c r="BA50" s="1" t="str">
        <f>IF(IFERROR(VLOOKUP(CONCATENATE($D50,$E50,BA$1),'ROLLING SCHED'!$A:$A,1,FALSE),"x")&lt;&gt;"x","x",IF(IFERROR(VLOOKUP(CONCATENATE($D50,$E50,BA$1+7),'ROLLING SCHED'!$A:$A,1,FALSE),"y")&lt;&gt;"y","y",""))</f>
        <v/>
      </c>
      <c r="BB50" s="1" t="str">
        <f>IF(IFERROR(VLOOKUP(CONCATENATE($D50,$E50,BB$1),'ROLLING SCHED'!$A:$A,1,FALSE),"x")&lt;&gt;"x","x",IF(IFERROR(VLOOKUP(CONCATENATE($D50,$E50,BB$1+7),'ROLLING SCHED'!$A:$A,1,FALSE),"y")&lt;&gt;"y","y",""))</f>
        <v/>
      </c>
      <c r="BC50" s="1" t="str">
        <f>IF(IFERROR(VLOOKUP(CONCATENATE($D50,$E50,BC$1),'ROLLING SCHED'!$A:$A,1,FALSE),"x")&lt;&gt;"x","x",IF(IFERROR(VLOOKUP(CONCATENATE($D50,$E50,BC$1+7),'ROLLING SCHED'!$A:$A,1,FALSE),"y")&lt;&gt;"y","y",""))</f>
        <v/>
      </c>
      <c r="BD50" s="1" t="str">
        <f>IF(IFERROR(VLOOKUP(CONCATENATE($D50,$E50,BD$1),'ROLLING SCHED'!$A:$A,1,FALSE),"x")&lt;&gt;"x","x",IF(IFERROR(VLOOKUP(CONCATENATE($D50,$E50,BD$1+7),'ROLLING SCHED'!$A:$A,1,FALSE),"y")&lt;&gt;"y","y",""))</f>
        <v/>
      </c>
      <c r="BE50" s="1" t="str">
        <f>IF(IFERROR(VLOOKUP(CONCATENATE($D50,$E50,BE$1),'ROLLING SCHED'!$A:$A,1,FALSE),"x")&lt;&gt;"x","x",IF(IFERROR(VLOOKUP(CONCATENATE($D50,$E50,BE$1+7),'ROLLING SCHED'!$A:$A,1,FALSE),"y")&lt;&gt;"y","y",""))</f>
        <v/>
      </c>
      <c r="BF50" s="1" t="str">
        <f>IF(IFERROR(VLOOKUP(CONCATENATE($D50,$E50,BF$1),'ROLLING SCHED'!$A:$A,1,FALSE),"x")&lt;&gt;"x","x",IF(IFERROR(VLOOKUP(CONCATENATE($D50,$E50,BF$1+7),'ROLLING SCHED'!$A:$A,1,FALSE),"y")&lt;&gt;"y","y",""))</f>
        <v/>
      </c>
      <c r="BG50" s="1" t="str">
        <f>IF(IFERROR(VLOOKUP(CONCATENATE($D50,$E50,BG$1),'ROLLING SCHED'!$A:$A,1,FALSE),"x")&lt;&gt;"x","x",IF(IFERROR(VLOOKUP(CONCATENATE($D50,$E50,BG$1+7),'ROLLING SCHED'!$A:$A,1,FALSE),"y")&lt;&gt;"y","y",""))</f>
        <v>y</v>
      </c>
      <c r="BH50" s="1" t="str">
        <f>IF(IFERROR(VLOOKUP(CONCATENATE($D50,$E50,BH$1),'ROLLING SCHED'!$A:$A,1,FALSE),"x")&lt;&gt;"x","x",IF(IFERROR(VLOOKUP(CONCATENATE($D50,$E50,BH$1+7),'ROLLING SCHED'!$A:$A,1,FALSE),"y")&lt;&gt;"y","y",""))</f>
        <v>x</v>
      </c>
      <c r="BI50" s="1" t="str">
        <f>IF(IFERROR(VLOOKUP(CONCATENATE($D50,$E50,BI$1),'ROLLING SCHED'!$A:$A,1,FALSE),"x")&lt;&gt;"x","x",IF(IFERROR(VLOOKUP(CONCATENATE($D50,$E50,BI$1+7),'ROLLING SCHED'!$A:$A,1,FALSE),"y")&lt;&gt;"y","y",""))</f>
        <v/>
      </c>
      <c r="BJ50" s="1" t="str">
        <f>IF(IFERROR(VLOOKUP(CONCATENATE($D50,$E50,BJ$1),'ROLLING SCHED'!$A:$A,1,FALSE),"x")&lt;&gt;"x","x",IF(IFERROR(VLOOKUP(CONCATENATE($D50,$E50,BJ$1+7),'ROLLING SCHED'!$A:$A,1,FALSE),"y")&lt;&gt;"y","y",""))</f>
        <v/>
      </c>
      <c r="BK50" s="1" t="str">
        <f>IF(IFERROR(VLOOKUP(CONCATENATE($D50,$E50,BK$1),'ROLLING SCHED'!$A:$A,1,FALSE),"x")&lt;&gt;"x","x",IF(IFERROR(VLOOKUP(CONCATENATE($D50,$E50,BK$1+7),'ROLLING SCHED'!$A:$A,1,FALSE),"y")&lt;&gt;"y","y",""))</f>
        <v/>
      </c>
      <c r="BL50" s="1" t="str">
        <f>IF(IFERROR(VLOOKUP(CONCATENATE($D50,$E50,BL$1),'ROLLING SCHED'!$A:$A,1,FALSE),"x")&lt;&gt;"x","x",IF(IFERROR(VLOOKUP(CONCATENATE($D50,$E50,BL$1+7),'ROLLING SCHED'!$A:$A,1,FALSE),"y")&lt;&gt;"y","y",""))</f>
        <v/>
      </c>
      <c r="BM50" s="1" t="str">
        <f>IF(IFERROR(VLOOKUP(CONCATENATE($D50,$E50,BM$1),'ROLLING SCHED'!$A:$A,1,FALSE),"x")&lt;&gt;"x","x",IF(IFERROR(VLOOKUP(CONCATENATE($D50,$E50,BM$1+7),'ROLLING SCHED'!$A:$A,1,FALSE),"y")&lt;&gt;"y","y",""))</f>
        <v/>
      </c>
      <c r="BN50" s="1" t="str">
        <f>IF(IFERROR(VLOOKUP(CONCATENATE($D50,$E50,BN$1),'ROLLING SCHED'!$A:$A,1,FALSE),"x")&lt;&gt;"x","x",IF(IFERROR(VLOOKUP(CONCATENATE($D50,$E50,BN$1+7),'ROLLING SCHED'!$A:$A,1,FALSE),"y")&lt;&gt;"y","y",""))</f>
        <v/>
      </c>
      <c r="BO50" s="1" t="str">
        <f>IF(IFERROR(VLOOKUP(CONCATENATE($D50,$E50,BO$1),'ROLLING SCHED'!$A:$A,1,FALSE),"x")&lt;&gt;"x","x",IF(IFERROR(VLOOKUP(CONCATENATE($D50,$E50,BO$1+7),'ROLLING SCHED'!$A:$A,1,FALSE),"y")&lt;&gt;"y","y",""))</f>
        <v/>
      </c>
      <c r="BP50" s="1" t="str">
        <f>IF(IFERROR(VLOOKUP(CONCATENATE($D50,$E50,BP$1),'ROLLING SCHED'!$A:$A,1,FALSE),"x")&lt;&gt;"x","x",IF(IFERROR(VLOOKUP(CONCATENATE($D50,$E50,BP$1+7),'ROLLING SCHED'!$A:$A,1,FALSE),"y")&lt;&gt;"y","y",""))</f>
        <v/>
      </c>
      <c r="BQ50" s="1" t="str">
        <f>IF(IFERROR(VLOOKUP(CONCATENATE($D50,$E50,BQ$1),'ROLLING SCHED'!$A:$A,1,FALSE),"x")&lt;&gt;"x","x",IF(IFERROR(VLOOKUP(CONCATENATE($D50,$E50,BQ$1+7),'ROLLING SCHED'!$A:$A,1,FALSE),"y")&lt;&gt;"y","y",""))</f>
        <v/>
      </c>
      <c r="BR50" s="1" t="str">
        <f>IF(IFERROR(VLOOKUP(CONCATENATE($D50,$E50,BR$1),'ROLLING SCHED'!$A:$A,1,FALSE),"x")&lt;&gt;"x","x",IF(IFERROR(VLOOKUP(CONCATENATE($D50,$E50,BR$1+7),'ROLLING SCHED'!$A:$A,1,FALSE),"y")&lt;&gt;"y","y",""))</f>
        <v/>
      </c>
      <c r="BS50" s="1" t="str">
        <f>IF(IFERROR(VLOOKUP(CONCATENATE($D50,$E50,BS$1),'ROLLING SCHED'!$A:$A,1,FALSE),"x")&lt;&gt;"x","x",IF(IFERROR(VLOOKUP(CONCATENATE($D50,$E50,BS$1+7),'ROLLING SCHED'!$A:$A,1,FALSE),"y")&lt;&gt;"y","y",""))</f>
        <v/>
      </c>
      <c r="BT50" s="1" t="str">
        <f>IF(IFERROR(VLOOKUP(CONCATENATE($D50,$E50,BT$1),'ROLLING SCHED'!$A:$A,1,FALSE),"x")&lt;&gt;"x","x",IF(IFERROR(VLOOKUP(CONCATENATE($D50,$E50,BT$1+7),'ROLLING SCHED'!$A:$A,1,FALSE),"y")&lt;&gt;"y","y",""))</f>
        <v/>
      </c>
      <c r="BU50" s="1" t="str">
        <f>IF(IFERROR(VLOOKUP(CONCATENATE($D50,$E50,BU$1),'ROLLING SCHED'!$A:$A,1,FALSE),"x")&lt;&gt;"x","x",IF(IFERROR(VLOOKUP(CONCATENATE($D50,$E50,BU$1+7),'ROLLING SCHED'!$A:$A,1,FALSE),"y")&lt;&gt;"y","y",""))</f>
        <v/>
      </c>
      <c r="BV50" s="1" t="str">
        <f>IF(IFERROR(VLOOKUP(CONCATENATE($D50,$E50,BV$1),'ROLLING SCHED'!$A:$A,1,FALSE),"x")&lt;&gt;"x","x",IF(IFERROR(VLOOKUP(CONCATENATE($D50,$E50,BV$1+7),'ROLLING SCHED'!$A:$A,1,FALSE),"y")&lt;&gt;"y","y",""))</f>
        <v/>
      </c>
      <c r="BW50" s="1" t="str">
        <f>IF(IFERROR(VLOOKUP(CONCATENATE($D50,$E50,BW$1),'ROLLING SCHED'!$A:$A,1,FALSE),"x")&lt;&gt;"x","x",IF(IFERROR(VLOOKUP(CONCATENATE($D50,$E50,BW$1+7),'ROLLING SCHED'!$A:$A,1,FALSE),"y")&lt;&gt;"y","y",""))</f>
        <v/>
      </c>
      <c r="BX50" s="1" t="str">
        <f>IF(IFERROR(VLOOKUP(CONCATENATE($D50,$E50,BX$1),'ROLLING SCHED'!$A:$A,1,FALSE),"x")&lt;&gt;"x","x",IF(IFERROR(VLOOKUP(CONCATENATE($D50,$E50,BX$1+7),'ROLLING SCHED'!$A:$A,1,FALSE),"y")&lt;&gt;"y","y",""))</f>
        <v/>
      </c>
      <c r="BY50" s="1" t="str">
        <f>IF(IFERROR(VLOOKUP(CONCATENATE($D50,$E50,BY$1),'ROLLING SCHED'!$A:$A,1,FALSE),"x")&lt;&gt;"x","x",IF(IFERROR(VLOOKUP(CONCATENATE($D50,$E50,BY$1+7),'ROLLING SCHED'!$A:$A,1,FALSE),"y")&lt;&gt;"y","y",""))</f>
        <v/>
      </c>
      <c r="BZ50" s="1" t="str">
        <f>IF(IFERROR(VLOOKUP(CONCATENATE($D50,$E50,BZ$1),'ROLLING SCHED'!$A:$A,1,FALSE),"x")&lt;&gt;"x","x",IF(IFERROR(VLOOKUP(CONCATENATE($D50,$E50,BZ$1+7),'ROLLING SCHED'!$A:$A,1,FALSE),"y")&lt;&gt;"y","y",""))</f>
        <v/>
      </c>
      <c r="CA50" s="1" t="str">
        <f>IF(IFERROR(VLOOKUP(CONCATENATE($D50,$E50,CA$1),'ROLLING SCHED'!$A:$A,1,FALSE),"x")&lt;&gt;"x","x",IF(IFERROR(VLOOKUP(CONCATENATE($D50,$E50,CA$1+7),'ROLLING SCHED'!$A:$A,1,FALSE),"y")&lt;&gt;"y","y",""))</f>
        <v/>
      </c>
      <c r="CB50" s="1" t="str">
        <f>IF(IFERROR(VLOOKUP(CONCATENATE($D50,$E50,CB$1),'ROLLING SCHED'!$A:$A,1,FALSE),"x")&lt;&gt;"x","x",IF(IFERROR(VLOOKUP(CONCATENATE($D50,$E50,CB$1+7),'ROLLING SCHED'!$A:$A,1,FALSE),"y")&lt;&gt;"y","y",""))</f>
        <v/>
      </c>
      <c r="CC50" s="1" t="str">
        <f>IF(IFERROR(VLOOKUP(CONCATENATE($D50,$E50,CC$1),'ROLLING SCHED'!$A:$A,1,FALSE),"x")&lt;&gt;"x","x",IF(IFERROR(VLOOKUP(CONCATENATE($D50,$E50,CC$1+7),'ROLLING SCHED'!$A:$A,1,FALSE),"y")&lt;&gt;"y","y",""))</f>
        <v/>
      </c>
      <c r="CD50" s="1" t="str">
        <f>IF(IFERROR(VLOOKUP(CONCATENATE($D50,$E50,CD$1),'ROLLING SCHED'!$A:$A,1,FALSE),"x")&lt;&gt;"x","x",IF(IFERROR(VLOOKUP(CONCATENATE($D50,$E50,CD$1+7),'ROLLING SCHED'!$A:$A,1,FALSE),"y")&lt;&gt;"y","y",""))</f>
        <v/>
      </c>
      <c r="CE50" s="1" t="str">
        <f>IF(IFERROR(VLOOKUP(CONCATENATE($D50,$E50,CE$1),'ROLLING SCHED'!$A:$A,1,FALSE),"x")&lt;&gt;"x","x",IF(IFERROR(VLOOKUP(CONCATENATE($D50,$E50,CE$1+7),'ROLLING SCHED'!$A:$A,1,FALSE),"y")&lt;&gt;"y","y",""))</f>
        <v/>
      </c>
      <c r="CF50" s="1" t="str">
        <f>IF(IFERROR(VLOOKUP(CONCATENATE($D50,$E50,CF$1),'ROLLING SCHED'!$A:$A,1,FALSE),"x")&lt;&gt;"x","x",IF(IFERROR(VLOOKUP(CONCATENATE($D50,$E50,CF$1+7),'ROLLING SCHED'!$A:$A,1,FALSE),"y")&lt;&gt;"y","y",""))</f>
        <v/>
      </c>
      <c r="CG50" s="1" t="str">
        <f>IF(IFERROR(VLOOKUP(CONCATENATE($D50,$E50,CG$1),'ROLLING SCHED'!$A:$A,1,FALSE),"x")&lt;&gt;"x","x",IF(IFERROR(VLOOKUP(CONCATENATE($D50,$E50,CG$1+7),'ROLLING SCHED'!$A:$A,1,FALSE),"y")&lt;&gt;"y","y",""))</f>
        <v/>
      </c>
      <c r="CH50" s="1" t="str">
        <f>IF(IFERROR(VLOOKUP(CONCATENATE($D50,$E50,CH$1),'ROLLING SCHED'!$A:$A,1,FALSE),"x")&lt;&gt;"x","x",IF(IFERROR(VLOOKUP(CONCATENATE($D50,$E50,CH$1+7),'ROLLING SCHED'!$A:$A,1,FALSE),"y")&lt;&gt;"y","y",""))</f>
        <v/>
      </c>
      <c r="CI50" s="1" t="str">
        <f>IF(IFERROR(VLOOKUP(CONCATENATE($D50,$E50,CI$1),'ROLLING SCHED'!$A:$A,1,FALSE),"x")&lt;&gt;"x","x",IF(IFERROR(VLOOKUP(CONCATENATE($D50,$E50,CI$1+7),'ROLLING SCHED'!$A:$A,1,FALSE),"y")&lt;&gt;"y","y",""))</f>
        <v/>
      </c>
      <c r="CJ50" s="1" t="str">
        <f>IF(IFERROR(VLOOKUP(CONCATENATE($D50,$E50,CJ$1),'ROLLING SCHED'!$A:$A,1,FALSE),"x")&lt;&gt;"x","x",IF(IFERROR(VLOOKUP(CONCATENATE($D50,$E50,CJ$1+7),'ROLLING SCHED'!$A:$A,1,FALSE),"y")&lt;&gt;"y","y",""))</f>
        <v/>
      </c>
      <c r="CK50" s="1" t="str">
        <f>IF(IFERROR(VLOOKUP(CONCATENATE($D50,$E50,CK$1),'ROLLING SCHED'!$A:$A,1,FALSE),"x")&lt;&gt;"x","x",IF(IFERROR(VLOOKUP(CONCATENATE($D50,$E50,CK$1+7),'ROLLING SCHED'!$A:$A,1,FALSE),"y")&lt;&gt;"y","y",""))</f>
        <v/>
      </c>
      <c r="CL50" s="1" t="str">
        <f>IF(IFERROR(VLOOKUP(CONCATENATE($D50,$E50,CL$1),'ROLLING SCHED'!$A:$A,1,FALSE),"x")&lt;&gt;"x","x",IF(IFERROR(VLOOKUP(CONCATENATE($D50,$E50,CL$1+7),'ROLLING SCHED'!$A:$A,1,FALSE),"y")&lt;&gt;"y","y",""))</f>
        <v/>
      </c>
      <c r="CM50" s="1" t="str">
        <f>IF(IFERROR(VLOOKUP(CONCATENATE($D50,$E50,CM$1),'ROLLING SCHED'!$A:$A,1,FALSE),"x")&lt;&gt;"x","x",IF(IFERROR(VLOOKUP(CONCATENATE($D50,$E50,CM$1+7),'ROLLING SCHED'!$A:$A,1,FALSE),"y")&lt;&gt;"y","y",""))</f>
        <v/>
      </c>
      <c r="CN50" s="1" t="str">
        <f>IF(IFERROR(VLOOKUP(CONCATENATE($D50,$E50,CN$1),'ROLLING SCHED'!$A:$A,1,FALSE),"x")&lt;&gt;"x","x",IF(IFERROR(VLOOKUP(CONCATENATE($D50,$E50,CN$1+7),'ROLLING SCHED'!$A:$A,1,FALSE),"y")&lt;&gt;"y","y",""))</f>
        <v/>
      </c>
      <c r="CO50" s="1" t="str">
        <f>IF(IFERROR(VLOOKUP(CONCATENATE($D50,$E50,CO$1),'ROLLING SCHED'!$A:$A,1,FALSE),"x")&lt;&gt;"x","x",IF(IFERROR(VLOOKUP(CONCATENATE($D50,$E50,CO$1+7),'ROLLING SCHED'!$A:$A,1,FALSE),"y")&lt;&gt;"y","y",""))</f>
        <v/>
      </c>
      <c r="CP50" s="1" t="str">
        <f>IF(IFERROR(VLOOKUP(CONCATENATE($D50,$E50,CP$1),'ROLLING SCHED'!$A:$A,1,FALSE),"x")&lt;&gt;"x","x",IF(IFERROR(VLOOKUP(CONCATENATE($D50,$E50,CP$1+7),'ROLLING SCHED'!$A:$A,1,FALSE),"y")&lt;&gt;"y","y",""))</f>
        <v/>
      </c>
      <c r="CQ50" s="1" t="str">
        <f>IF(IFERROR(VLOOKUP(CONCATENATE($D50,$E50,CQ$1),'ROLLING SCHED'!$A:$A,1,FALSE),"x")&lt;&gt;"x","x",IF(IFERROR(VLOOKUP(CONCATENATE($D50,$E50,CQ$1+7),'ROLLING SCHED'!$A:$A,1,FALSE),"y")&lt;&gt;"y","y",""))</f>
        <v/>
      </c>
      <c r="CR50" s="1" t="str">
        <f>IF(IFERROR(VLOOKUP(CONCATENATE($D50,$E50,CR$1),'ROLLING SCHED'!$A:$A,1,FALSE),"x")&lt;&gt;"x","x",IF(IFERROR(VLOOKUP(CONCATENATE($D50,$E50,CR$1+7),'ROLLING SCHED'!$A:$A,1,FALSE),"y")&lt;&gt;"y","y",""))</f>
        <v/>
      </c>
      <c r="CS50" s="1" t="str">
        <f>IF(IFERROR(VLOOKUP(CONCATENATE($D50,$E50,CS$1),'ROLLING SCHED'!$A:$A,1,FALSE),"x")&lt;&gt;"x","x",IF(IFERROR(VLOOKUP(CONCATENATE($D50,$E50,CS$1+7),'ROLLING SCHED'!$A:$A,1,FALSE),"y")&lt;&gt;"y","y",""))</f>
        <v/>
      </c>
      <c r="CT50" s="1" t="str">
        <f>IF(IFERROR(VLOOKUP(CONCATENATE($D50,$E50,CT$1),'ROLLING SCHED'!$A:$A,1,FALSE),"x")&lt;&gt;"x","x",IF(IFERROR(VLOOKUP(CONCATENATE($D50,$E50,CT$1+7),'ROLLING SCHED'!$A:$A,1,FALSE),"y")&lt;&gt;"y","y",""))</f>
        <v/>
      </c>
      <c r="CU50" s="1" t="str">
        <f>IF(IFERROR(VLOOKUP(CONCATENATE($D50,$E50,CU$1),'ROLLING SCHED'!$A:$A,1,FALSE),"x")&lt;&gt;"x","x",IF(IFERROR(VLOOKUP(CONCATENATE($D50,$E50,CU$1+7),'ROLLING SCHED'!$A:$A,1,FALSE),"y")&lt;&gt;"y","y",""))</f>
        <v/>
      </c>
      <c r="CV50" s="1" t="str">
        <f>IF(IFERROR(VLOOKUP(CONCATENATE($D50,$E50,CV$1),'ROLLING SCHED'!$A:$A,1,FALSE),"x")&lt;&gt;"x","x",IF(IFERROR(VLOOKUP(CONCATENATE($D50,$E50,CV$1+7),'ROLLING SCHED'!$A:$A,1,FALSE),"y")&lt;&gt;"y","y",""))</f>
        <v/>
      </c>
      <c r="CW50" s="1" t="str">
        <f>IF(IFERROR(VLOOKUP(CONCATENATE($D50,$E50,CW$1),'ROLLING SCHED'!$A:$A,1,FALSE),"x")&lt;&gt;"x","x",IF(IFERROR(VLOOKUP(CONCATENATE($D50,$E50,CW$1+7),'ROLLING SCHED'!$A:$A,1,FALSE),"y")&lt;&gt;"y","y",""))</f>
        <v/>
      </c>
      <c r="CX50" s="1" t="str">
        <f>IF(IFERROR(VLOOKUP(CONCATENATE($D50,$E50,CX$1),'ROLLING SCHED'!$A:$A,1,FALSE),"x")&lt;&gt;"x","x",IF(IFERROR(VLOOKUP(CONCATENATE($D50,$E50,CX$1+7),'ROLLING SCHED'!$A:$A,1,FALSE),"y")&lt;&gt;"y","y",""))</f>
        <v/>
      </c>
      <c r="CY50" s="1" t="str">
        <f>IF(IFERROR(VLOOKUP(CONCATENATE($D50,$E50,CY$1),'ROLLING SCHED'!$A:$A,1,FALSE),"x")&lt;&gt;"x","x",IF(IFERROR(VLOOKUP(CONCATENATE($D50,$E50,CY$1+7),'ROLLING SCHED'!$A:$A,1,FALSE),"y")&lt;&gt;"y","y",""))</f>
        <v/>
      </c>
      <c r="CZ50" s="1" t="str">
        <f>IF(IFERROR(VLOOKUP(CONCATENATE($D50,$E50,CZ$1),'ROLLING SCHED'!$A:$A,1,FALSE),"x")&lt;&gt;"x","x",IF(IFERROR(VLOOKUP(CONCATENATE($D50,$E50,CZ$1+7),'ROLLING SCHED'!$A:$A,1,FALSE),"y")&lt;&gt;"y","y",""))</f>
        <v/>
      </c>
      <c r="DA50" s="1" t="str">
        <f>IF(IFERROR(VLOOKUP(CONCATENATE($D50,$E50,DA$1),'ROLLING SCHED'!$A:$A,1,FALSE),"x")&lt;&gt;"x","x",IF(IFERROR(VLOOKUP(CONCATENATE($D50,$E50,DA$1+7),'ROLLING SCHED'!$A:$A,1,FALSE),"y")&lt;&gt;"y","y",""))</f>
        <v/>
      </c>
      <c r="DB50" s="1" t="str">
        <f>IF(IFERROR(VLOOKUP(CONCATENATE($D50,$E50,DB$1),'ROLLING SCHED'!$A:$A,1,FALSE),"x")&lt;&gt;"x","x",IF(IFERROR(VLOOKUP(CONCATENATE($D50,$E50,DB$1+7),'ROLLING SCHED'!$A:$A,1,FALSE),"y")&lt;&gt;"y","y",""))</f>
        <v/>
      </c>
      <c r="DC50" s="1" t="str">
        <f>IF(IFERROR(VLOOKUP(CONCATENATE($D50,$E50,DC$1),'ROLLING SCHED'!$A:$A,1,FALSE),"x")&lt;&gt;"x","x",IF(IFERROR(VLOOKUP(CONCATENATE($D50,$E50,DC$1+7),'ROLLING SCHED'!$A:$A,1,FALSE),"y")&lt;&gt;"y","y",""))</f>
        <v/>
      </c>
      <c r="DD50" s="1" t="str">
        <f>IF(IFERROR(VLOOKUP(CONCATENATE($D50,$E50,DD$1),'ROLLING SCHED'!$A:$A,1,FALSE),"x")&lt;&gt;"x","x",IF(IFERROR(VLOOKUP(CONCATENATE($D50,$E50,DD$1+7),'ROLLING SCHED'!$A:$A,1,FALSE),"y")&lt;&gt;"y","y",""))</f>
        <v/>
      </c>
      <c r="DE50" s="1" t="str">
        <f>IF(IFERROR(VLOOKUP(CONCATENATE($D50,$E50,DE$1),'ROLLING SCHED'!$A:$A,1,FALSE),"x")&lt;&gt;"x","x",IF(IFERROR(VLOOKUP(CONCATENATE($D50,$E50,DE$1+7),'ROLLING SCHED'!$A:$A,1,FALSE),"y")&lt;&gt;"y","y",""))</f>
        <v/>
      </c>
      <c r="DF50" s="1" t="str">
        <f>IF(IFERROR(VLOOKUP(CONCATENATE($D50,$E50,DF$1),'ROLLING SCHED'!$A:$A,1,FALSE),"x")&lt;&gt;"x","x",IF(IFERROR(VLOOKUP(CONCATENATE($D50,$E50,DF$1+7),'ROLLING SCHED'!$A:$A,1,FALSE),"y")&lt;&gt;"y","y",""))</f>
        <v/>
      </c>
      <c r="DG50" s="1" t="str">
        <f>IF(IFERROR(VLOOKUP(CONCATENATE($D50,$E50,DG$1),'ROLLING SCHED'!$A:$A,1,FALSE),"x")&lt;&gt;"x","x",IF(IFERROR(VLOOKUP(CONCATENATE($D50,$E50,DG$1+7),'ROLLING SCHED'!$A:$A,1,FALSE),"y")&lt;&gt;"y","y",""))</f>
        <v/>
      </c>
      <c r="DH50" s="1" t="str">
        <f>IF(IFERROR(VLOOKUP(CONCATENATE($D50,$E50,DH$1),'ROLLING SCHED'!$A:$A,1,FALSE),"x")&lt;&gt;"x","x",IF(IFERROR(VLOOKUP(CONCATENATE($D50,$E50,DH$1+7),'ROLLING SCHED'!$A:$A,1,FALSE),"y")&lt;&gt;"y","y",""))</f>
        <v/>
      </c>
      <c r="DI50" s="1" t="str">
        <f>IF(IFERROR(VLOOKUP(CONCATENATE($D50,$E50,DI$1),'ROLLING SCHED'!$A:$A,1,FALSE),"x")&lt;&gt;"x","x",IF(IFERROR(VLOOKUP(CONCATENATE($D50,$E50,DI$1+7),'ROLLING SCHED'!$A:$A,1,FALSE),"y")&lt;&gt;"y","y",""))</f>
        <v/>
      </c>
      <c r="DJ50" s="1" t="str">
        <f>IF(IFERROR(VLOOKUP(CONCATENATE($D50,$E50,DJ$1),'ROLLING SCHED'!$A:$A,1,FALSE),"x")&lt;&gt;"x","x",IF(IFERROR(VLOOKUP(CONCATENATE($D50,$E50,DJ$1+7),'ROLLING SCHED'!$A:$A,1,FALSE),"y")&lt;&gt;"y","y",""))</f>
        <v/>
      </c>
      <c r="DK50" s="1" t="str">
        <f>IF(IFERROR(VLOOKUP(CONCATENATE($D50,$E50,DK$1),'ROLLING SCHED'!$A:$A,1,FALSE),"x")&lt;&gt;"x","x",IF(IFERROR(VLOOKUP(CONCATENATE($D50,$E50,DK$1+7),'ROLLING SCHED'!$A:$A,1,FALSE),"y")&lt;&gt;"y","y",""))</f>
        <v/>
      </c>
      <c r="DL50" s="1" t="str">
        <f>IF(IFERROR(VLOOKUP(CONCATENATE($D50,$E50,DL$1),'ROLLING SCHED'!$A:$A,1,FALSE),"x")&lt;&gt;"x","x",IF(IFERROR(VLOOKUP(CONCATENATE($D50,$E50,DL$1+7),'ROLLING SCHED'!$A:$A,1,FALSE),"y")&lt;&gt;"y","y",""))</f>
        <v/>
      </c>
      <c r="DM50" s="1" t="str">
        <f>IF(IFERROR(VLOOKUP(CONCATENATE($D50,$E50,DM$1),'ROLLING SCHED'!$A:$A,1,FALSE),"x")&lt;&gt;"x","x",IF(IFERROR(VLOOKUP(CONCATENATE($D50,$E50,DM$1+7),'ROLLING SCHED'!$A:$A,1,FALSE),"y")&lt;&gt;"y","y",""))</f>
        <v/>
      </c>
      <c r="DN50" s="1" t="str">
        <f>IF(IFERROR(VLOOKUP(CONCATENATE($D50,$E50,DN$1),'ROLLING SCHED'!$A:$A,1,FALSE),"x")&lt;&gt;"x","x",IF(IFERROR(VLOOKUP(CONCATENATE($D50,$E50,DN$1+7),'ROLLING SCHED'!$A:$A,1,FALSE),"y")&lt;&gt;"y","y",""))</f>
        <v/>
      </c>
      <c r="DO50" s="1" t="str">
        <f>IF(IFERROR(VLOOKUP(CONCATENATE($D50,$E50,DO$1),'ROLLING SCHED'!$A:$A,1,FALSE),"x")&lt;&gt;"x","x",IF(IFERROR(VLOOKUP(CONCATENATE($D50,$E50,DO$1+7),'ROLLING SCHED'!$A:$A,1,FALSE),"y")&lt;&gt;"y","y",""))</f>
        <v/>
      </c>
      <c r="DP50" s="1" t="str">
        <f>IF(IFERROR(VLOOKUP(CONCATENATE($D50,$E50,DP$1),'ROLLING SCHED'!$A:$A,1,FALSE),"x")&lt;&gt;"x","x",IF(IFERROR(VLOOKUP(CONCATENATE($D50,$E50,DP$1+7),'ROLLING SCHED'!$A:$A,1,FALSE),"y")&lt;&gt;"y","y",""))</f>
        <v/>
      </c>
      <c r="DQ50" s="1" t="str">
        <f>IF(IFERROR(VLOOKUP(CONCATENATE($D50,$E50,DQ$1),'ROLLING SCHED'!$A:$A,1,FALSE),"x")&lt;&gt;"x","x",IF(IFERROR(VLOOKUP(CONCATENATE($D50,$E50,DQ$1+7),'ROLLING SCHED'!$A:$A,1,FALSE),"y")&lt;&gt;"y","y",""))</f>
        <v/>
      </c>
      <c r="DR50" s="1" t="str">
        <f>IF(IFERROR(VLOOKUP(CONCATENATE($D50,$E50,DR$1),'ROLLING SCHED'!$A:$A,1,FALSE),"x")&lt;&gt;"x","x",IF(IFERROR(VLOOKUP(CONCATENATE($D50,$E50,DR$1+7),'ROLLING SCHED'!$A:$A,1,FALSE),"y")&lt;&gt;"y","y",""))</f>
        <v/>
      </c>
      <c r="DS50" s="1" t="str">
        <f>IF(IFERROR(VLOOKUP(CONCATENATE($D50,$E50,DS$1),'ROLLING SCHED'!$A:$A,1,FALSE),"x")&lt;&gt;"x","x",IF(IFERROR(VLOOKUP(CONCATENATE($D50,$E50,DS$1+7),'ROLLING SCHED'!$A:$A,1,FALSE),"y")&lt;&gt;"y","y",""))</f>
        <v/>
      </c>
      <c r="DT50" s="1" t="str">
        <f>IF(IFERROR(VLOOKUP(CONCATENATE($D50,$E50,DT$1),'ROLLING SCHED'!$A:$A,1,FALSE),"x")&lt;&gt;"x","x",IF(IFERROR(VLOOKUP(CONCATENATE($D50,$E50,DT$1+7),'ROLLING SCHED'!$A:$A,1,FALSE),"y")&lt;&gt;"y","y",""))</f>
        <v/>
      </c>
      <c r="DU50" s="1" t="str">
        <f>IF(IFERROR(VLOOKUP(CONCATENATE($D50,$E50,DU$1),'ROLLING SCHED'!$A:$A,1,FALSE),"x")&lt;&gt;"x","x",IF(IFERROR(VLOOKUP(CONCATENATE($D50,$E50,DU$1+7),'ROLLING SCHED'!$A:$A,1,FALSE),"y")&lt;&gt;"y","y",""))</f>
        <v/>
      </c>
      <c r="DV50" s="1" t="str">
        <f>IF(IFERROR(VLOOKUP(CONCATENATE($D50,$E50,DV$1),'ROLLING SCHED'!$A:$A,1,FALSE),"x")&lt;&gt;"x","x",IF(IFERROR(VLOOKUP(CONCATENATE($D50,$E50,DV$1+7),'ROLLING SCHED'!$A:$A,1,FALSE),"y")&lt;&gt;"y","y",""))</f>
        <v/>
      </c>
      <c r="DW50" s="1" t="str">
        <f>IF(IFERROR(VLOOKUP(CONCATENATE($D50,$E50,DW$1),'ROLLING SCHED'!$A:$A,1,FALSE),"x")&lt;&gt;"x","x",IF(IFERROR(VLOOKUP(CONCATENATE($D50,$E50,DW$1+7),'ROLLING SCHED'!$A:$A,1,FALSE),"y")&lt;&gt;"y","y",""))</f>
        <v/>
      </c>
    </row>
    <row r="51" spans="1:127" outlineLevel="1" x14ac:dyDescent="0.3">
      <c r="A51" s="96" t="str">
        <f t="shared" si="1031"/>
        <v>106029553Production Calculation</v>
      </c>
      <c r="B51" s="20">
        <f t="shared" si="1032"/>
        <v>106029553</v>
      </c>
      <c r="C51" s="20" t="str">
        <f t="shared" si="1032"/>
        <v>L 5X5X1/2 GGMULTI 50'00"</v>
      </c>
      <c r="D51" s="20">
        <f t="shared" si="1032"/>
        <v>1323</v>
      </c>
      <c r="E51" s="20" t="str">
        <f>E50</f>
        <v>5" ANG</v>
      </c>
      <c r="F51" s="4" t="s">
        <v>207</v>
      </c>
      <c r="H51" s="1">
        <f>MAX(IFERROR(IF(H50="x",HLOOKUP("y",I50:$DW55,5,FALSE),0)+IF(H50="x",HLOOKUP("y",I50:$DW55,6,FALSE)*-1-IF(H50="x",SUM(G51:$H51),0),0),0),0)</f>
        <v>0</v>
      </c>
      <c r="I51" s="1">
        <f>MAX(IFERROR(IF(I50="x",HLOOKUP("y",J50:$DW55,5,FALSE),0)+IF(I50="x",HLOOKUP("y",J50:$DW55,6,FALSE)*-1-IF(I50="x",SUM(H51:$H51),0),0),0),0)</f>
        <v>0</v>
      </c>
      <c r="J51" s="1">
        <f>MAX(IFERROR(IF(J50="x",HLOOKUP("y",K50:$DW55,5,FALSE),0)+IF(J50="x",HLOOKUP("y",K50:$DW55,6,FALSE)*-1-IF(J50="x",SUM($H51:I51),0),0),0),0)</f>
        <v>0</v>
      </c>
      <c r="K51" s="112">
        <f>MAX(IFERROR(IF(K50="x",HLOOKUP("y",L50:$DW55,5,FALSE),0)+IF(K50="x",HLOOKUP("y",L50:$DW55,6,FALSE)*-1-IF(K50="x",SUM($H51:J51),0),0),0),0)</f>
        <v>0</v>
      </c>
      <c r="L51" s="112">
        <f>MAX(IFERROR(IF(L50="x",HLOOKUP("y",M50:$DW55,5,FALSE),0)+IF(L50="x",HLOOKUP("y",M50:$DW55,6,FALSE)*-1-IF(L50="x",SUM($H51:K51),0),0),0),0)</f>
        <v>0</v>
      </c>
      <c r="M51" s="112">
        <f>MAX(IFERROR(IF(M50="x",HLOOKUP("y",N50:$DW55,5,FALSE),0)+IF(M50="x",HLOOKUP("y",N50:$DW55,6,FALSE)*-1-IF(M50="x",SUM($H51:L51),0),0),0),0)</f>
        <v>0</v>
      </c>
      <c r="N51" s="112">
        <f>MAX(IFERROR(IF(N50="x",HLOOKUP("y",O50:$DW55,5,FALSE),0)+IF(N50="x",HLOOKUP("y",O50:$DW55,6,FALSE)*-1-IF(N50="x",SUM($H51:M51),0),0),0),0)</f>
        <v>0</v>
      </c>
      <c r="O51" s="112">
        <f>MAX(IFERROR(IF(O50="x",HLOOKUP("y",P50:$DW55,5,FALSE),0)+IF(O50="x",HLOOKUP("y",P50:$DW55,6,FALSE)*-1-IF(O50="x",SUM($H51:N51),0),0),0),0)</f>
        <v>0</v>
      </c>
      <c r="P51" s="112">
        <f>MAX(IFERROR(IF(P50="x",HLOOKUP("y",Q50:$DW55,5,FALSE),0)+IF(P50="x",HLOOKUP("y",Q50:$DW55,6,FALSE)*-1-IF(P50="x",SUM($H51:O51),0),0),0),0)</f>
        <v>0</v>
      </c>
      <c r="Q51" s="112">
        <f>MAX(IFERROR(IF(Q50="x",HLOOKUP("y",R50:$DW55,5,FALSE),0)+IF(Q50="x",HLOOKUP("y",R50:$DW55,6,FALSE)*-1-IF(Q50="x",SUM($H51:P51),0),0),0),0)</f>
        <v>0</v>
      </c>
      <c r="R51" s="112">
        <f>MAX(IFERROR(IF(R50="x",HLOOKUP("y",S50:$DW55,5,FALSE),0)+IF(R50="x",HLOOKUP("y",S50:$DW55,6,FALSE)*-1-IF(R50="x",SUM($H51:Q51),0),0),0),0)</f>
        <v>0</v>
      </c>
      <c r="S51" s="9">
        <f>MAX(IFERROR(IF(S50="x",HLOOKUP("y",T50:$DW55,5,FALSE),0)+IF(S50="x",HLOOKUP("y",T50:$DW55,6,FALSE)*-1-IF(S50="x",SUM($H51:R51),0),0),0),0)</f>
        <v>0</v>
      </c>
      <c r="T51" s="9">
        <f>MAX(IFERROR(IF(T50="x",HLOOKUP("y",U50:$DW55,5,FALSE),0)+IF(T50="x",HLOOKUP("y",U50:$DW55,6,FALSE)*-1-IF(T50="x",SUM($H51:S51),0),0),0),0)</f>
        <v>0</v>
      </c>
      <c r="U51" s="9">
        <f>MAX(IFERROR(IF(U50="x",HLOOKUP("y",V50:$DW55,5,FALSE),0)+IF(U50="x",HLOOKUP("y",V50:$DW55,6,FALSE)*-1-IF(U50="x",SUM($H51:T51),0),0),0),0)</f>
        <v>0</v>
      </c>
      <c r="V51" s="9">
        <f>MAX(IFERROR(IF(V50="x",HLOOKUP("y",W50:$DW55,5,FALSE),0)+IF(V50="x",HLOOKUP("y",W50:$DW55,6,FALSE)*-1-IF(V50="x",SUM($H51:U51),0),0),0),0)</f>
        <v>0</v>
      </c>
      <c r="W51" s="9">
        <f>MAX(IFERROR(IF(W50="x",HLOOKUP("y",X50:$DW55,5,FALSE),0)+IF(W50="x",HLOOKUP("y",X50:$DW55,6,FALSE)*-1-IF(W50="x",SUM($H51:V51),0),0),0),0)</f>
        <v>0</v>
      </c>
      <c r="X51" s="9">
        <f>MAX(IFERROR(IF(X50="x",HLOOKUP("y",Y50:$DW55,5,FALSE),0)+IF(X50="x",HLOOKUP("y",Y50:$DW55,6,FALSE)*-1-IF(X50="x",SUM($H51:W51),0),0),0),0)</f>
        <v>0</v>
      </c>
      <c r="Y51" s="9">
        <f>MAX(IFERROR(IF(Y50="x",HLOOKUP("y",Z50:$DW55,5,FALSE),0)+IF(Y50="x",HLOOKUP("y",Z50:$DW55,6,FALSE)*-1-IF(Y50="x",SUM($H51:X51),0),0),0),0)</f>
        <v>0</v>
      </c>
      <c r="Z51" s="9">
        <f>MAX(IFERROR(IF(Z50="x",HLOOKUP("y",AA50:$DW55,5,FALSE),0)+IF(Z50="x",HLOOKUP("y",AA50:$DW55,6,FALSE)*-1-IF(Z50="x",SUM($H51:Y51),0),0),0),0)</f>
        <v>0</v>
      </c>
      <c r="AA51" s="9">
        <f>MAX(IFERROR(IF(AA50="x",HLOOKUP("y",AB50:$DW55,5,FALSE),0)+IF(AA50="x",HLOOKUP("y",AB50:$DW55,6,FALSE)*-1-IF(AA50="x",SUM($H51:Z51),0),0),0),0)</f>
        <v>0</v>
      </c>
      <c r="AB51" s="1">
        <f>MAX(IFERROR(IF(AB50="x",HLOOKUP("y",AC50:$DW55,5,FALSE),0)+IF(AB50="x",HLOOKUP("y",AC50:$DW55,6,FALSE)*-1-IF(AB50="x",SUM($H51:AA51),0),0),0),0)</f>
        <v>0</v>
      </c>
      <c r="AC51" s="1">
        <f>MAX(IFERROR(IF(AC50="x",HLOOKUP("y",AD50:$DW55,5,FALSE),0)+IF(AC50="x",HLOOKUP("y",AD50:$DW55,6,FALSE)*-1-IF(AC50="x",SUM($H51:AB51),0),0),0),0)</f>
        <v>0</v>
      </c>
      <c r="AD51" s="1">
        <f>MAX(IFERROR(IF(AD50="x",HLOOKUP("y",AE50:$DW55,5,FALSE),0)+IF(AD50="x",HLOOKUP("y",AE50:$DW55,6,FALSE)*-1-IF(AD50="x",SUM($H51:AC51),0),0),0),0)</f>
        <v>0</v>
      </c>
      <c r="AE51" s="1">
        <f>MAX(IFERROR(IF(AE50="x",HLOOKUP("y",AF50:$DW55,5,FALSE),0)+IF(AE50="x",HLOOKUP("y",AF50:$DW55,6,FALSE)*-1-IF(AE50="x",SUM($H51:AD51),0),0),0),0)</f>
        <v>0</v>
      </c>
      <c r="AF51" s="1">
        <f>MAX(IFERROR(IF(AF50="x",HLOOKUP("y",AG50:$DW55,5,FALSE),0)+IF(AF50="x",HLOOKUP("y",AG50:$DW55,6,FALSE)*-1-IF(AF50="x",SUM($H51:AE51),0),0),0),0)</f>
        <v>0</v>
      </c>
      <c r="AG51" s="1">
        <f>MAX(IFERROR(IF(AG50="x",HLOOKUP("y",AH50:$DW55,5,FALSE),0)+IF(AG50="x",HLOOKUP("y",AH50:$DW55,6,FALSE)*-1-IF(AG50="x",SUM($H51:AF51),0),0),0),0)</f>
        <v>0</v>
      </c>
      <c r="AH51" s="1">
        <f>MAX(IFERROR(IF(AH50="x",HLOOKUP("y",AI50:$DW55,5,FALSE),0)+IF(AH50="x",HLOOKUP("y",AI50:$DW55,6,FALSE)*-1-IF(AH50="x",SUM($H51:AG51),0),0),0),0)</f>
        <v>0</v>
      </c>
      <c r="AI51" s="1">
        <f>MAX(IFERROR(IF(AI50="x",HLOOKUP("y",AJ50:$DW55,5,FALSE),0)+IF(AI50="x",HLOOKUP("y",AJ50:$DW55,6,FALSE)*-1-IF(AI50="x",SUM($H51:AH51),0),0),0),0)</f>
        <v>0</v>
      </c>
      <c r="AJ51" s="1">
        <f>MAX(IFERROR(IF(AJ50="x",HLOOKUP("y",AK50:$DW55,5,FALSE),0)+IF(AJ50="x",HLOOKUP("y",AK50:$DW55,6,FALSE)*-1-IF(AJ50="x",SUM($H51:AI51),0),0),0),0)</f>
        <v>0</v>
      </c>
      <c r="AK51" s="1">
        <f>MAX(IFERROR(IF(AK50="x",HLOOKUP("y",AL50:$DW55,5,FALSE),0)+IF(AK50="x",HLOOKUP("y",AL50:$DW55,6,FALSE)*-1-IF(AK50="x",SUM($H51:AJ51),0),0),0),0)</f>
        <v>0</v>
      </c>
      <c r="AL51" s="1">
        <f>MAX(IFERROR(IF(AL50="x",HLOOKUP("y",AM50:$DW55,5,FALSE),0)+IF(AL50="x",HLOOKUP("y",AM50:$DW55,6,FALSE)*-1-IF(AL50="x",SUM($H51:AK51),0),0),0),0)</f>
        <v>0</v>
      </c>
      <c r="AM51" s="1">
        <f>MAX(IFERROR(IF(AM50="x",HLOOKUP("y",AN50:$DW55,5,FALSE),0)+IF(AM50="x",HLOOKUP("y",AN50:$DW55,6,FALSE)*-1-IF(AM50="x",SUM($H51:AL51),0),0),0),0)</f>
        <v>0</v>
      </c>
      <c r="AN51" s="1">
        <f>MAX(IFERROR(IF(AN50="x",HLOOKUP("y",AO50:$DW55,5,FALSE),0)+IF(AN50="x",HLOOKUP("y",AO50:$DW55,6,FALSE)*-1-IF(AN50="x",SUM($H51:AM51),0),0),0),0)</f>
        <v>0</v>
      </c>
      <c r="AO51" s="1">
        <f>MAX(IFERROR(IF(AO50="x",HLOOKUP("y",AP50:$DW55,5,FALSE),0)+IF(AO50="x",HLOOKUP("y",AP50:$DW55,6,FALSE)*-1-IF(AO50="x",SUM($H51:AN51),0),0),0),0)</f>
        <v>0</v>
      </c>
      <c r="AP51" s="1">
        <f>MAX(IFERROR(IF(AP50="x",HLOOKUP("y",AQ50:$DW55,5,FALSE),0)+IF(AP50="x",HLOOKUP("y",AQ50:$DW55,6,FALSE)*-1-IF(AP50="x",SUM($H51:AO51),0),0),0),0)</f>
        <v>0</v>
      </c>
      <c r="AQ51" s="1">
        <f>MAX(IFERROR(IF(AQ50="x",HLOOKUP("y",AR50:$DW55,5,FALSE),0)+IF(AQ50="x",HLOOKUP("y",AR50:$DW55,6,FALSE)*-1-IF(AQ50="x",SUM($H51:AP51),0),0),0),0)</f>
        <v>0</v>
      </c>
      <c r="AR51" s="1">
        <f>MAX(IFERROR(IF(AR50="x",HLOOKUP("y",AS50:$DW55,5,FALSE),0)+IF(AR50="x",HLOOKUP("y",AS50:$DW55,6,FALSE)*-1-IF(AR50="x",SUM($H51:AQ51),0),0),0),0)</f>
        <v>0</v>
      </c>
      <c r="AS51" s="1">
        <f>MAX(IFERROR(IF(AS50="x",HLOOKUP("y",AT50:$DW55,5,FALSE),0)+IF(AS50="x",HLOOKUP("y",AT50:$DW55,6,FALSE)*-1-IF(AS50="x",SUM($H51:AR51),0),0),0),0)</f>
        <v>0</v>
      </c>
      <c r="AT51" s="1">
        <f>MAX(IFERROR(IF(AT50="x",HLOOKUP("y",AU50:$DW55,5,FALSE),0)+IF(AT50="x",HLOOKUP("y",AU50:$DW55,6,FALSE)*-1-IF(AT50="x",SUM($H51:AS51),0),0),0),0)</f>
        <v>0</v>
      </c>
      <c r="AU51" s="1">
        <f>MAX(IFERROR(IF(AU50="x",HLOOKUP("y",AV50:$DW55,5,FALSE),0)+IF(AU50="x",HLOOKUP("y",AV50:$DW55,6,FALSE)*-1-IF(AU50="x",SUM($H51:AT51),0),0),0),0)</f>
        <v>0</v>
      </c>
      <c r="AV51" s="1">
        <f>MAX(IFERROR(IF(AV50="x",HLOOKUP("y",AW50:$DW55,5,FALSE),0)+IF(AV50="x",HLOOKUP("y",AW50:$DW55,6,FALSE)*-1-IF(AV50="x",SUM($H51:AU51),0),0),0),0)</f>
        <v>0</v>
      </c>
      <c r="AW51" s="1">
        <f>MAX(IFERROR(IF(AW50="x",HLOOKUP("y",AX50:$DW55,5,FALSE),0)+IF(AW50="x",HLOOKUP("y",AX50:$DW55,6,FALSE)*-1-IF(AW50="x",SUM($H51:AV51),0),0),0),0)</f>
        <v>0</v>
      </c>
      <c r="AX51" s="1">
        <f>MAX(IFERROR(IF(AX50="x",HLOOKUP("y",AY50:$DW55,5,FALSE),0)+IF(AX50="x",HLOOKUP("y",AY50:$DW55,6,FALSE)*-1-IF(AX50="x",SUM($H51:AW51),0),0),0),0)</f>
        <v>0</v>
      </c>
      <c r="AY51" s="1">
        <f>MAX(IFERROR(IF(AY50="x",HLOOKUP("y",AZ50:$DW55,5,FALSE),0)+IF(AY50="x",HLOOKUP("y",AZ50:$DW55,6,FALSE)*-1-IF(AY50="x",SUM($H51:AX51),0),0),0),0)</f>
        <v>0</v>
      </c>
      <c r="AZ51" s="1">
        <f>MAX(IFERROR(IF(AZ50="x",HLOOKUP("y",BA50:$DW55,5,FALSE),0)+IF(AZ50="x",HLOOKUP("y",BA50:$DW55,6,FALSE)*-1-IF(AZ50="x",SUM($H51:AY51),0),0),0),0)</f>
        <v>0</v>
      </c>
      <c r="BA51" s="1">
        <f>MAX(IFERROR(IF(BA50="x",HLOOKUP("y",BB50:$DW55,5,FALSE),0)+IF(BA50="x",HLOOKUP("y",BB50:$DW55,6,FALSE)*-1-IF(BA50="x",SUM($H51:AZ51),0),0),0),0)</f>
        <v>0</v>
      </c>
      <c r="BB51" s="1">
        <f>MAX(IFERROR(IF(BB50="x",HLOOKUP("y",BC50:$DW55,5,FALSE),0)+IF(BB50="x",HLOOKUP("y",BC50:$DW55,6,FALSE)*-1-IF(BB50="x",SUM($H51:BA51),0),0),0),0)</f>
        <v>0</v>
      </c>
      <c r="BC51" s="1">
        <f>MAX(IFERROR(IF(BC50="x",HLOOKUP("y",BD50:$DW55,5,FALSE),0)+IF(BC50="x",HLOOKUP("y",BD50:$DW55,6,FALSE)*-1-IF(BC50="x",SUM($H51:BB51),0),0),0),0)</f>
        <v>0</v>
      </c>
      <c r="BD51" s="1">
        <f>MAX(IFERROR(IF(BD50="x",HLOOKUP("y",BE50:$DW55,5,FALSE),0)+IF(BD50="x",HLOOKUP("y",BE50:$DW55,6,FALSE)*-1-IF(BD50="x",SUM($H51:BC51),0),0),0),0)</f>
        <v>0</v>
      </c>
      <c r="BE51" s="1">
        <f>MAX(IFERROR(IF(BE50="x",HLOOKUP("y",BF50:$DW55,5,FALSE),0)+IF(BE50="x",HLOOKUP("y",BF50:$DW55,6,FALSE)*-1-IF(BE50="x",SUM($H51:BD51),0),0),0),0)</f>
        <v>0</v>
      </c>
      <c r="BF51" s="1">
        <f>MAX(IFERROR(IF(BF50="x",HLOOKUP("y",BG50:$DW55,5,FALSE),0)+IF(BF50="x",HLOOKUP("y",BG50:$DW55,6,FALSE)*-1-IF(BF50="x",SUM($H51:BE51),0),0),0),0)</f>
        <v>0</v>
      </c>
      <c r="BG51" s="1">
        <f>MAX(IFERROR(IF(BG50="x",HLOOKUP("y",BH50:$DW55,5,FALSE),0)+IF(BG50="x",HLOOKUP("y",BH50:$DW55,6,FALSE)*-1-IF(BG50="x",SUM($H51:BF51),0),0),0),0)</f>
        <v>0</v>
      </c>
      <c r="BH51" s="1">
        <f>MAX(IFERROR(IF(BH50="x",HLOOKUP("y",BI50:$DW55,5,FALSE),0)+IF(BH50="x",HLOOKUP("y",BI50:$DW55,6,FALSE)*-1-IF(BH50="x",SUM($H51:BG51),0),0),0),0)</f>
        <v>0</v>
      </c>
      <c r="BI51" s="1">
        <f>MAX(IFERROR(IF(BI50="x",HLOOKUP("y",BJ50:$DW55,5,FALSE),0)+IF(BI50="x",HLOOKUP("y",BJ50:$DW55,6,FALSE)*-1-IF(BI50="x",SUM($H51:BH51),0),0),0),0)</f>
        <v>0</v>
      </c>
      <c r="BJ51" s="1">
        <f>MAX(IFERROR(IF(BJ50="x",HLOOKUP("y",BK50:$DW55,5,FALSE),0)+IF(BJ50="x",HLOOKUP("y",BK50:$DW55,6,FALSE)*-1-IF(BJ50="x",SUM($H51:BI51),0),0),0),0)</f>
        <v>0</v>
      </c>
      <c r="BK51" s="1">
        <f>MAX(IFERROR(IF(BK50="x",HLOOKUP("y",BL50:$DW55,5,FALSE),0)+IF(BK50="x",HLOOKUP("y",BL50:$DW55,6,FALSE)*-1-IF(BK50="x",SUM($H51:BJ51),0),0),0),0)</f>
        <v>0</v>
      </c>
      <c r="BL51" s="1">
        <f>MAX(IFERROR(IF(BL50="x",HLOOKUP("y",BM50:$DW55,5,FALSE),0)+IF(BL50="x",HLOOKUP("y",BM50:$DW55,6,FALSE)*-1-IF(BL50="x",SUM($H51:BK51),0),0),0),0)</f>
        <v>0</v>
      </c>
      <c r="BM51" s="1">
        <f>MAX(IFERROR(IF(BM50="x",HLOOKUP("y",BN50:$DW55,5,FALSE),0)+IF(BM50="x",HLOOKUP("y",BN50:$DW55,6,FALSE)*-1-IF(BM50="x",SUM($H51:BL51),0),0),0),0)</f>
        <v>0</v>
      </c>
      <c r="BN51" s="1">
        <f>MAX(IFERROR(IF(BN50="x",HLOOKUP("y",BO50:$DW55,5,FALSE),0)+IF(BN50="x",HLOOKUP("y",BO50:$DW55,6,FALSE)*-1-IF(BN50="x",SUM($H51:BM51),0),0),0),0)</f>
        <v>0</v>
      </c>
      <c r="BO51" s="1">
        <f>MAX(IFERROR(IF(BO50="x",HLOOKUP("y",BP50:$DW55,5,FALSE),0)+IF(BO50="x",HLOOKUP("y",BP50:$DW55,6,FALSE)*-1-IF(BO50="x",SUM($H51:BN51),0),0),0),0)</f>
        <v>0</v>
      </c>
      <c r="BP51" s="1">
        <f>MAX(IFERROR(IF(BP50="x",HLOOKUP("y",BQ50:$DW55,5,FALSE),0)+IF(BP50="x",HLOOKUP("y",BQ50:$DW55,6,FALSE)*-1-IF(BP50="x",SUM($H51:BO51),0),0),0),0)</f>
        <v>0</v>
      </c>
      <c r="BQ51" s="1">
        <f>MAX(IFERROR(IF(BQ50="x",HLOOKUP("y",BR50:$DW55,5,FALSE),0)+IF(BQ50="x",HLOOKUP("y",BR50:$DW55,6,FALSE)*-1-IF(BQ50="x",SUM($H51:BP51),0),0),0),0)</f>
        <v>0</v>
      </c>
      <c r="BR51" s="1">
        <f>MAX(IFERROR(IF(BR50="x",HLOOKUP("y",BS50:$DW55,5,FALSE),0)+IF(BR50="x",HLOOKUP("y",BS50:$DW55,6,FALSE)*-1-IF(BR50="x",SUM($H51:BQ51),0),0),0),0)</f>
        <v>0</v>
      </c>
      <c r="BS51" s="1">
        <f>MAX(IFERROR(IF(BS50="x",HLOOKUP("y",BT50:$DW55,5,FALSE),0)+IF(BS50="x",HLOOKUP("y",BT50:$DW55,6,FALSE)*-1-IF(BS50="x",SUM($H51:BR51),0),0),0),0)</f>
        <v>0</v>
      </c>
      <c r="BT51" s="1">
        <f>MAX(IFERROR(IF(BT50="x",HLOOKUP("y",BU50:$DW55,5,FALSE),0)+IF(BT50="x",HLOOKUP("y",BU50:$DW55,6,FALSE)*-1-IF(BT50="x",SUM($H51:BS51),0),0),0),0)</f>
        <v>0</v>
      </c>
      <c r="BU51" s="1">
        <f>MAX(IFERROR(IF(BU50="x",HLOOKUP("y",BV50:$DW55,5,FALSE),0)+IF(BU50="x",HLOOKUP("y",BV50:$DW55,6,FALSE)*-1-IF(BU50="x",SUM($H51:BT51),0),0),0),0)</f>
        <v>0</v>
      </c>
      <c r="BV51" s="1">
        <f>MAX(IFERROR(IF(BV50="x",HLOOKUP("y",BW50:$DW55,5,FALSE),0)+IF(BV50="x",HLOOKUP("y",BW50:$DW55,6,FALSE)*-1-IF(BV50="x",SUM($H51:BU51),0),0),0),0)</f>
        <v>0</v>
      </c>
      <c r="BW51" s="1">
        <f>MAX(IFERROR(IF(BW50="x",HLOOKUP("y",BX50:$DW55,5,FALSE),0)+IF(BW50="x",HLOOKUP("y",BX50:$DW55,6,FALSE)*-1-IF(BW50="x",SUM($H51:BV51),0),0),0),0)</f>
        <v>0</v>
      </c>
      <c r="BX51" s="1">
        <f>MAX(IFERROR(IF(BX50="x",HLOOKUP("y",BY50:$DW55,5,FALSE),0)+IF(BX50="x",HLOOKUP("y",BY50:$DW55,6,FALSE)*-1-IF(BX50="x",SUM($H51:BW51),0),0),0),0)</f>
        <v>0</v>
      </c>
      <c r="BY51" s="1">
        <f>MAX(IFERROR(IF(BY50="x",HLOOKUP("y",BZ50:$DW55,5,FALSE),0)+IF(BY50="x",HLOOKUP("y",BZ50:$DW55,6,FALSE)*-1-IF(BY50="x",SUM($H51:BX51),0),0),0),0)</f>
        <v>0</v>
      </c>
      <c r="BZ51" s="1">
        <f>MAX(IFERROR(IF(BZ50="x",HLOOKUP("y",CA50:$DW55,5,FALSE),0)+IF(BZ50="x",HLOOKUP("y",CA50:$DW55,6,FALSE)*-1-IF(BZ50="x",SUM($H51:BY51),0),0),0),0)</f>
        <v>0</v>
      </c>
      <c r="CA51" s="1">
        <f>MAX(IFERROR(IF(CA50="x",HLOOKUP("y",CB50:$DW55,5,FALSE),0)+IF(CA50="x",HLOOKUP("y",CB50:$DW55,6,FALSE)*-1-IF(CA50="x",SUM($H51:BZ51),0),0),0),0)</f>
        <v>0</v>
      </c>
      <c r="CB51" s="1">
        <f>MAX(IFERROR(IF(CB50="x",HLOOKUP("y",CC50:$DW55,5,FALSE),0)+IF(CB50="x",HLOOKUP("y",CC50:$DW55,6,FALSE)*-1-IF(CB50="x",SUM($H51:CA51),0),0),0),0)</f>
        <v>0</v>
      </c>
      <c r="CC51" s="1">
        <f>MAX(IFERROR(IF(CC50="x",HLOOKUP("y",CD50:$DW55,5,FALSE),0)+IF(CC50="x",HLOOKUP("y",CD50:$DW55,6,FALSE)*-1-IF(CC50="x",SUM($H51:CB51),0),0),0),0)</f>
        <v>0</v>
      </c>
      <c r="CD51" s="1">
        <f>MAX(IFERROR(IF(CD50="x",HLOOKUP("y",CE50:$DW55,5,FALSE),0)+IF(CD50="x",HLOOKUP("y",CE50:$DW55,6,FALSE)*-1-IF(CD50="x",SUM($H51:CC51),0),0),0),0)</f>
        <v>0</v>
      </c>
      <c r="CE51" s="1">
        <f>MAX(IFERROR(IF(CE50="x",HLOOKUP("y",CF50:$DW55,5,FALSE),0)+IF(CE50="x",HLOOKUP("y",CF50:$DW55,6,FALSE)*-1-IF(CE50="x",SUM($H51:CD51),0),0),0),0)</f>
        <v>0</v>
      </c>
      <c r="CF51" s="1">
        <f>MAX(IFERROR(IF(CF50="x",HLOOKUP("y",CG50:$DW55,5,FALSE),0)+IF(CF50="x",HLOOKUP("y",CG50:$DW55,6,FALSE)*-1-IF(CF50="x",SUM($H51:CE51),0),0),0),0)</f>
        <v>0</v>
      </c>
      <c r="CG51" s="1">
        <f>MAX(IFERROR(IF(CG50="x",HLOOKUP("y",CH50:$DW55,5,FALSE),0)+IF(CG50="x",HLOOKUP("y",CH50:$DW55,6,FALSE)*-1-IF(CG50="x",SUM($H51:CF51),0),0),0),0)</f>
        <v>0</v>
      </c>
      <c r="CH51" s="1">
        <f>MAX(IFERROR(IF(CH50="x",HLOOKUP("y",CI50:$DW55,5,FALSE),0)+IF(CH50="x",HLOOKUP("y",CI50:$DW55,6,FALSE)*-1-IF(CH50="x",SUM($H51:CG51),0),0),0),0)</f>
        <v>0</v>
      </c>
      <c r="CI51" s="1">
        <f>MAX(IFERROR(IF(CI50="x",HLOOKUP("y",CJ50:$DW55,5,FALSE),0)+IF(CI50="x",HLOOKUP("y",CJ50:$DW55,6,FALSE)*-1-IF(CI50="x",SUM($H51:CH51),0),0),0),0)</f>
        <v>0</v>
      </c>
      <c r="CJ51" s="1">
        <f>MAX(IFERROR(IF(CJ50="x",HLOOKUP("y",CK50:$DW55,5,FALSE),0)+IF(CJ50="x",HLOOKUP("y",CK50:$DW55,6,FALSE)*-1-IF(CJ50="x",SUM($H51:CI51),0),0),0),0)</f>
        <v>0</v>
      </c>
      <c r="CK51" s="1">
        <f>MAX(IFERROR(IF(CK50="x",HLOOKUP("y",CL50:$DW55,5,FALSE),0)+IF(CK50="x",HLOOKUP("y",CL50:$DW55,6,FALSE)*-1-IF(CK50="x",SUM($H51:CJ51),0),0),0),0)</f>
        <v>0</v>
      </c>
      <c r="CL51" s="1">
        <f>MAX(IFERROR(IF(CL50="x",HLOOKUP("y",CM50:$DW55,5,FALSE),0)+IF(CL50="x",HLOOKUP("y",CM50:$DW55,6,FALSE)*-1-IF(CL50="x",SUM($H51:CK51),0),0),0),0)</f>
        <v>0</v>
      </c>
      <c r="CM51" s="1">
        <f>MAX(IFERROR(IF(CM50="x",HLOOKUP("y",CN50:$DW55,5,FALSE),0)+IF(CM50="x",HLOOKUP("y",CN50:$DW55,6,FALSE)*-1-IF(CM50="x",SUM($H51:CL51),0),0),0),0)</f>
        <v>0</v>
      </c>
      <c r="CN51" s="1">
        <f>MAX(IFERROR(IF(CN50="x",HLOOKUP("y",CO50:$DW55,5,FALSE),0)+IF(CN50="x",HLOOKUP("y",CO50:$DW55,6,FALSE)*-1-IF(CN50="x",SUM($H51:CM51),0),0),0),0)</f>
        <v>0</v>
      </c>
      <c r="CO51" s="1">
        <f>MAX(IFERROR(IF(CO50="x",HLOOKUP("y",CP50:$DW55,5,FALSE),0)+IF(CO50="x",HLOOKUP("y",CP50:$DW55,6,FALSE)*-1-IF(CO50="x",SUM($H51:CN51),0),0),0),0)</f>
        <v>0</v>
      </c>
      <c r="CP51" s="1">
        <f>MAX(IFERROR(IF(CP50="x",HLOOKUP("y",CQ50:$DW55,5,FALSE),0)+IF(CP50="x",HLOOKUP("y",CQ50:$DW55,6,FALSE)*-1-IF(CP50="x",SUM($H51:CO51),0),0),0),0)</f>
        <v>0</v>
      </c>
      <c r="CQ51" s="1">
        <f>MAX(IFERROR(IF(CQ50="x",HLOOKUP("y",CR50:$DW55,5,FALSE),0)+IF(CQ50="x",HLOOKUP("y",CR50:$DW55,6,FALSE)*-1-IF(CQ50="x",SUM($H51:CP51),0),0),0),0)</f>
        <v>0</v>
      </c>
      <c r="CR51" s="1">
        <f>MAX(IFERROR(IF(CR50="x",HLOOKUP("y",CS50:$DW55,5,FALSE),0)+IF(CR50="x",HLOOKUP("y",CS50:$DW55,6,FALSE)*-1-IF(CR50="x",SUM($H51:CQ51),0),0),0),0)</f>
        <v>0</v>
      </c>
      <c r="CS51" s="1">
        <f>MAX(IFERROR(IF(CS50="x",HLOOKUP("y",CT50:$DW55,5,FALSE),0)+IF(CS50="x",HLOOKUP("y",CT50:$DW55,6,FALSE)*-1-IF(CS50="x",SUM($H51:CR51),0),0),0),0)</f>
        <v>0</v>
      </c>
      <c r="CT51" s="1">
        <f>MAX(IFERROR(IF(CT50="x",HLOOKUP("y",CU50:$DW55,5,FALSE),0)+IF(CT50="x",HLOOKUP("y",CU50:$DW55,6,FALSE)*-1-IF(CT50="x",SUM($H51:CS51),0),0),0),0)</f>
        <v>0</v>
      </c>
      <c r="CU51" s="1">
        <f>MAX(IFERROR(IF(CU50="x",HLOOKUP("y",CV50:$DW55,5,FALSE),0)+IF(CU50="x",HLOOKUP("y",CV50:$DW55,6,FALSE)*-1-IF(CU50="x",SUM($H51:CT51),0),0),0),0)</f>
        <v>0</v>
      </c>
      <c r="CV51" s="1">
        <f>MAX(IFERROR(IF(CV50="x",HLOOKUP("y",CW50:$DW55,5,FALSE),0)+IF(CV50="x",HLOOKUP("y",CW50:$DW55,6,FALSE)*-1-IF(CV50="x",SUM($H51:CU51),0),0),0),0)</f>
        <v>0</v>
      </c>
      <c r="CW51" s="1">
        <f>MAX(IFERROR(IF(CW50="x",HLOOKUP("y",CX50:$DW55,5,FALSE),0)+IF(CW50="x",HLOOKUP("y",CX50:$DW55,6,FALSE)*-1-IF(CW50="x",SUM($H51:CV51),0),0),0),0)</f>
        <v>0</v>
      </c>
      <c r="CX51" s="1">
        <f>MAX(IFERROR(IF(CX50="x",HLOOKUP("y",CY50:$DW55,5,FALSE),0)+IF(CX50="x",HLOOKUP("y",CY50:$DW55,6,FALSE)*-1-IF(CX50="x",SUM($H51:CW51),0),0),0),0)</f>
        <v>0</v>
      </c>
      <c r="CY51" s="1">
        <f>MAX(IFERROR(IF(CY50="x",HLOOKUP("y",CZ50:$DW55,5,FALSE),0)+IF(CY50="x",HLOOKUP("y",CZ50:$DW55,6,FALSE)*-1-IF(CY50="x",SUM($H51:CX51),0),0),0),0)</f>
        <v>0</v>
      </c>
      <c r="CZ51" s="1">
        <f>MAX(IFERROR(IF(CZ50="x",HLOOKUP("y",DA50:$DW55,5,FALSE),0)+IF(CZ50="x",HLOOKUP("y",DA50:$DW55,6,FALSE)*-1-IF(CZ50="x",SUM($H51:CY51),0),0),0),0)</f>
        <v>0</v>
      </c>
      <c r="DA51" s="1">
        <f>MAX(IFERROR(IF(DA50="x",HLOOKUP("y",DB50:$DW55,5,FALSE),0)+IF(DA50="x",HLOOKUP("y",DB50:$DW55,6,FALSE)*-1-IF(DA50="x",SUM($H51:CZ51),0),0),0),0)</f>
        <v>0</v>
      </c>
      <c r="DB51" s="1">
        <f>MAX(IFERROR(IF(DB50="x",HLOOKUP("y",DC50:$DW55,5,FALSE),0)+IF(DB50="x",HLOOKUP("y",DC50:$DW55,6,FALSE)*-1-IF(DB50="x",SUM($H51:DA51),0),0),0),0)</f>
        <v>0</v>
      </c>
      <c r="DC51" s="1">
        <f>MAX(IFERROR(IF(DC50="x",HLOOKUP("y",DD50:$DW55,5,FALSE),0)+IF(DC50="x",HLOOKUP("y",DD50:$DW55,6,FALSE)*-1-IF(DC50="x",SUM($H51:DB51),0),0),0),0)</f>
        <v>0</v>
      </c>
      <c r="DD51" s="1">
        <f>MAX(IFERROR(IF(DD50="x",HLOOKUP("y",DE50:$DW55,5,FALSE),0)+IF(DD50="x",HLOOKUP("y",DE50:$DW55,6,FALSE)*-1-IF(DD50="x",SUM($H51:DC51),0),0),0),0)</f>
        <v>0</v>
      </c>
      <c r="DE51" s="1">
        <f>MAX(IFERROR(IF(DE50="x",HLOOKUP("y",DF50:$DW55,5,FALSE),0)+IF(DE50="x",HLOOKUP("y",DF50:$DW55,6,FALSE)*-1-IF(DE50="x",SUM($H51:DD51),0),0),0),0)</f>
        <v>0</v>
      </c>
      <c r="DF51" s="1">
        <f>MAX(IFERROR(IF(DF50="x",HLOOKUP("y",DG50:$DW55,5,FALSE),0)+IF(DF50="x",HLOOKUP("y",DG50:$DW55,6,FALSE)*-1-IF(DF50="x",SUM($H51:DE51),0),0),0),0)</f>
        <v>0</v>
      </c>
      <c r="DG51" s="1">
        <f>MAX(IFERROR(IF(DG50="x",HLOOKUP("y",DH50:$DW55,5,FALSE),0)+IF(DG50="x",HLOOKUP("y",DH50:$DW55,6,FALSE)*-1-IF(DG50="x",SUM($H51:DF51),0),0),0),0)</f>
        <v>0</v>
      </c>
      <c r="DH51" s="1">
        <f>MAX(IFERROR(IF(DH50="x",HLOOKUP("y",DI50:$DW55,5,FALSE),0)+IF(DH50="x",HLOOKUP("y",DI50:$DW55,6,FALSE)*-1-IF(DH50="x",SUM($H51:DG51),0),0),0),0)</f>
        <v>0</v>
      </c>
      <c r="DI51" s="1">
        <f>MAX(IFERROR(IF(DI50="x",HLOOKUP("y",DJ50:$DW55,5,FALSE),0)+IF(DI50="x",HLOOKUP("y",DJ50:$DW55,6,FALSE)*-1-IF(DI50="x",SUM($H51:DH51),0),0),0),0)</f>
        <v>0</v>
      </c>
      <c r="DJ51" s="1">
        <f>MAX(IFERROR(IF(DJ50="x",HLOOKUP("y",DK50:$DW55,5,FALSE),0)+IF(DJ50="x",HLOOKUP("y",DK50:$DW55,6,FALSE)*-1-IF(DJ50="x",SUM($H51:DI51),0),0),0),0)</f>
        <v>0</v>
      </c>
      <c r="DK51" s="1">
        <f>MAX(IFERROR(IF(DK50="x",HLOOKUP("y",DL50:$DW55,5,FALSE),0)+IF(DK50="x",HLOOKUP("y",DL50:$DW55,6,FALSE)*-1-IF(DK50="x",SUM($H51:DJ51),0),0),0),0)</f>
        <v>0</v>
      </c>
      <c r="DL51" s="1">
        <f>MAX(IFERROR(IF(DL50="x",HLOOKUP("y",DM50:$DW55,5,FALSE),0)+IF(DL50="x",HLOOKUP("y",DM50:$DW55,6,FALSE)*-1-IF(DL50="x",SUM($H51:DK51),0),0),0),0)</f>
        <v>0</v>
      </c>
      <c r="DM51" s="1">
        <f>MAX(IFERROR(IF(DM50="x",HLOOKUP("y",DN50:$DW55,5,FALSE),0)+IF(DM50="x",HLOOKUP("y",DN50:$DW55,6,FALSE)*-1-IF(DM50="x",SUM($H51:DL51),0),0),0),0)</f>
        <v>0</v>
      </c>
      <c r="DN51" s="1">
        <f>MAX(IFERROR(IF(DN50="x",HLOOKUP("y",DO50:$DW55,5,FALSE),0)+IF(DN50="x",HLOOKUP("y",DO50:$DW55,6,FALSE)*-1-IF(DN50="x",SUM($H51:DM51),0),0),0),0)</f>
        <v>0</v>
      </c>
      <c r="DO51" s="1">
        <f>MAX(IFERROR(IF(DO50="x",HLOOKUP("y",DP50:$DW55,5,FALSE),0)+IF(DO50="x",HLOOKUP("y",DP50:$DW55,6,FALSE)*-1-IF(DO50="x",SUM($H51:DN51),0),0),0),0)</f>
        <v>0</v>
      </c>
      <c r="DP51" s="1">
        <f>MAX(IFERROR(IF(DP50="x",HLOOKUP("y",DQ50:$DW55,5,FALSE),0)+IF(DP50="x",HLOOKUP("y",DQ50:$DW55,6,FALSE)*-1-IF(DP50="x",SUM($H51:DO51),0),0),0),0)</f>
        <v>0</v>
      </c>
      <c r="DQ51" s="1">
        <f>MAX(IFERROR(IF(DQ50="x",HLOOKUP("y",DR50:$DW55,5,FALSE),0)+IF(DQ50="x",HLOOKUP("y",DR50:$DW55,6,FALSE)*-1-IF(DQ50="x",SUM($H51:DP51),0),0),0),0)</f>
        <v>0</v>
      </c>
      <c r="DR51" s="1">
        <f>MAX(IFERROR(IF(DR50="x",HLOOKUP("y",DS50:$DW55,5,FALSE),0)+IF(DR50="x",HLOOKUP("y",DS50:$DW55,6,FALSE)*-1-IF(DR50="x",SUM($H51:DQ51),0),0),0),0)</f>
        <v>0</v>
      </c>
      <c r="DS51" s="1">
        <f>MAX(IFERROR(IF(DS50="x",HLOOKUP("y",DT50:$DW55,5,FALSE),0)+IF(DS50="x",HLOOKUP("y",DT50:$DW55,6,FALSE)*-1-IF(DS50="x",SUM($H51:DR51),0),0),0),0)</f>
        <v>0</v>
      </c>
      <c r="DT51" s="1">
        <f>MAX(IFERROR(IF(DT50="x",HLOOKUP("y",DU50:$DW55,5,FALSE),0)+IF(DT50="x",HLOOKUP("y",DU50:$DW55,6,FALSE)*-1-IF(DT50="x",SUM($H51:DS51),0),0),0),0)</f>
        <v>0</v>
      </c>
      <c r="DU51" s="1">
        <f>MAX(IFERROR(IF(DU50="x",HLOOKUP("y",DV50:$DW55,5,FALSE),0)+IF(DU50="x",HLOOKUP("y",DV50:$DW55,6,FALSE)*-1-IF(DU50="x",SUM($H51:DT51),0),0),0),0)</f>
        <v>0</v>
      </c>
      <c r="DV51" s="1">
        <f>MAX(IFERROR(IF(DV50="x",HLOOKUP("y",DW50:$DW55,5,FALSE),0)+IF(DV50="x",HLOOKUP("y",DW50:$DW55,6,FALSE)*-1-IF(DV50="x",SUM($H51:DU51),0),0),0),0)</f>
        <v>0</v>
      </c>
      <c r="DW51" s="1">
        <f>MAX(IFERROR(IF(DW50="x",HLOOKUP("y",$DW50:DX55,5,FALSE),0)+IF(DW50="x",HLOOKUP("y",$DW50:DX55,6,FALSE)*-1-IF(DW50="x",SUM($H51:DV51),0),0),0),0)</f>
        <v>0</v>
      </c>
    </row>
    <row r="52" spans="1:127" outlineLevel="1" x14ac:dyDescent="0.3">
      <c r="A52" s="96" t="str">
        <f t="shared" si="1031"/>
        <v>106029553Production</v>
      </c>
      <c r="B52" s="20">
        <f t="shared" si="1032"/>
        <v>106029553</v>
      </c>
      <c r="C52" s="20" t="str">
        <f t="shared" si="1032"/>
        <v>L 5X5X1/2 GGMULTI 50'00"</v>
      </c>
      <c r="D52" s="20">
        <f t="shared" si="1032"/>
        <v>1323</v>
      </c>
      <c r="E52" s="20" t="str">
        <f t="shared" si="1032"/>
        <v>5" ANG</v>
      </c>
      <c r="F52" s="4" t="s">
        <v>172</v>
      </c>
      <c r="H52" s="1">
        <v>0</v>
      </c>
      <c r="I52" s="1">
        <v>0</v>
      </c>
      <c r="J52" s="1">
        <v>0</v>
      </c>
      <c r="K52" s="112">
        <v>0</v>
      </c>
      <c r="L52" s="112">
        <v>0</v>
      </c>
      <c r="M52" s="112">
        <v>0</v>
      </c>
      <c r="N52" s="112">
        <v>0</v>
      </c>
      <c r="O52" s="112">
        <v>0</v>
      </c>
      <c r="P52" s="112">
        <v>352.63333333333338</v>
      </c>
      <c r="Q52" s="112">
        <v>0</v>
      </c>
      <c r="R52" s="112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6.7666666666667084</v>
      </c>
      <c r="Z52" s="9">
        <v>0</v>
      </c>
      <c r="AA52" s="9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10.500000000000171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10.500000000000171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11.666666666666856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</row>
    <row r="53" spans="1:127" outlineLevel="1" x14ac:dyDescent="0.3">
      <c r="A53" s="96" t="str">
        <f t="shared" si="1031"/>
        <v>106029553Production from another Mill / SKU</v>
      </c>
      <c r="B53" s="20">
        <f t="shared" si="1032"/>
        <v>106029553</v>
      </c>
      <c r="C53" s="20" t="str">
        <f t="shared" si="1032"/>
        <v>L 5X5X1/2 GGMULTI 50'00"</v>
      </c>
      <c r="D53" s="20">
        <f t="shared" si="1032"/>
        <v>1323</v>
      </c>
      <c r="E53" s="20" t="str">
        <f t="shared" si="1032"/>
        <v>5" ANG</v>
      </c>
      <c r="F53" s="35" t="s">
        <v>208</v>
      </c>
      <c r="H53" s="68">
        <f>VLOOKUP(B53,FORECAST!$D:$X,21,FALSE)</f>
        <v>0</v>
      </c>
      <c r="I53" s="1"/>
      <c r="J53" s="1"/>
      <c r="K53" s="112"/>
      <c r="L53" s="112"/>
      <c r="M53" s="112"/>
      <c r="N53" s="112"/>
      <c r="O53" s="112"/>
      <c r="P53" s="112"/>
      <c r="Q53" s="112"/>
      <c r="R53" s="112"/>
      <c r="S53" s="9"/>
      <c r="T53" s="9"/>
      <c r="U53" s="9"/>
      <c r="V53" s="9"/>
      <c r="W53" s="9"/>
      <c r="X53" s="9"/>
      <c r="Y53" s="9"/>
      <c r="Z53" s="9"/>
      <c r="AA53" s="9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</row>
    <row r="54" spans="1:127" s="1" customFormat="1" outlineLevel="1" x14ac:dyDescent="0.3">
      <c r="A54" s="96" t="str">
        <f t="shared" si="1031"/>
        <v>106029553Safety Stock</v>
      </c>
      <c r="B54" s="20">
        <f t="shared" si="1032"/>
        <v>106029553</v>
      </c>
      <c r="C54" s="20" t="str">
        <f t="shared" si="1032"/>
        <v>L 5X5X1/2 GGMULTI 50'00"</v>
      </c>
      <c r="D54" s="20">
        <f t="shared" si="1032"/>
        <v>1323</v>
      </c>
      <c r="E54" s="20" t="str">
        <f t="shared" si="1032"/>
        <v>5" ANG</v>
      </c>
      <c r="F54" s="5" t="s">
        <v>74</v>
      </c>
      <c r="G54" s="37">
        <f>VLOOKUP(B54,FORECAST!$D:$W,4,FALSE)</f>
        <v>100</v>
      </c>
      <c r="H54" s="38">
        <f>G54</f>
        <v>100</v>
      </c>
      <c r="I54" s="38">
        <f t="shared" ref="I54" si="1033">H54</f>
        <v>100</v>
      </c>
      <c r="J54" s="38">
        <f t="shared" ref="J54" si="1034">I54</f>
        <v>100</v>
      </c>
      <c r="K54" s="114">
        <f t="shared" ref="K54" si="1035">J54</f>
        <v>100</v>
      </c>
      <c r="L54" s="114">
        <f t="shared" ref="L54" si="1036">K54</f>
        <v>100</v>
      </c>
      <c r="M54" s="114">
        <f t="shared" ref="M54" si="1037">L54</f>
        <v>100</v>
      </c>
      <c r="N54" s="114">
        <f t="shared" ref="N54" si="1038">M54</f>
        <v>100</v>
      </c>
      <c r="O54" s="114">
        <f t="shared" ref="O54" si="1039">N54</f>
        <v>100</v>
      </c>
      <c r="P54" s="114">
        <f t="shared" ref="P54" si="1040">O54</f>
        <v>100</v>
      </c>
      <c r="Q54" s="114">
        <f t="shared" ref="Q54" si="1041">P54</f>
        <v>100</v>
      </c>
      <c r="R54" s="114">
        <f t="shared" ref="R54" si="1042">Q54</f>
        <v>100</v>
      </c>
      <c r="S54" s="118">
        <f t="shared" ref="S54" si="1043">R54</f>
        <v>100</v>
      </c>
      <c r="T54" s="118">
        <f t="shared" ref="T54" si="1044">S54</f>
        <v>100</v>
      </c>
      <c r="U54" s="118">
        <f t="shared" ref="U54" si="1045">T54</f>
        <v>100</v>
      </c>
      <c r="V54" s="118">
        <f t="shared" ref="V54" si="1046">U54</f>
        <v>100</v>
      </c>
      <c r="W54" s="118">
        <f t="shared" ref="W54" si="1047">V54</f>
        <v>100</v>
      </c>
      <c r="X54" s="118">
        <f t="shared" ref="X54" si="1048">W54</f>
        <v>100</v>
      </c>
      <c r="Y54" s="118">
        <f t="shared" ref="Y54" si="1049">X54</f>
        <v>100</v>
      </c>
      <c r="Z54" s="118">
        <f t="shared" ref="Z54" si="1050">Y54</f>
        <v>100</v>
      </c>
      <c r="AA54" s="118">
        <f t="shared" ref="AA54" si="1051">Z54</f>
        <v>100</v>
      </c>
      <c r="AB54" s="38">
        <f t="shared" ref="AB54" si="1052">AA54</f>
        <v>100</v>
      </c>
      <c r="AC54" s="38">
        <f t="shared" ref="AC54" si="1053">AB54</f>
        <v>100</v>
      </c>
      <c r="AD54" s="38">
        <f t="shared" ref="AD54" si="1054">AC54</f>
        <v>100</v>
      </c>
      <c r="AE54" s="38">
        <f t="shared" ref="AE54" si="1055">AD54</f>
        <v>100</v>
      </c>
      <c r="AF54" s="38">
        <f t="shared" ref="AF54" si="1056">AE54</f>
        <v>100</v>
      </c>
      <c r="AG54" s="38">
        <f t="shared" ref="AG54" si="1057">AF54</f>
        <v>100</v>
      </c>
      <c r="AH54" s="38">
        <f t="shared" ref="AH54" si="1058">AG54</f>
        <v>100</v>
      </c>
      <c r="AI54" s="38">
        <f t="shared" ref="AI54" si="1059">AH54</f>
        <v>100</v>
      </c>
      <c r="AJ54" s="38">
        <f t="shared" ref="AJ54" si="1060">AI54</f>
        <v>100</v>
      </c>
      <c r="AK54" s="38">
        <f t="shared" ref="AK54" si="1061">AJ54</f>
        <v>100</v>
      </c>
      <c r="AL54" s="38">
        <f t="shared" ref="AL54" si="1062">AK54</f>
        <v>100</v>
      </c>
      <c r="AM54" s="38">
        <f t="shared" ref="AM54" si="1063">AL54</f>
        <v>100</v>
      </c>
      <c r="AN54" s="38">
        <f t="shared" ref="AN54" si="1064">AM54</f>
        <v>100</v>
      </c>
      <c r="AO54" s="38">
        <f t="shared" ref="AO54" si="1065">AN54</f>
        <v>100</v>
      </c>
      <c r="AP54" s="38">
        <f t="shared" ref="AP54" si="1066">AO54</f>
        <v>100</v>
      </c>
      <c r="AQ54" s="38">
        <f t="shared" ref="AQ54" si="1067">AP54</f>
        <v>100</v>
      </c>
      <c r="AR54" s="38">
        <f t="shared" ref="AR54" si="1068">AQ54</f>
        <v>100</v>
      </c>
      <c r="AS54" s="38">
        <f t="shared" ref="AS54" si="1069">AR54</f>
        <v>100</v>
      </c>
      <c r="AT54" s="38">
        <f t="shared" ref="AT54" si="1070">AS54</f>
        <v>100</v>
      </c>
      <c r="AU54" s="38">
        <f t="shared" ref="AU54" si="1071">AT54</f>
        <v>100</v>
      </c>
      <c r="AV54" s="38">
        <f t="shared" ref="AV54" si="1072">AU54</f>
        <v>100</v>
      </c>
      <c r="AW54" s="38">
        <f t="shared" ref="AW54" si="1073">AV54</f>
        <v>100</v>
      </c>
      <c r="AX54" s="38">
        <f t="shared" ref="AX54" si="1074">AW54</f>
        <v>100</v>
      </c>
      <c r="AY54" s="38">
        <f t="shared" ref="AY54" si="1075">AX54</f>
        <v>100</v>
      </c>
      <c r="AZ54" s="38">
        <f t="shared" ref="AZ54" si="1076">AY54</f>
        <v>100</v>
      </c>
      <c r="BA54" s="38">
        <f t="shared" ref="BA54" si="1077">AZ54</f>
        <v>100</v>
      </c>
      <c r="BB54" s="38">
        <f t="shared" ref="BB54" si="1078">BA54</f>
        <v>100</v>
      </c>
      <c r="BC54" s="38">
        <f t="shared" ref="BC54" si="1079">BB54</f>
        <v>100</v>
      </c>
      <c r="BD54" s="38">
        <f t="shared" ref="BD54" si="1080">BC54</f>
        <v>100</v>
      </c>
      <c r="BE54" s="38">
        <f t="shared" ref="BE54" si="1081">BD54</f>
        <v>100</v>
      </c>
      <c r="BF54" s="38">
        <f t="shared" ref="BF54" si="1082">BE54</f>
        <v>100</v>
      </c>
      <c r="BG54" s="38">
        <f t="shared" ref="BG54" si="1083">BF54</f>
        <v>100</v>
      </c>
      <c r="BH54" s="38">
        <f t="shared" ref="BH54" si="1084">BG54</f>
        <v>100</v>
      </c>
      <c r="BI54" s="38">
        <f t="shared" ref="BI54" si="1085">BH54</f>
        <v>100</v>
      </c>
      <c r="BJ54" s="38">
        <f t="shared" ref="BJ54" si="1086">BI54</f>
        <v>100</v>
      </c>
      <c r="BK54" s="38">
        <f t="shared" ref="BK54" si="1087">BJ54</f>
        <v>100</v>
      </c>
      <c r="BL54" s="38">
        <f t="shared" ref="BL54" si="1088">BK54</f>
        <v>100</v>
      </c>
      <c r="BM54" s="38">
        <f t="shared" ref="BM54" si="1089">BL54</f>
        <v>100</v>
      </c>
      <c r="BN54" s="38">
        <f t="shared" ref="BN54" si="1090">BM54</f>
        <v>100</v>
      </c>
      <c r="BO54" s="38">
        <f t="shared" ref="BO54" si="1091">BN54</f>
        <v>100</v>
      </c>
      <c r="BP54" s="38">
        <f t="shared" ref="BP54" si="1092">BO54</f>
        <v>100</v>
      </c>
      <c r="BQ54" s="38">
        <f t="shared" ref="BQ54" si="1093">BP54</f>
        <v>100</v>
      </c>
      <c r="BR54" s="38">
        <f t="shared" ref="BR54" si="1094">BQ54</f>
        <v>100</v>
      </c>
      <c r="BS54" s="38">
        <f t="shared" ref="BS54" si="1095">BR54</f>
        <v>100</v>
      </c>
      <c r="BT54" s="38">
        <f t="shared" ref="BT54" si="1096">BS54</f>
        <v>100</v>
      </c>
      <c r="BU54" s="38">
        <f t="shared" ref="BU54" si="1097">BT54</f>
        <v>100</v>
      </c>
      <c r="BV54" s="38">
        <f t="shared" ref="BV54" si="1098">BU54</f>
        <v>100</v>
      </c>
      <c r="BW54" s="38">
        <f t="shared" ref="BW54" si="1099">BV54</f>
        <v>100</v>
      </c>
      <c r="BX54" s="38">
        <f t="shared" ref="BX54" si="1100">BW54</f>
        <v>100</v>
      </c>
      <c r="BY54" s="38">
        <f t="shared" ref="BY54" si="1101">BX54</f>
        <v>100</v>
      </c>
      <c r="BZ54" s="38">
        <f t="shared" ref="BZ54" si="1102">BY54</f>
        <v>100</v>
      </c>
      <c r="CA54" s="38">
        <f t="shared" ref="CA54" si="1103">BZ54</f>
        <v>100</v>
      </c>
      <c r="CB54" s="38">
        <f t="shared" ref="CB54" si="1104">CA54</f>
        <v>100</v>
      </c>
      <c r="CC54" s="38">
        <f t="shared" ref="CC54" si="1105">CB54</f>
        <v>100</v>
      </c>
      <c r="CD54" s="38">
        <f t="shared" ref="CD54" si="1106">CC54</f>
        <v>100</v>
      </c>
      <c r="CE54" s="38">
        <f t="shared" ref="CE54" si="1107">CD54</f>
        <v>100</v>
      </c>
      <c r="CF54" s="38">
        <f t="shared" ref="CF54" si="1108">CE54</f>
        <v>100</v>
      </c>
      <c r="CG54" s="38">
        <f t="shared" ref="CG54" si="1109">CF54</f>
        <v>100</v>
      </c>
      <c r="CH54" s="38">
        <f t="shared" ref="CH54" si="1110">CG54</f>
        <v>100</v>
      </c>
      <c r="CI54" s="38">
        <f t="shared" ref="CI54" si="1111">CH54</f>
        <v>100</v>
      </c>
      <c r="CJ54" s="38">
        <f t="shared" ref="CJ54" si="1112">CI54</f>
        <v>100</v>
      </c>
      <c r="CK54" s="38">
        <f t="shared" ref="CK54" si="1113">CJ54</f>
        <v>100</v>
      </c>
      <c r="CL54" s="38">
        <f t="shared" ref="CL54" si="1114">CK54</f>
        <v>100</v>
      </c>
      <c r="CM54" s="38">
        <f t="shared" ref="CM54" si="1115">CL54</f>
        <v>100</v>
      </c>
      <c r="CN54" s="38">
        <f t="shared" ref="CN54" si="1116">CM54</f>
        <v>100</v>
      </c>
      <c r="CO54" s="38">
        <f t="shared" ref="CO54" si="1117">CN54</f>
        <v>100</v>
      </c>
      <c r="CP54" s="38">
        <f t="shared" ref="CP54" si="1118">CO54</f>
        <v>100</v>
      </c>
      <c r="CQ54" s="38">
        <f t="shared" ref="CQ54" si="1119">CP54</f>
        <v>100</v>
      </c>
      <c r="CR54" s="38">
        <f t="shared" ref="CR54" si="1120">CQ54</f>
        <v>100</v>
      </c>
      <c r="CS54" s="38">
        <f t="shared" ref="CS54" si="1121">CR54</f>
        <v>100</v>
      </c>
      <c r="CT54" s="38">
        <f t="shared" ref="CT54" si="1122">CS54</f>
        <v>100</v>
      </c>
      <c r="CU54" s="38">
        <f t="shared" ref="CU54" si="1123">CT54</f>
        <v>100</v>
      </c>
      <c r="CV54" s="38">
        <f t="shared" ref="CV54" si="1124">CU54</f>
        <v>100</v>
      </c>
      <c r="CW54" s="38">
        <f t="shared" ref="CW54" si="1125">CV54</f>
        <v>100</v>
      </c>
      <c r="CX54" s="38">
        <f t="shared" ref="CX54" si="1126">CW54</f>
        <v>100</v>
      </c>
      <c r="CY54" s="38">
        <f t="shared" ref="CY54" si="1127">CX54</f>
        <v>100</v>
      </c>
      <c r="CZ54" s="38">
        <f t="shared" ref="CZ54" si="1128">CY54</f>
        <v>100</v>
      </c>
      <c r="DA54" s="38">
        <f t="shared" ref="DA54" si="1129">CZ54</f>
        <v>100</v>
      </c>
      <c r="DB54" s="38">
        <f t="shared" ref="DB54" si="1130">DA54</f>
        <v>100</v>
      </c>
      <c r="DC54" s="38">
        <f t="shared" ref="DC54" si="1131">DB54</f>
        <v>100</v>
      </c>
      <c r="DD54" s="38">
        <f t="shared" ref="DD54" si="1132">DC54</f>
        <v>100</v>
      </c>
      <c r="DE54" s="38">
        <f t="shared" ref="DE54" si="1133">DD54</f>
        <v>100</v>
      </c>
      <c r="DF54" s="38">
        <f t="shared" ref="DF54" si="1134">DE54</f>
        <v>100</v>
      </c>
      <c r="DG54" s="38">
        <f t="shared" ref="DG54" si="1135">DF54</f>
        <v>100</v>
      </c>
      <c r="DH54" s="38">
        <f t="shared" ref="DH54" si="1136">DG54</f>
        <v>100</v>
      </c>
      <c r="DI54" s="38">
        <f t="shared" ref="DI54" si="1137">DH54</f>
        <v>100</v>
      </c>
      <c r="DJ54" s="38">
        <f t="shared" ref="DJ54" si="1138">DI54</f>
        <v>100</v>
      </c>
      <c r="DK54" s="38">
        <f t="shared" ref="DK54" si="1139">DJ54</f>
        <v>100</v>
      </c>
      <c r="DL54" s="38">
        <f t="shared" ref="DL54" si="1140">DK54</f>
        <v>100</v>
      </c>
      <c r="DM54" s="38">
        <f t="shared" ref="DM54" si="1141">DL54</f>
        <v>100</v>
      </c>
      <c r="DN54" s="38">
        <f t="shared" ref="DN54" si="1142">DM54</f>
        <v>100</v>
      </c>
      <c r="DO54" s="38">
        <f t="shared" ref="DO54" si="1143">DN54</f>
        <v>100</v>
      </c>
      <c r="DP54" s="38">
        <f t="shared" ref="DP54" si="1144">DO54</f>
        <v>100</v>
      </c>
      <c r="DQ54" s="38">
        <f t="shared" ref="DQ54" si="1145">DP54</f>
        <v>100</v>
      </c>
      <c r="DR54" s="38">
        <f t="shared" ref="DR54" si="1146">DQ54</f>
        <v>100</v>
      </c>
      <c r="DS54" s="38">
        <f t="shared" ref="DS54" si="1147">DR54</f>
        <v>100</v>
      </c>
      <c r="DT54" s="38">
        <f t="shared" ref="DT54" si="1148">DS54</f>
        <v>100</v>
      </c>
      <c r="DU54" s="38">
        <f t="shared" ref="DU54" si="1149">DT54</f>
        <v>100</v>
      </c>
      <c r="DV54" s="38">
        <f t="shared" ref="DV54" si="1150">DU54</f>
        <v>100</v>
      </c>
      <c r="DW54" s="38">
        <f t="shared" ref="DW54" si="1151">DV54</f>
        <v>100</v>
      </c>
    </row>
    <row r="55" spans="1:127" outlineLevel="1" x14ac:dyDescent="0.3">
      <c r="A55" s="96" t="str">
        <f t="shared" si="1031"/>
        <v>106029553Projected Stock</v>
      </c>
      <c r="B55" s="20">
        <f t="shared" si="1032"/>
        <v>106029553</v>
      </c>
      <c r="C55" s="20" t="str">
        <f t="shared" si="1032"/>
        <v>L 5X5X1/2 GGMULTI 50'00"</v>
      </c>
      <c r="D55" s="20">
        <f t="shared" si="1032"/>
        <v>1323</v>
      </c>
      <c r="E55" s="20" t="str">
        <f t="shared" si="1032"/>
        <v>5" ANG</v>
      </c>
      <c r="F55" s="4" t="s">
        <v>209</v>
      </c>
      <c r="G55" s="1">
        <f>SUM(G47:G48)</f>
        <v>232</v>
      </c>
      <c r="H55" s="1">
        <f>G55-H49+H52+H53</f>
        <v>227.1</v>
      </c>
      <c r="I55" s="1">
        <f t="shared" ref="I55" si="1152">H55-I49+I52+I53</f>
        <v>203.29999999999998</v>
      </c>
      <c r="J55" s="1">
        <f t="shared" ref="J55" si="1153">I55-J49+J52+J53</f>
        <v>179.49999999999997</v>
      </c>
      <c r="K55" s="112">
        <f t="shared" ref="K55" si="1154">J55-K49+K52+K53</f>
        <v>155.69999999999996</v>
      </c>
      <c r="L55" s="112">
        <f t="shared" ref="L55" si="1155">K55-L49+L52+L53</f>
        <v>131.89999999999995</v>
      </c>
      <c r="M55" s="112">
        <f t="shared" ref="M55" si="1156">L55-M49+M52+M53</f>
        <v>70.766666666666623</v>
      </c>
      <c r="N55" s="112">
        <f t="shared" ref="N55" si="1157">M55-N49+N52+N53</f>
        <v>9.6333333333332973</v>
      </c>
      <c r="O55" s="112">
        <f t="shared" ref="O55" si="1158">N55-O49+O52+O53</f>
        <v>-51.500000000000028</v>
      </c>
      <c r="P55" s="112">
        <f t="shared" ref="P55" si="1159">O55-P49+P52+P53</f>
        <v>240.00000000000003</v>
      </c>
      <c r="Q55" s="112">
        <f t="shared" ref="Q55" si="1160">P55-Q49+Q52+Q53</f>
        <v>178.8666666666667</v>
      </c>
      <c r="R55" s="112">
        <f t="shared" ref="R55" si="1161">Q55-R49+R52+R53</f>
        <v>159.50000000000003</v>
      </c>
      <c r="S55" s="9">
        <f t="shared" ref="S55" si="1162">R55-S49+S52+S53</f>
        <v>140.13333333333335</v>
      </c>
      <c r="T55" s="9">
        <f t="shared" ref="T55" si="1163">S55-T49+T52+T53</f>
        <v>120.76666666666668</v>
      </c>
      <c r="U55" s="9">
        <f t="shared" ref="U55" si="1164">T55-U49+U52+U53</f>
        <v>101.4</v>
      </c>
      <c r="V55" s="9">
        <f t="shared" ref="V55" si="1165">U55-V49+V52+V53</f>
        <v>100.93333333333334</v>
      </c>
      <c r="W55" s="9">
        <f t="shared" ref="W55" si="1166">V55-W49+W52+W53</f>
        <v>100.46666666666667</v>
      </c>
      <c r="X55" s="9">
        <f t="shared" ref="X55" si="1167">W55-X49+X52+X53</f>
        <v>100</v>
      </c>
      <c r="Y55" s="9">
        <f t="shared" ref="Y55" si="1168">X55-Y49+Y52+Y53</f>
        <v>106.30000000000004</v>
      </c>
      <c r="Z55" s="9">
        <f t="shared" ref="Z55" si="1169">Y55-Z49+Z52+Z53</f>
        <v>105.83333333333337</v>
      </c>
      <c r="AA55" s="9">
        <f t="shared" ref="AA55" si="1170">Z55-AA49+AA52+AA53</f>
        <v>104.6666666666667</v>
      </c>
      <c r="AB55" s="1">
        <f t="shared" ref="AB55" si="1171">AA55-AB49+AB52+AB53</f>
        <v>103.50000000000003</v>
      </c>
      <c r="AC55" s="1">
        <f t="shared" ref="AC55" si="1172">AB55-AC49+AC52+AC53</f>
        <v>102.33333333333336</v>
      </c>
      <c r="AD55" s="1">
        <f t="shared" ref="AD55" si="1173">AC55-AD49+AD52+AD53</f>
        <v>101.16666666666669</v>
      </c>
      <c r="AE55" s="1">
        <f t="shared" ref="AE55" si="1174">AD55-AE49+AE52+AE53</f>
        <v>100.00000000000001</v>
      </c>
      <c r="AF55" s="1">
        <f t="shared" ref="AF55" si="1175">AE55-AF49+AF52+AF53</f>
        <v>109.33333333333351</v>
      </c>
      <c r="AG55" s="1">
        <f t="shared" ref="AG55" si="1176">AF55-AG49+AG52+AG53</f>
        <v>108.16666666666684</v>
      </c>
      <c r="AH55" s="1">
        <f t="shared" ref="AH55" si="1177">AG55-AH49+AH52+AH53</f>
        <v>107.00000000000017</v>
      </c>
      <c r="AI55" s="1">
        <f t="shared" ref="AI55" si="1178">AH55-AI49+AI52+AI53</f>
        <v>105.8333333333335</v>
      </c>
      <c r="AJ55" s="1">
        <f t="shared" ref="AJ55" si="1179">AI55-AJ49+AJ52+AJ53</f>
        <v>104.66666666666683</v>
      </c>
      <c r="AK55" s="1">
        <f t="shared" ref="AK55" si="1180">AJ55-AK49+AK52+AK53</f>
        <v>103.50000000000016</v>
      </c>
      <c r="AL55" s="1">
        <f t="shared" ref="AL55" si="1181">AK55-AL49+AL52+AL53</f>
        <v>102.33333333333348</v>
      </c>
      <c r="AM55" s="1">
        <f t="shared" ref="AM55" si="1182">AL55-AM49+AM52+AM53</f>
        <v>101.16666666666681</v>
      </c>
      <c r="AN55" s="1">
        <f t="shared" ref="AN55" si="1183">AM55-AN49+AN52+AN53</f>
        <v>100.00000000000014</v>
      </c>
      <c r="AO55" s="1">
        <f t="shared" ref="AO55" si="1184">AN55-AO49+AO52+AO53</f>
        <v>109.33333333333364</v>
      </c>
      <c r="AP55" s="1">
        <f t="shared" ref="AP55" si="1185">AO55-AP49+AP52+AP53</f>
        <v>108.16666666666697</v>
      </c>
      <c r="AQ55" s="1">
        <f t="shared" ref="AQ55" si="1186">AP55-AQ49+AQ52+AQ53</f>
        <v>107.0000000000003</v>
      </c>
      <c r="AR55" s="1">
        <f t="shared" ref="AR55" si="1187">AQ55-AR49+AR52+AR53</f>
        <v>105.83333333333363</v>
      </c>
      <c r="AS55" s="1">
        <f t="shared" ref="AS55" si="1188">AR55-AS49+AS52+AS53</f>
        <v>104.66666666666696</v>
      </c>
      <c r="AT55" s="1">
        <f t="shared" ref="AT55" si="1189">AS55-AT49+AT52+AT53</f>
        <v>103.50000000000028</v>
      </c>
      <c r="AU55" s="1">
        <f t="shared" ref="AU55" si="1190">AT55-AU49+AU52+AU53</f>
        <v>102.33333333333361</v>
      </c>
      <c r="AV55" s="1">
        <f t="shared" ref="AV55" si="1191">AU55-AV49+AV52+AV53</f>
        <v>101.16666666666694</v>
      </c>
      <c r="AW55" s="1">
        <f t="shared" ref="AW55" si="1192">AV55-AW49+AW52+AW53</f>
        <v>100.00000000000027</v>
      </c>
      <c r="AX55" s="1">
        <f t="shared" ref="AX55" si="1193">AW55-AX49+AX52+AX53</f>
        <v>110.50000000000045</v>
      </c>
      <c r="AY55" s="1">
        <f t="shared" ref="AY55" si="1194">AX55-AY49+AY52+AY53</f>
        <v>109.33333333333378</v>
      </c>
      <c r="AZ55" s="1">
        <f t="shared" ref="AZ55" si="1195">AY55-AZ49+AZ52+AZ53</f>
        <v>108.16666666666711</v>
      </c>
      <c r="BA55" s="1">
        <f t="shared" ref="BA55" si="1196">AZ55-BA49+BA52+BA53</f>
        <v>107.00000000000044</v>
      </c>
      <c r="BB55" s="1">
        <f t="shared" ref="BB55" si="1197">BA55-BB49+BB52+BB53</f>
        <v>105.83333333333377</v>
      </c>
      <c r="BC55" s="1">
        <f t="shared" ref="BC55" si="1198">BB55-BC49+BC52+BC53</f>
        <v>104.6666666666671</v>
      </c>
      <c r="BD55" s="1">
        <f t="shared" ref="BD55" si="1199">BC55-BD49+BD52+BD53</f>
        <v>103.50000000000043</v>
      </c>
      <c r="BE55" s="1">
        <f t="shared" ref="BE55" si="1200">BD55-BE49+BE52+BE53</f>
        <v>102.33333333333375</v>
      </c>
      <c r="BF55" s="1">
        <f t="shared" ref="BF55" si="1201">BE55-BF49+BF52+BF53</f>
        <v>101.16666666666708</v>
      </c>
      <c r="BG55" s="1">
        <f t="shared" ref="BG55" si="1202">BF55-BG49+BG52+BG53</f>
        <v>100.00000000000041</v>
      </c>
      <c r="BH55" s="1">
        <f t="shared" ref="BH55" si="1203">BG55-BH49+BH52+BH53</f>
        <v>98.833333333333741</v>
      </c>
      <c r="BI55" s="1">
        <f t="shared" ref="BI55" si="1204">BH55-BI49+BI52+BI53</f>
        <v>97.666666666667069</v>
      </c>
      <c r="BJ55" s="1">
        <f t="shared" ref="BJ55" si="1205">BI55-BJ49+BJ52+BJ53</f>
        <v>96.500000000000398</v>
      </c>
      <c r="BK55" s="1">
        <f t="shared" ref="BK55" si="1206">BJ55-BK49+BK52+BK53</f>
        <v>95.333333333333727</v>
      </c>
      <c r="BL55" s="1">
        <f t="shared" ref="BL55" si="1207">BK55-BL49+BL52+BL53</f>
        <v>94.166666666667055</v>
      </c>
      <c r="BM55" s="1">
        <f t="shared" ref="BM55" si="1208">BL55-BM49+BM52+BM53</f>
        <v>93.000000000000384</v>
      </c>
      <c r="BN55" s="1">
        <f t="shared" ref="BN55" si="1209">BM55-BN49+BN52+BN53</f>
        <v>91.833333333333712</v>
      </c>
      <c r="BO55" s="1">
        <f t="shared" ref="BO55" si="1210">BN55-BO49+BO52+BO53</f>
        <v>90.666666666667041</v>
      </c>
      <c r="BP55" s="1">
        <f t="shared" ref="BP55" si="1211">BO55-BP49+BP52+BP53</f>
        <v>89.500000000000369</v>
      </c>
      <c r="BQ55" s="1">
        <f t="shared" ref="BQ55" si="1212">BP55-BQ49+BQ52+BQ53</f>
        <v>88.333333333333698</v>
      </c>
      <c r="BR55" s="1">
        <f t="shared" ref="BR55" si="1213">BQ55-BR49+BR52+BR53</f>
        <v>87.166666666667027</v>
      </c>
      <c r="BS55" s="1">
        <f t="shared" ref="BS55" si="1214">BR55-BS49+BS52+BS53</f>
        <v>86.000000000000355</v>
      </c>
      <c r="BT55" s="1">
        <f t="shared" ref="BT55" si="1215">BS55-BT49+BT52+BT53</f>
        <v>84.833333333333684</v>
      </c>
      <c r="BU55" s="1">
        <f t="shared" ref="BU55" si="1216">BT55-BU49+BU52+BU53</f>
        <v>83.666666666667012</v>
      </c>
      <c r="BV55" s="1">
        <f t="shared" ref="BV55" si="1217">BU55-BV49+BV52+BV53</f>
        <v>82.500000000000341</v>
      </c>
      <c r="BW55" s="1">
        <f t="shared" ref="BW55" si="1218">BV55-BW49+BW52+BW53</f>
        <v>81.33333333333367</v>
      </c>
      <c r="BX55" s="1">
        <f t="shared" ref="BX55" si="1219">BW55-BX49+BX52+BX53</f>
        <v>80.166666666666998</v>
      </c>
      <c r="BY55" s="1">
        <f t="shared" ref="BY55" si="1220">BX55-BY49+BY52+BY53</f>
        <v>79.000000000000327</v>
      </c>
      <c r="BZ55" s="1">
        <f t="shared" ref="BZ55" si="1221">BY55-BZ49+BZ52+BZ53</f>
        <v>77.833333333333655</v>
      </c>
      <c r="CA55" s="1">
        <f t="shared" ref="CA55" si="1222">BZ55-CA49+CA52+CA53</f>
        <v>76.666666666666984</v>
      </c>
      <c r="CB55" s="1">
        <f t="shared" ref="CB55" si="1223">CA55-CB49+CB52+CB53</f>
        <v>75.500000000000313</v>
      </c>
      <c r="CC55" s="1">
        <f t="shared" ref="CC55" si="1224">CB55-CC49+CC52+CC53</f>
        <v>74.333333333333641</v>
      </c>
      <c r="CD55" s="1">
        <f t="shared" ref="CD55" si="1225">CC55-CD49+CD52+CD53</f>
        <v>73.16666666666697</v>
      </c>
      <c r="CE55" s="1">
        <f t="shared" ref="CE55" si="1226">CD55-CE49+CE52+CE53</f>
        <v>72.000000000000298</v>
      </c>
      <c r="CF55" s="1">
        <f t="shared" ref="CF55" si="1227">CE55-CF49+CF52+CF53</f>
        <v>70.833333333333627</v>
      </c>
      <c r="CG55" s="1">
        <f t="shared" ref="CG55" si="1228">CF55-CG49+CG52+CG53</f>
        <v>69.666666666666956</v>
      </c>
      <c r="CH55" s="1">
        <f t="shared" ref="CH55" si="1229">CG55-CH49+CH52+CH53</f>
        <v>68.500000000000284</v>
      </c>
      <c r="CI55" s="1">
        <f t="shared" ref="CI55" si="1230">CH55-CI49+CI52+CI53</f>
        <v>67.333333333333613</v>
      </c>
      <c r="CJ55" s="1">
        <f t="shared" ref="CJ55" si="1231">CI55-CJ49+CJ52+CJ53</f>
        <v>66.166666666666941</v>
      </c>
      <c r="CK55" s="1">
        <f t="shared" ref="CK55" si="1232">CJ55-CK49+CK52+CK53</f>
        <v>65.00000000000027</v>
      </c>
      <c r="CL55" s="1">
        <f t="shared" ref="CL55" si="1233">CK55-CL49+CL52+CL53</f>
        <v>63.833333333333606</v>
      </c>
      <c r="CM55" s="1">
        <f t="shared" ref="CM55" si="1234">CL55-CM49+CM52+CM53</f>
        <v>62.666666666666941</v>
      </c>
      <c r="CN55" s="1">
        <f t="shared" ref="CN55" si="1235">CM55-CN49+CN52+CN53</f>
        <v>61.500000000000277</v>
      </c>
      <c r="CO55" s="1">
        <f t="shared" ref="CO55" si="1236">CN55-CO49+CO52+CO53</f>
        <v>60.333333333333613</v>
      </c>
      <c r="CP55" s="1">
        <f t="shared" ref="CP55" si="1237">CO55-CP49+CP52+CP53</f>
        <v>59.166666666666949</v>
      </c>
      <c r="CQ55" s="1">
        <f t="shared" ref="CQ55" si="1238">CP55-CQ49+CQ52+CQ53</f>
        <v>58.000000000000284</v>
      </c>
      <c r="CR55" s="1">
        <f t="shared" ref="CR55" si="1239">CQ55-CR49+CR52+CR53</f>
        <v>56.83333333333362</v>
      </c>
      <c r="CS55" s="1">
        <f t="shared" ref="CS55" si="1240">CR55-CS49+CS52+CS53</f>
        <v>55.666666666666956</v>
      </c>
      <c r="CT55" s="1">
        <f t="shared" ref="CT55" si="1241">CS55-CT49+CT52+CT53</f>
        <v>54.500000000000291</v>
      </c>
      <c r="CU55" s="1">
        <f t="shared" ref="CU55" si="1242">CT55-CU49+CU52+CU53</f>
        <v>53.333333333333627</v>
      </c>
      <c r="CV55" s="1">
        <f t="shared" ref="CV55" si="1243">CU55-CV49+CV52+CV53</f>
        <v>52.166666666666963</v>
      </c>
      <c r="CW55" s="1">
        <f t="shared" ref="CW55" si="1244">CV55-CW49+CW52+CW53</f>
        <v>51.000000000000298</v>
      </c>
      <c r="CX55" s="1">
        <f t="shared" ref="CX55" si="1245">CW55-CX49+CX52+CX53</f>
        <v>49.833333333333634</v>
      </c>
      <c r="CY55" s="1">
        <f t="shared" ref="CY55" si="1246">CX55-CY49+CY52+CY53</f>
        <v>48.66666666666697</v>
      </c>
      <c r="CZ55" s="1">
        <f t="shared" ref="CZ55" si="1247">CY55-CZ49+CZ52+CZ53</f>
        <v>47.500000000000306</v>
      </c>
      <c r="DA55" s="1">
        <f t="shared" ref="DA55" si="1248">CZ55-DA49+DA52+DA53</f>
        <v>46.333333333333641</v>
      </c>
      <c r="DB55" s="1">
        <f t="shared" ref="DB55" si="1249">DA55-DB49+DB52+DB53</f>
        <v>45.166666666666977</v>
      </c>
      <c r="DC55" s="1">
        <f t="shared" ref="DC55" si="1250">DB55-DC49+DC52+DC53</f>
        <v>44.000000000000313</v>
      </c>
      <c r="DD55" s="1">
        <f t="shared" ref="DD55" si="1251">DC55-DD49+DD52+DD53</f>
        <v>42.833333333333648</v>
      </c>
      <c r="DE55" s="1">
        <f t="shared" ref="DE55" si="1252">DD55-DE49+DE52+DE53</f>
        <v>41.666666666666984</v>
      </c>
      <c r="DF55" s="1">
        <f t="shared" ref="DF55" si="1253">DE55-DF49+DF52+DF53</f>
        <v>40.50000000000032</v>
      </c>
      <c r="DG55" s="1">
        <f t="shared" ref="DG55" si="1254">DF55-DG49+DG52+DG53</f>
        <v>39.333333333333655</v>
      </c>
      <c r="DH55" s="1">
        <f t="shared" ref="DH55" si="1255">DG55-DH49+DH52+DH53</f>
        <v>38.166666666666991</v>
      </c>
      <c r="DI55" s="1">
        <f t="shared" ref="DI55" si="1256">DH55-DI49+DI52+DI53</f>
        <v>37.000000000000327</v>
      </c>
      <c r="DJ55" s="1">
        <f t="shared" ref="DJ55" si="1257">DI55-DJ49+DJ52+DJ53</f>
        <v>35.833333333333663</v>
      </c>
      <c r="DK55" s="1">
        <f t="shared" ref="DK55" si="1258">DJ55-DK49+DK52+DK53</f>
        <v>34.666666666666998</v>
      </c>
      <c r="DL55" s="1">
        <f t="shared" ref="DL55" si="1259">DK55-DL49+DL52+DL53</f>
        <v>33.500000000000334</v>
      </c>
      <c r="DM55" s="1">
        <f t="shared" ref="DM55" si="1260">DL55-DM49+DM52+DM53</f>
        <v>32.33333333333367</v>
      </c>
      <c r="DN55" s="1">
        <f t="shared" ref="DN55" si="1261">DM55-DN49+DN52+DN53</f>
        <v>31.166666666667002</v>
      </c>
      <c r="DO55" s="1">
        <f t="shared" ref="DO55" si="1262">DN55-DO49+DO52+DO53</f>
        <v>30.000000000000334</v>
      </c>
      <c r="DP55" s="1">
        <f t="shared" ref="DP55" si="1263">DO55-DP49+DP52+DP53</f>
        <v>28.833333333333666</v>
      </c>
      <c r="DQ55" s="1">
        <f t="shared" ref="DQ55" si="1264">DP55-DQ49+DQ52+DQ53</f>
        <v>27.666666666666998</v>
      </c>
      <c r="DR55" s="1">
        <f t="shared" ref="DR55" si="1265">DQ55-DR49+DR52+DR53</f>
        <v>26.50000000000033</v>
      </c>
      <c r="DS55" s="1">
        <f t="shared" ref="DS55" si="1266">DR55-DS49+DS52+DS53</f>
        <v>25.333333333333663</v>
      </c>
      <c r="DT55" s="1">
        <f t="shared" ref="DT55" si="1267">DS55-DT49+DT52+DT53</f>
        <v>24.166666666666995</v>
      </c>
      <c r="DU55" s="1">
        <f t="shared" ref="DU55" si="1268">DT55-DU49+DU52+DU53</f>
        <v>23.000000000000327</v>
      </c>
      <c r="DV55" s="1">
        <f t="shared" ref="DV55" si="1269">DU55-DV49+DV52+DV53</f>
        <v>21.833333333333659</v>
      </c>
      <c r="DW55" s="1">
        <f t="shared" ref="DW55" si="1270">DV55-DW49+DW52+DW53</f>
        <v>20.666666666666991</v>
      </c>
    </row>
    <row r="56" spans="1:127" x14ac:dyDescent="0.3">
      <c r="A56" s="96"/>
      <c r="B56" s="96"/>
      <c r="C56" s="96"/>
      <c r="D56" s="96"/>
      <c r="E56" s="96"/>
      <c r="F56" s="96"/>
      <c r="H56" s="96"/>
      <c r="I56" s="96"/>
      <c r="J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CI56" s="96"/>
      <c r="CJ56" s="96"/>
      <c r="CK56" s="96"/>
      <c r="CL56" s="96"/>
      <c r="CM56" s="96"/>
      <c r="CN56" s="96"/>
      <c r="CO56" s="96"/>
      <c r="CP56" s="96"/>
      <c r="CQ56" s="96"/>
      <c r="CR56" s="96"/>
      <c r="CS56" s="96"/>
      <c r="CT56" s="96"/>
      <c r="CU56" s="96"/>
      <c r="CV56" s="96"/>
      <c r="CW56" s="96"/>
      <c r="CX56" s="96"/>
      <c r="CY56" s="96"/>
      <c r="CZ56" s="96"/>
      <c r="DA56" s="96"/>
      <c r="DB56" s="96"/>
      <c r="DC56" s="96"/>
      <c r="DD56" s="96"/>
      <c r="DE56" s="96"/>
      <c r="DF56" s="96"/>
      <c r="DG56" s="96"/>
      <c r="DH56" s="96"/>
      <c r="DI56" s="96"/>
      <c r="DJ56" s="96"/>
      <c r="DK56" s="96"/>
      <c r="DL56" s="96"/>
      <c r="DM56" s="96"/>
      <c r="DN56" s="96"/>
      <c r="DO56" s="96"/>
      <c r="DP56" s="96"/>
      <c r="DQ56" s="96"/>
      <c r="DR56" s="96"/>
      <c r="DS56" s="96"/>
      <c r="DT56" s="96"/>
      <c r="DU56" s="96"/>
      <c r="DV56" s="96"/>
      <c r="DW56" s="96"/>
    </row>
    <row r="58" spans="1:127" ht="92.1" customHeight="1" x14ac:dyDescent="0.3">
      <c r="A58" s="96" t="s">
        <v>158</v>
      </c>
      <c r="B58" s="2" t="s">
        <v>196</v>
      </c>
      <c r="C58" s="2" t="s">
        <v>197</v>
      </c>
      <c r="D58" s="2"/>
      <c r="E58" s="2"/>
      <c r="F58" s="2" t="s">
        <v>198</v>
      </c>
      <c r="G58" s="10" t="s">
        <v>199</v>
      </c>
      <c r="H58" s="3">
        <f>H1</f>
        <v>43948</v>
      </c>
      <c r="I58" s="3">
        <f>H58+7</f>
        <v>43955</v>
      </c>
      <c r="J58" s="3">
        <f t="shared" ref="J58:AS58" si="1271">I58+7</f>
        <v>43962</v>
      </c>
      <c r="K58" s="116">
        <f t="shared" si="1271"/>
        <v>43969</v>
      </c>
      <c r="L58" s="116">
        <f t="shared" si="1271"/>
        <v>43976</v>
      </c>
      <c r="M58" s="116">
        <f t="shared" si="1271"/>
        <v>43983</v>
      </c>
      <c r="N58" s="116">
        <f t="shared" si="1271"/>
        <v>43990</v>
      </c>
      <c r="O58" s="116">
        <f t="shared" si="1271"/>
        <v>43997</v>
      </c>
      <c r="P58" s="116">
        <f t="shared" si="1271"/>
        <v>44004</v>
      </c>
      <c r="Q58" s="116">
        <f t="shared" si="1271"/>
        <v>44011</v>
      </c>
      <c r="R58" s="116">
        <f t="shared" si="1271"/>
        <v>44018</v>
      </c>
      <c r="S58" s="120">
        <f t="shared" si="1271"/>
        <v>44025</v>
      </c>
      <c r="T58" s="120">
        <f t="shared" si="1271"/>
        <v>44032</v>
      </c>
      <c r="U58" s="120">
        <f t="shared" si="1271"/>
        <v>44039</v>
      </c>
      <c r="V58" s="120">
        <f t="shared" si="1271"/>
        <v>44046</v>
      </c>
      <c r="W58" s="120">
        <f t="shared" si="1271"/>
        <v>44053</v>
      </c>
      <c r="X58" s="120">
        <f t="shared" si="1271"/>
        <v>44060</v>
      </c>
      <c r="Y58" s="120">
        <f t="shared" si="1271"/>
        <v>44067</v>
      </c>
      <c r="Z58" s="120">
        <f t="shared" si="1271"/>
        <v>44074</v>
      </c>
      <c r="AA58" s="120">
        <f t="shared" si="1271"/>
        <v>44081</v>
      </c>
      <c r="AB58" s="3">
        <f t="shared" si="1271"/>
        <v>44088</v>
      </c>
      <c r="AC58" s="3">
        <f t="shared" si="1271"/>
        <v>44095</v>
      </c>
      <c r="AD58" s="3">
        <f t="shared" si="1271"/>
        <v>44102</v>
      </c>
      <c r="AE58" s="3">
        <f t="shared" si="1271"/>
        <v>44109</v>
      </c>
      <c r="AF58" s="3">
        <f t="shared" si="1271"/>
        <v>44116</v>
      </c>
      <c r="AG58" s="3">
        <f t="shared" si="1271"/>
        <v>44123</v>
      </c>
      <c r="AH58" s="3">
        <f t="shared" si="1271"/>
        <v>44130</v>
      </c>
      <c r="AI58" s="3">
        <f t="shared" si="1271"/>
        <v>44137</v>
      </c>
      <c r="AJ58" s="3">
        <f t="shared" si="1271"/>
        <v>44144</v>
      </c>
      <c r="AK58" s="3">
        <f t="shared" si="1271"/>
        <v>44151</v>
      </c>
      <c r="AL58" s="3">
        <f t="shared" si="1271"/>
        <v>44158</v>
      </c>
      <c r="AM58" s="3">
        <f t="shared" si="1271"/>
        <v>44165</v>
      </c>
      <c r="AN58" s="3">
        <f t="shared" si="1271"/>
        <v>44172</v>
      </c>
      <c r="AO58" s="3">
        <f t="shared" si="1271"/>
        <v>44179</v>
      </c>
      <c r="AP58" s="3">
        <f t="shared" si="1271"/>
        <v>44186</v>
      </c>
      <c r="AQ58" s="3">
        <f t="shared" si="1271"/>
        <v>44193</v>
      </c>
      <c r="AR58" s="3">
        <f t="shared" si="1271"/>
        <v>44200</v>
      </c>
      <c r="AS58" s="3">
        <f t="shared" si="1271"/>
        <v>44207</v>
      </c>
      <c r="AT58" s="3">
        <f t="shared" ref="AT58" si="1272">AS58+7</f>
        <v>44214</v>
      </c>
      <c r="AU58" s="3">
        <f t="shared" ref="AU58" si="1273">AT58+7</f>
        <v>44221</v>
      </c>
      <c r="AV58" s="3">
        <f t="shared" ref="AV58" si="1274">AU58+7</f>
        <v>44228</v>
      </c>
      <c r="AW58" s="3">
        <f t="shared" ref="AW58" si="1275">AV58+7</f>
        <v>44235</v>
      </c>
      <c r="AX58" s="3">
        <f t="shared" ref="AX58" si="1276">AW58+7</f>
        <v>44242</v>
      </c>
      <c r="AY58" s="3">
        <f t="shared" ref="AY58" si="1277">AX58+7</f>
        <v>44249</v>
      </c>
      <c r="AZ58" s="3">
        <f t="shared" ref="AZ58" si="1278">AY58+7</f>
        <v>44256</v>
      </c>
      <c r="BA58" s="3">
        <f t="shared" ref="BA58" si="1279">AZ58+7</f>
        <v>44263</v>
      </c>
      <c r="BB58" s="3">
        <f t="shared" ref="BB58" si="1280">BA58+7</f>
        <v>44270</v>
      </c>
      <c r="BC58" s="3">
        <f t="shared" ref="BC58" si="1281">BB58+7</f>
        <v>44277</v>
      </c>
      <c r="BD58" s="3">
        <f t="shared" ref="BD58" si="1282">BC58+7</f>
        <v>44284</v>
      </c>
      <c r="BE58" s="3">
        <f t="shared" ref="BE58" si="1283">BD58+7</f>
        <v>44291</v>
      </c>
      <c r="BF58" s="3">
        <f t="shared" ref="BF58" si="1284">BE58+7</f>
        <v>44298</v>
      </c>
      <c r="BG58" s="3">
        <f t="shared" ref="BG58" si="1285">BF58+7</f>
        <v>44305</v>
      </c>
      <c r="BH58" s="3">
        <f t="shared" ref="BH58" si="1286">BG58+7</f>
        <v>44312</v>
      </c>
      <c r="BI58" s="3">
        <f t="shared" ref="BI58" si="1287">BH58+7</f>
        <v>44319</v>
      </c>
      <c r="BJ58" s="3">
        <f t="shared" ref="BJ58" si="1288">BI58+7</f>
        <v>44326</v>
      </c>
      <c r="BK58" s="3">
        <f t="shared" ref="BK58" si="1289">BJ58+7</f>
        <v>44333</v>
      </c>
      <c r="BL58" s="3">
        <f t="shared" ref="BL58" si="1290">BK58+7</f>
        <v>44340</v>
      </c>
      <c r="BM58" s="3">
        <f t="shared" ref="BM58" si="1291">BL58+7</f>
        <v>44347</v>
      </c>
      <c r="BN58" s="3">
        <f t="shared" ref="BN58" si="1292">BM58+7</f>
        <v>44354</v>
      </c>
      <c r="BO58" s="3">
        <f t="shared" ref="BO58" si="1293">BN58+7</f>
        <v>44361</v>
      </c>
      <c r="BP58" s="3">
        <f t="shared" ref="BP58" si="1294">BO58+7</f>
        <v>44368</v>
      </c>
      <c r="BQ58" s="3">
        <f t="shared" ref="BQ58" si="1295">BP58+7</f>
        <v>44375</v>
      </c>
      <c r="BR58" s="3">
        <f t="shared" ref="BR58" si="1296">BQ58+7</f>
        <v>44382</v>
      </c>
      <c r="BS58" s="3">
        <f t="shared" ref="BS58" si="1297">BR58+7</f>
        <v>44389</v>
      </c>
      <c r="BT58" s="3">
        <f t="shared" ref="BT58" si="1298">BS58+7</f>
        <v>44396</v>
      </c>
      <c r="BU58" s="3">
        <f t="shared" ref="BU58" si="1299">BT58+7</f>
        <v>44403</v>
      </c>
      <c r="BV58" s="3">
        <f t="shared" ref="BV58" si="1300">BU58+7</f>
        <v>44410</v>
      </c>
      <c r="BW58" s="3">
        <f t="shared" ref="BW58" si="1301">BV58+7</f>
        <v>44417</v>
      </c>
      <c r="BX58" s="3">
        <f t="shared" ref="BX58" si="1302">BW58+7</f>
        <v>44424</v>
      </c>
      <c r="BY58" s="3">
        <f t="shared" ref="BY58" si="1303">BX58+7</f>
        <v>44431</v>
      </c>
      <c r="BZ58" s="3">
        <f t="shared" ref="BZ58" si="1304">BY58+7</f>
        <v>44438</v>
      </c>
      <c r="CA58" s="3">
        <f t="shared" ref="CA58" si="1305">BZ58+7</f>
        <v>44445</v>
      </c>
      <c r="CB58" s="3">
        <f t="shared" ref="CB58" si="1306">CA58+7</f>
        <v>44452</v>
      </c>
      <c r="CC58" s="3">
        <f t="shared" ref="CC58" si="1307">CB58+7</f>
        <v>44459</v>
      </c>
      <c r="CD58" s="3">
        <f t="shared" ref="CD58" si="1308">CC58+7</f>
        <v>44466</v>
      </c>
      <c r="CE58" s="3">
        <f t="shared" ref="CE58" si="1309">CD58+7</f>
        <v>44473</v>
      </c>
      <c r="CF58" s="3">
        <f t="shared" ref="CF58" si="1310">CE58+7</f>
        <v>44480</v>
      </c>
      <c r="CG58" s="3">
        <f t="shared" ref="CG58" si="1311">CF58+7</f>
        <v>44487</v>
      </c>
      <c r="CH58" s="3">
        <f t="shared" ref="CH58" si="1312">CG58+7</f>
        <v>44494</v>
      </c>
      <c r="CI58" s="3">
        <f t="shared" ref="CI58" si="1313">CH58+7</f>
        <v>44501</v>
      </c>
      <c r="CJ58" s="3">
        <f t="shared" ref="CJ58" si="1314">CI58+7</f>
        <v>44508</v>
      </c>
      <c r="CK58" s="3">
        <f t="shared" ref="CK58" si="1315">CJ58+7</f>
        <v>44515</v>
      </c>
      <c r="CL58" s="3">
        <f t="shared" ref="CL58" si="1316">CK58+7</f>
        <v>44522</v>
      </c>
      <c r="CM58" s="3">
        <f t="shared" ref="CM58" si="1317">CL58+7</f>
        <v>44529</v>
      </c>
      <c r="CN58" s="3">
        <f t="shared" ref="CN58" si="1318">CM58+7</f>
        <v>44536</v>
      </c>
      <c r="CO58" s="3">
        <f t="shared" ref="CO58" si="1319">CN58+7</f>
        <v>44543</v>
      </c>
      <c r="CP58" s="3">
        <f t="shared" ref="CP58" si="1320">CO58+7</f>
        <v>44550</v>
      </c>
      <c r="CQ58" s="3">
        <f t="shared" ref="CQ58" si="1321">CP58+7</f>
        <v>44557</v>
      </c>
      <c r="CR58" s="3">
        <f t="shared" ref="CR58" si="1322">CQ58+7</f>
        <v>44564</v>
      </c>
      <c r="CS58" s="3">
        <f t="shared" ref="CS58" si="1323">CR58+7</f>
        <v>44571</v>
      </c>
      <c r="CT58" s="3">
        <f t="shared" ref="CT58" si="1324">CS58+7</f>
        <v>44578</v>
      </c>
      <c r="CU58" s="3">
        <f t="shared" ref="CU58" si="1325">CT58+7</f>
        <v>44585</v>
      </c>
      <c r="CV58" s="3">
        <f t="shared" ref="CV58" si="1326">CU58+7</f>
        <v>44592</v>
      </c>
      <c r="CW58" s="3">
        <f t="shared" ref="CW58" si="1327">CV58+7</f>
        <v>44599</v>
      </c>
      <c r="CX58" s="3">
        <f t="shared" ref="CX58" si="1328">CW58+7</f>
        <v>44606</v>
      </c>
      <c r="CY58" s="3">
        <f t="shared" ref="CY58" si="1329">CX58+7</f>
        <v>44613</v>
      </c>
      <c r="CZ58" s="3">
        <f t="shared" ref="CZ58" si="1330">CY58+7</f>
        <v>44620</v>
      </c>
      <c r="DA58" s="3">
        <f t="shared" ref="DA58" si="1331">CZ58+7</f>
        <v>44627</v>
      </c>
      <c r="DB58" s="3">
        <f t="shared" ref="DB58" si="1332">DA58+7</f>
        <v>44634</v>
      </c>
      <c r="DC58" s="3">
        <f t="shared" ref="DC58" si="1333">DB58+7</f>
        <v>44641</v>
      </c>
      <c r="DD58" s="3">
        <f t="shared" ref="DD58" si="1334">DC58+7</f>
        <v>44648</v>
      </c>
      <c r="DE58" s="3">
        <f t="shared" ref="DE58" si="1335">DD58+7</f>
        <v>44655</v>
      </c>
      <c r="DF58" s="3">
        <f t="shared" ref="DF58" si="1336">DE58+7</f>
        <v>44662</v>
      </c>
      <c r="DG58" s="3">
        <f t="shared" ref="DG58" si="1337">DF58+7</f>
        <v>44669</v>
      </c>
      <c r="DH58" s="3">
        <f t="shared" ref="DH58" si="1338">DG58+7</f>
        <v>44676</v>
      </c>
      <c r="DI58" s="3">
        <f t="shared" ref="DI58" si="1339">DH58+7</f>
        <v>44683</v>
      </c>
      <c r="DJ58" s="3">
        <f t="shared" ref="DJ58" si="1340">DI58+7</f>
        <v>44690</v>
      </c>
      <c r="DK58" s="3">
        <f t="shared" ref="DK58" si="1341">DJ58+7</f>
        <v>44697</v>
      </c>
      <c r="DL58" s="3">
        <f t="shared" ref="DL58" si="1342">DK58+7</f>
        <v>44704</v>
      </c>
      <c r="DM58" s="3">
        <f t="shared" ref="DM58" si="1343">DL58+7</f>
        <v>44711</v>
      </c>
      <c r="DN58" s="3">
        <f t="shared" ref="DN58" si="1344">DM58+7</f>
        <v>44718</v>
      </c>
      <c r="DO58" s="3">
        <f t="shared" ref="DO58" si="1345">DN58+7</f>
        <v>44725</v>
      </c>
      <c r="DP58" s="3">
        <f t="shared" ref="DP58" si="1346">DO58+7</f>
        <v>44732</v>
      </c>
      <c r="DQ58" s="3">
        <f t="shared" ref="DQ58" si="1347">DP58+7</f>
        <v>44739</v>
      </c>
      <c r="DR58" s="3">
        <f t="shared" ref="DR58" si="1348">DQ58+7</f>
        <v>44746</v>
      </c>
      <c r="DS58" s="3">
        <f t="shared" ref="DS58" si="1349">DR58+7</f>
        <v>44753</v>
      </c>
      <c r="DT58" s="3">
        <f t="shared" ref="DT58" si="1350">DS58+7</f>
        <v>44760</v>
      </c>
      <c r="DU58" s="3">
        <f t="shared" ref="DU58" si="1351">DT58+7</f>
        <v>44767</v>
      </c>
      <c r="DV58" s="3">
        <f t="shared" ref="DV58" si="1352">DU58+7</f>
        <v>44774</v>
      </c>
      <c r="DW58" s="3">
        <f t="shared" ref="DW58" si="1353">DV58+7</f>
        <v>44781</v>
      </c>
    </row>
    <row r="59" spans="1:127" x14ac:dyDescent="0.3">
      <c r="A59" s="96"/>
      <c r="B59" s="96"/>
      <c r="C59" s="96"/>
      <c r="D59" s="96"/>
      <c r="E59" s="96"/>
      <c r="F59" s="96" t="s">
        <v>210</v>
      </c>
      <c r="H59" s="96"/>
      <c r="I59" s="96"/>
      <c r="J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6"/>
      <c r="BP59" s="96"/>
      <c r="BQ59" s="96"/>
      <c r="BR59" s="96"/>
      <c r="BS59" s="96"/>
      <c r="BT59" s="96"/>
      <c r="BU59" s="96"/>
      <c r="BV59" s="96"/>
      <c r="BW59" s="96"/>
      <c r="BX59" s="96"/>
      <c r="BY59" s="96"/>
      <c r="BZ59" s="96"/>
      <c r="CA59" s="96"/>
      <c r="CB59" s="96"/>
      <c r="CC59" s="96"/>
      <c r="CD59" s="96"/>
      <c r="CE59" s="96"/>
      <c r="CF59" s="96"/>
      <c r="CG59" s="96"/>
      <c r="CH59" s="96"/>
      <c r="CI59" s="96"/>
      <c r="CJ59" s="96"/>
      <c r="CK59" s="96"/>
      <c r="CL59" s="96"/>
      <c r="CM59" s="96"/>
      <c r="CN59" s="96"/>
      <c r="CO59" s="96"/>
      <c r="CP59" s="96"/>
      <c r="CQ59" s="96"/>
      <c r="CR59" s="96"/>
      <c r="CS59" s="96"/>
      <c r="CT59" s="96"/>
      <c r="CU59" s="96"/>
      <c r="CV59" s="96"/>
      <c r="CW59" s="96"/>
      <c r="CX59" s="96"/>
      <c r="CY59" s="96"/>
      <c r="CZ59" s="96"/>
      <c r="DA59" s="96"/>
      <c r="DB59" s="96"/>
      <c r="DC59" s="96"/>
      <c r="DD59" s="96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</row>
    <row r="60" spans="1:127" x14ac:dyDescent="0.3">
      <c r="A60" s="96"/>
      <c r="B60" s="96"/>
      <c r="C60" s="96"/>
      <c r="D60" s="96"/>
      <c r="E60" s="96"/>
      <c r="F60" s="6" t="s">
        <v>204</v>
      </c>
      <c r="G60" s="9">
        <f>SUMIFS(G$2:G$55,$F$2:$F$55,$F60)</f>
        <v>1443</v>
      </c>
      <c r="H60" s="9">
        <f>SUMIFS(H$2:H$55,$F$2:$F$55,$F60)</f>
        <v>1085</v>
      </c>
      <c r="I60" s="9">
        <f>SUMIFS(I$2:I$55,$F$2:$F$55,$F60)</f>
        <v>358</v>
      </c>
      <c r="J60" s="9">
        <f>SUMIFS(J$2:J$55,$F$2:$F$55,$F60)</f>
        <v>0</v>
      </c>
      <c r="K60" s="112">
        <f>SUMIFS(K$2:K$55,$F$2:$F$55,$F60)</f>
        <v>0</v>
      </c>
      <c r="L60" s="112">
        <f>SUMIFS(L$2:L$55,$F$2:$F$55,$F60)</f>
        <v>0</v>
      </c>
      <c r="M60" s="112">
        <f>SUMIFS(M$2:M$55,$F$2:$F$55,$F60)</f>
        <v>0</v>
      </c>
      <c r="N60" s="112">
        <f>SUMIFS(N$2:N$55,$F$2:$F$55,$F60)</f>
        <v>0</v>
      </c>
      <c r="O60" s="112">
        <f>SUMIFS(O$2:O$55,$F$2:$F$55,$F60)</f>
        <v>0</v>
      </c>
      <c r="P60" s="112">
        <f>SUMIFS(P$2:P$55,$F$2:$F$55,$F60)</f>
        <v>0</v>
      </c>
      <c r="Q60" s="112">
        <f>SUMIFS(Q$2:Q$55,$F$2:$F$55,$F60)</f>
        <v>0</v>
      </c>
      <c r="R60" s="112">
        <f>SUMIFS(R$2:R$55,$F$2:$F$55,$F60)</f>
        <v>0</v>
      </c>
      <c r="S60" s="9">
        <f>SUMIFS(S$2:S$55,$F$2:$F$55,$F60)</f>
        <v>0</v>
      </c>
      <c r="T60" s="9">
        <f>SUMIFS(T$2:T$55,$F$2:$F$55,$F60)</f>
        <v>0</v>
      </c>
      <c r="U60" s="9">
        <f>SUMIFS(U$2:U$55,$F$2:$F$55,$F60)</f>
        <v>0</v>
      </c>
      <c r="V60" s="9">
        <f>SUMIFS(V$2:V$55,$F$2:$F$55,$F60)</f>
        <v>0</v>
      </c>
      <c r="W60" s="9">
        <f>SUMIFS(W$2:W$55,$F$2:$F$55,$F60)</f>
        <v>0</v>
      </c>
      <c r="X60" s="9">
        <f>SUMIFS(X$2:X$55,$F$2:$F$55,$F60)</f>
        <v>0</v>
      </c>
      <c r="Y60" s="9">
        <f>SUMIFS(Y$2:Y$55,$F$2:$F$55,$F60)</f>
        <v>0</v>
      </c>
      <c r="Z60" s="9">
        <f>SUMIFS(Z$2:Z$55,$F$2:$F$55,$F60)</f>
        <v>0</v>
      </c>
      <c r="AA60" s="9">
        <f>SUMIFS(AA$2:AA$55,$F$2:$F$55,$F60)</f>
        <v>0</v>
      </c>
      <c r="AB60" s="1">
        <f>SUMIFS(AB$2:AB$55,$F$2:$F$55,$F60)</f>
        <v>0</v>
      </c>
      <c r="AC60" s="1">
        <f>SUMIFS(AC$2:AC$55,$F$2:$F$55,$F60)</f>
        <v>0</v>
      </c>
      <c r="AD60" s="1">
        <f>SUMIFS(AD$2:AD$55,$F$2:$F$55,$F60)</f>
        <v>0</v>
      </c>
      <c r="AE60" s="1">
        <f>SUMIFS(AE$2:AE$55,$F$2:$F$55,$F60)</f>
        <v>0</v>
      </c>
      <c r="AF60" s="1">
        <f>SUMIFS(AF$2:AF$55,$F$2:$F$55,$F60)</f>
        <v>0</v>
      </c>
      <c r="AG60" s="1">
        <f>SUMIFS(AG$2:AG$55,$F$2:$F$55,$F60)</f>
        <v>0</v>
      </c>
      <c r="AH60" s="1">
        <f>SUMIFS(AH$2:AH$55,$F$2:$F$55,$F60)</f>
        <v>0</v>
      </c>
      <c r="AI60" s="1">
        <f>SUMIFS(AI$2:AI$55,$F$2:$F$55,$F60)</f>
        <v>0</v>
      </c>
      <c r="AJ60" s="1">
        <f>SUMIFS(AJ$2:AJ$55,$F$2:$F$55,$F60)</f>
        <v>0</v>
      </c>
      <c r="AK60" s="1">
        <f>SUMIFS(AK$2:AK$55,$F$2:$F$55,$F60)</f>
        <v>0</v>
      </c>
      <c r="AL60" s="1">
        <f>SUMIFS(AL$2:AL$55,$F$2:$F$55,$F60)</f>
        <v>0</v>
      </c>
      <c r="AM60" s="1">
        <f>SUMIFS(AM$2:AM$55,$F$2:$F$55,$F60)</f>
        <v>0</v>
      </c>
      <c r="AN60" s="1">
        <f>SUMIFS(AN$2:AN$55,$F$2:$F$55,$F60)</f>
        <v>0</v>
      </c>
      <c r="AO60" s="1">
        <f>SUMIFS(AO$2:AO$55,$F$2:$F$55,$F60)</f>
        <v>0</v>
      </c>
      <c r="AP60" s="1">
        <f>SUMIFS(AP$2:AP$55,$F$2:$F$55,$F60)</f>
        <v>0</v>
      </c>
      <c r="AQ60" s="1">
        <f>SUMIFS(AQ$2:AQ$55,$F$2:$F$55,$F60)</f>
        <v>0</v>
      </c>
      <c r="AR60" s="1">
        <f>SUMIFS(AR$2:AR$55,$F$2:$F$55,$F60)</f>
        <v>0</v>
      </c>
      <c r="AS60" s="1">
        <f>SUMIFS(AS$2:AS$55,$F$2:$F$55,$F60)</f>
        <v>0</v>
      </c>
      <c r="AT60" s="1">
        <f>SUMIFS(AT$2:AT$55,$F$2:$F$55,$F60)</f>
        <v>0</v>
      </c>
      <c r="AU60" s="1">
        <f>SUMIFS(AU$2:AU$55,$F$2:$F$55,$F60)</f>
        <v>0</v>
      </c>
      <c r="AV60" s="1">
        <f>SUMIFS(AV$2:AV$55,$F$2:$F$55,$F60)</f>
        <v>0</v>
      </c>
      <c r="AW60" s="1">
        <f>SUMIFS(AW$2:AW$55,$F$2:$F$55,$F60)</f>
        <v>0</v>
      </c>
      <c r="AX60" s="1">
        <f>SUMIFS(AX$2:AX$55,$F$2:$F$55,$F60)</f>
        <v>0</v>
      </c>
      <c r="AY60" s="1">
        <f>SUMIFS(AY$2:AY$55,$F$2:$F$55,$F60)</f>
        <v>0</v>
      </c>
      <c r="AZ60" s="1">
        <f>SUMIFS(AZ$2:AZ$55,$F$2:$F$55,$F60)</f>
        <v>0</v>
      </c>
      <c r="BA60" s="1">
        <f>SUMIFS(BA$2:BA$55,$F$2:$F$55,$F60)</f>
        <v>0</v>
      </c>
      <c r="BB60" s="1">
        <f>SUMIFS(BB$2:BB$55,$F$2:$F$55,$F60)</f>
        <v>0</v>
      </c>
      <c r="BC60" s="1">
        <f>SUMIFS(BC$2:BC$55,$F$2:$F$55,$F60)</f>
        <v>0</v>
      </c>
      <c r="BD60" s="1">
        <f>SUMIFS(BD$2:BD$55,$F$2:$F$55,$F60)</f>
        <v>0</v>
      </c>
      <c r="BE60" s="1">
        <f>SUMIFS(BE$2:BE$55,$F$2:$F$55,$F60)</f>
        <v>0</v>
      </c>
      <c r="BF60" s="1">
        <f>SUMIFS(BF$2:BF$55,$F$2:$F$55,$F60)</f>
        <v>0</v>
      </c>
      <c r="BG60" s="1">
        <f>SUMIFS(BG$2:BG$55,$F$2:$F$55,$F60)</f>
        <v>0</v>
      </c>
      <c r="BH60" s="1">
        <f>SUMIFS(BH$2:BH$55,$F$2:$F$55,$F60)</f>
        <v>0</v>
      </c>
      <c r="BI60" s="1">
        <f>SUMIFS(BI$2:BI$55,$F$2:$F$55,$F60)</f>
        <v>0</v>
      </c>
      <c r="BJ60" s="1">
        <f>SUMIFS(BJ$2:BJ$55,$F$2:$F$55,$F60)</f>
        <v>0</v>
      </c>
      <c r="BK60" s="1">
        <f>SUMIFS(BK$2:BK$55,$F$2:$F$55,$F60)</f>
        <v>0</v>
      </c>
      <c r="BL60" s="1">
        <f>SUMIFS(BL$2:BL$55,$F$2:$F$55,$F60)</f>
        <v>0</v>
      </c>
      <c r="BM60" s="1">
        <f>SUMIFS(BM$2:BM$55,$F$2:$F$55,$F60)</f>
        <v>0</v>
      </c>
      <c r="BN60" s="1">
        <f>SUMIFS(BN$2:BN$55,$F$2:$F$55,$F60)</f>
        <v>0</v>
      </c>
      <c r="BO60" s="1">
        <f>SUMIFS(BO$2:BO$55,$F$2:$F$55,$F60)</f>
        <v>0</v>
      </c>
      <c r="BP60" s="1">
        <f>SUMIFS(BP$2:BP$55,$F$2:$F$55,$F60)</f>
        <v>0</v>
      </c>
      <c r="BQ60" s="1">
        <f>SUMIFS(BQ$2:BQ$55,$F$2:$F$55,$F60)</f>
        <v>0</v>
      </c>
      <c r="BR60" s="1">
        <f>SUMIFS(BR$2:BR$55,$F$2:$F$55,$F60)</f>
        <v>0</v>
      </c>
      <c r="BS60" s="1">
        <f>SUMIFS(BS$2:BS$55,$F$2:$F$55,$F60)</f>
        <v>0</v>
      </c>
      <c r="BT60" s="1">
        <f>SUMIFS(BT$2:BT$55,$F$2:$F$55,$F60)</f>
        <v>0</v>
      </c>
      <c r="BU60" s="1">
        <f>SUMIFS(BU$2:BU$55,$F$2:$F$55,$F60)</f>
        <v>0</v>
      </c>
      <c r="BV60" s="1">
        <f>SUMIFS(BV$2:BV$55,$F$2:$F$55,$F60)</f>
        <v>0</v>
      </c>
      <c r="BW60" s="1">
        <f>SUMIFS(BW$2:BW$55,$F$2:$F$55,$F60)</f>
        <v>0</v>
      </c>
      <c r="BX60" s="1">
        <f>SUMIFS(BX$2:BX$55,$F$2:$F$55,$F60)</f>
        <v>0</v>
      </c>
      <c r="BY60" s="1">
        <f>SUMIFS(BY$2:BY$55,$F$2:$F$55,$F60)</f>
        <v>0</v>
      </c>
      <c r="BZ60" s="1">
        <f>SUMIFS(BZ$2:BZ$55,$F$2:$F$55,$F60)</f>
        <v>0</v>
      </c>
      <c r="CA60" s="1">
        <f>SUMIFS(CA$2:CA$55,$F$2:$F$55,$F60)</f>
        <v>0</v>
      </c>
      <c r="CB60" s="1">
        <f>SUMIFS(CB$2:CB$55,$F$2:$F$55,$F60)</f>
        <v>0</v>
      </c>
      <c r="CC60" s="1">
        <f>SUMIFS(CC$2:CC$55,$F$2:$F$55,$F60)</f>
        <v>0</v>
      </c>
      <c r="CD60" s="1">
        <f>SUMIFS(CD$2:CD$55,$F$2:$F$55,$F60)</f>
        <v>0</v>
      </c>
      <c r="CE60" s="1">
        <f>SUMIFS(CE$2:CE$55,$F$2:$F$55,$F60)</f>
        <v>0</v>
      </c>
      <c r="CF60" s="1">
        <f>SUMIFS(CF$2:CF$55,$F$2:$F$55,$F60)</f>
        <v>0</v>
      </c>
      <c r="CG60" s="1">
        <f>SUMIFS(CG$2:CG$55,$F$2:$F$55,$F60)</f>
        <v>0</v>
      </c>
      <c r="CH60" s="1">
        <f>SUMIFS(CH$2:CH$55,$F$2:$F$55,$F60)</f>
        <v>0</v>
      </c>
      <c r="CI60" s="1">
        <f>SUMIFS(CI$2:CI$55,$F$2:$F$55,$F60)</f>
        <v>0</v>
      </c>
      <c r="CJ60" s="1">
        <f>SUMIFS(CJ$2:CJ$55,$F$2:$F$55,$F60)</f>
        <v>0</v>
      </c>
      <c r="CK60" s="1">
        <f>SUMIFS(CK$2:CK$55,$F$2:$F$55,$F60)</f>
        <v>0</v>
      </c>
      <c r="CL60" s="1">
        <f>SUMIFS(CL$2:CL$55,$F$2:$F$55,$F60)</f>
        <v>0</v>
      </c>
      <c r="CM60" s="1">
        <f>SUMIFS(CM$2:CM$55,$F$2:$F$55,$F60)</f>
        <v>0</v>
      </c>
      <c r="CN60" s="1">
        <f>SUMIFS(CN$2:CN$55,$F$2:$F$55,$F60)</f>
        <v>0</v>
      </c>
      <c r="CO60" s="1">
        <f>SUMIFS(CO$2:CO$55,$F$2:$F$55,$F60)</f>
        <v>0</v>
      </c>
      <c r="CP60" s="1">
        <f>SUMIFS(CP$2:CP$55,$F$2:$F$55,$F60)</f>
        <v>0</v>
      </c>
      <c r="CQ60" s="1">
        <f>SUMIFS(CQ$2:CQ$55,$F$2:$F$55,$F60)</f>
        <v>0</v>
      </c>
      <c r="CR60" s="1">
        <f>SUMIFS(CR$2:CR$55,$F$2:$F$55,$F60)</f>
        <v>0</v>
      </c>
      <c r="CS60" s="1">
        <f>SUMIFS(CS$2:CS$55,$F$2:$F$55,$F60)</f>
        <v>0</v>
      </c>
      <c r="CT60" s="1">
        <f>SUMIFS(CT$2:CT$55,$F$2:$F$55,$F60)</f>
        <v>0</v>
      </c>
      <c r="CU60" s="1">
        <f>SUMIFS(CU$2:CU$55,$F$2:$F$55,$F60)</f>
        <v>0</v>
      </c>
      <c r="CV60" s="1">
        <f>SUMIFS(CV$2:CV$55,$F$2:$F$55,$F60)</f>
        <v>0</v>
      </c>
      <c r="CW60" s="1">
        <f>SUMIFS(CW$2:CW$55,$F$2:$F$55,$F60)</f>
        <v>0</v>
      </c>
      <c r="CX60" s="1">
        <f>SUMIFS(CX$2:CX$55,$F$2:$F$55,$F60)</f>
        <v>0</v>
      </c>
      <c r="CY60" s="1">
        <f>SUMIFS(CY$2:CY$55,$F$2:$F$55,$F60)</f>
        <v>0</v>
      </c>
      <c r="CZ60" s="1">
        <f>SUMIFS(CZ$2:CZ$55,$F$2:$F$55,$F60)</f>
        <v>0</v>
      </c>
      <c r="DA60" s="1">
        <f>SUMIFS(DA$2:DA$55,$F$2:$F$55,$F60)</f>
        <v>0</v>
      </c>
      <c r="DB60" s="1">
        <f>SUMIFS(DB$2:DB$55,$F$2:$F$55,$F60)</f>
        <v>0</v>
      </c>
      <c r="DC60" s="1">
        <f>SUMIFS(DC$2:DC$55,$F$2:$F$55,$F60)</f>
        <v>0</v>
      </c>
      <c r="DD60" s="1">
        <f>SUMIFS(DD$2:DD$55,$F$2:$F$55,$F60)</f>
        <v>0</v>
      </c>
      <c r="DE60" s="1">
        <f>SUMIFS(DE$2:DE$55,$F$2:$F$55,$F60)</f>
        <v>0</v>
      </c>
      <c r="DF60" s="1">
        <f>SUMIFS(DF$2:DF$55,$F$2:$F$55,$F60)</f>
        <v>0</v>
      </c>
      <c r="DG60" s="1">
        <f>SUMIFS(DG$2:DG$55,$F$2:$F$55,$F60)</f>
        <v>0</v>
      </c>
      <c r="DH60" s="1">
        <f>SUMIFS(DH$2:DH$55,$F$2:$F$55,$F60)</f>
        <v>0</v>
      </c>
      <c r="DI60" s="1">
        <f>SUMIFS(DI$2:DI$55,$F$2:$F$55,$F60)</f>
        <v>0</v>
      </c>
      <c r="DJ60" s="1">
        <f>SUMIFS(DJ$2:DJ$55,$F$2:$F$55,$F60)</f>
        <v>0</v>
      </c>
      <c r="DK60" s="1">
        <f>SUMIFS(DK$2:DK$55,$F$2:$F$55,$F60)</f>
        <v>0</v>
      </c>
      <c r="DL60" s="1">
        <f>SUMIFS(DL$2:DL$55,$F$2:$F$55,$F60)</f>
        <v>0</v>
      </c>
      <c r="DM60" s="1">
        <f>SUMIFS(DM$2:DM$55,$F$2:$F$55,$F60)</f>
        <v>0</v>
      </c>
      <c r="DN60" s="1">
        <f>SUMIFS(DN$2:DN$55,$F$2:$F$55,$F60)</f>
        <v>0</v>
      </c>
      <c r="DO60" s="1">
        <f>SUMIFS(DO$2:DO$55,$F$2:$F$55,$F60)</f>
        <v>0</v>
      </c>
      <c r="DP60" s="1">
        <f>SUMIFS(DP$2:DP$55,$F$2:$F$55,$F60)</f>
        <v>0</v>
      </c>
      <c r="DQ60" s="1">
        <f>SUMIFS(DQ$2:DQ$55,$F$2:$F$55,$F60)</f>
        <v>0</v>
      </c>
      <c r="DR60" s="1">
        <f>SUMIFS(DR$2:DR$55,$F$2:$F$55,$F60)</f>
        <v>0</v>
      </c>
      <c r="DS60" s="1">
        <f>SUMIFS(DS$2:DS$55,$F$2:$F$55,$F60)</f>
        <v>0</v>
      </c>
      <c r="DT60" s="1">
        <f>SUMIFS(DT$2:DT$55,$F$2:$F$55,$F60)</f>
        <v>0</v>
      </c>
      <c r="DU60" s="1">
        <f>SUMIFS(DU$2:DU$55,$F$2:$F$55,$F60)</f>
        <v>0</v>
      </c>
      <c r="DV60" s="1">
        <f>SUMIFS(DV$2:DV$55,$F$2:$F$55,$F60)</f>
        <v>0</v>
      </c>
      <c r="DW60" s="1">
        <f>SUMIFS(DW$2:DW$55,$F$2:$F$55,$F60)</f>
        <v>0</v>
      </c>
    </row>
    <row r="61" spans="1:127" x14ac:dyDescent="0.3">
      <c r="A61" s="96"/>
      <c r="B61" s="96"/>
      <c r="C61" s="96"/>
      <c r="D61" s="96"/>
      <c r="E61" s="96"/>
      <c r="F61" s="4" t="s">
        <v>205</v>
      </c>
      <c r="G61" s="9">
        <f>SUMIFS(G$2:G$55,$F$2:$F$55,$F61)</f>
        <v>0</v>
      </c>
      <c r="H61" s="9">
        <f>SUMIFS(H$2:H$55,$F$2:$F$55,$F61)</f>
        <v>49.233333333333327</v>
      </c>
      <c r="I61" s="9">
        <f>SUMIFS(I$2:I$55,$F$2:$F$55,$F61)</f>
        <v>190.63333333333333</v>
      </c>
      <c r="J61" s="9">
        <f>SUMIFS(J$2:J$55,$F$2:$F$55,$F61)</f>
        <v>190.63333333333333</v>
      </c>
      <c r="K61" s="112">
        <f>SUMIFS(K$2:K$55,$F$2:$F$55,$F61)</f>
        <v>190.63333333333333</v>
      </c>
      <c r="L61" s="112">
        <f>SUMIFS(L$2:L$55,$F$2:$F$55,$F61)</f>
        <v>190.63333333333333</v>
      </c>
      <c r="M61" s="112">
        <f>SUMIFS(M$2:M$55,$F$2:$F$55,$F61)</f>
        <v>225.63333333333333</v>
      </c>
      <c r="N61" s="112">
        <f>SUMIFS(N$2:N$55,$F$2:$F$55,$F61)</f>
        <v>225.63333333333333</v>
      </c>
      <c r="O61" s="112">
        <f>SUMIFS(O$2:O$55,$F$2:$F$55,$F61)</f>
        <v>225.63333333333333</v>
      </c>
      <c r="P61" s="112">
        <f>SUMIFS(P$2:P$55,$F$2:$F$55,$F61)</f>
        <v>225.63333333333333</v>
      </c>
      <c r="Q61" s="112">
        <f>SUMIFS(Q$2:Q$55,$F$2:$F$55,$F61)</f>
        <v>225.63333333333333</v>
      </c>
      <c r="R61" s="112">
        <f>SUMIFS(R$2:R$55,$F$2:$F$55,$F61)</f>
        <v>93.1</v>
      </c>
      <c r="S61" s="9">
        <f>SUMIFS(S$2:S$55,$F$2:$F$55,$F61)</f>
        <v>93.1</v>
      </c>
      <c r="T61" s="9">
        <f>SUMIFS(T$2:T$55,$F$2:$F$55,$F61)</f>
        <v>93.1</v>
      </c>
      <c r="U61" s="9">
        <f>SUMIFS(U$2:U$55,$F$2:$F$55,$F61)</f>
        <v>93.1</v>
      </c>
      <c r="V61" s="9">
        <f>SUMIFS(V$2:V$55,$F$2:$F$55,$F61)</f>
        <v>55.3</v>
      </c>
      <c r="W61" s="9">
        <f>SUMIFS(W$2:W$55,$F$2:$F$55,$F61)</f>
        <v>55.3</v>
      </c>
      <c r="X61" s="9">
        <f>SUMIFS(X$2:X$55,$F$2:$F$55,$F61)</f>
        <v>55.3</v>
      </c>
      <c r="Y61" s="9">
        <f>SUMIFS(Y$2:Y$55,$F$2:$F$55,$F61)</f>
        <v>55.3</v>
      </c>
      <c r="Z61" s="9">
        <f>SUMIFS(Z$2:Z$55,$F$2:$F$55,$F61)</f>
        <v>55.3</v>
      </c>
      <c r="AA61" s="9">
        <f>SUMIFS(AA$2:AA$55,$F$2:$F$55,$F61)</f>
        <v>5.1333333333333329</v>
      </c>
      <c r="AB61" s="1">
        <f>SUMIFS(AB$2:AB$55,$F$2:$F$55,$F61)</f>
        <v>5.1333333333333329</v>
      </c>
      <c r="AC61" s="1">
        <f>SUMIFS(AC$2:AC$55,$F$2:$F$55,$F61)</f>
        <v>5.1333333333333329</v>
      </c>
      <c r="AD61" s="1">
        <f>SUMIFS(AD$2:AD$55,$F$2:$F$55,$F61)</f>
        <v>5.1333333333333329</v>
      </c>
      <c r="AE61" s="1">
        <f>SUMIFS(AE$2:AE$55,$F$2:$F$55,$F61)</f>
        <v>5.1333333333333329</v>
      </c>
      <c r="AF61" s="1">
        <f>SUMIFS(AF$2:AF$55,$F$2:$F$55,$F61)</f>
        <v>5.1333333333333329</v>
      </c>
      <c r="AG61" s="1">
        <f>SUMIFS(AG$2:AG$55,$F$2:$F$55,$F61)</f>
        <v>5.1333333333333329</v>
      </c>
      <c r="AH61" s="1">
        <f>SUMIFS(AH$2:AH$55,$F$2:$F$55,$F61)</f>
        <v>5.1333333333333329</v>
      </c>
      <c r="AI61" s="1">
        <f>SUMIFS(AI$2:AI$55,$F$2:$F$55,$F61)</f>
        <v>5.1333333333333329</v>
      </c>
      <c r="AJ61" s="1">
        <f>SUMIFS(AJ$2:AJ$55,$F$2:$F$55,$F61)</f>
        <v>5.1333333333333329</v>
      </c>
      <c r="AK61" s="1">
        <f>SUMIFS(AK$2:AK$55,$F$2:$F$55,$F61)</f>
        <v>5.1333333333333329</v>
      </c>
      <c r="AL61" s="1">
        <f>SUMIFS(AL$2:AL$55,$F$2:$F$55,$F61)</f>
        <v>5.1333333333333329</v>
      </c>
      <c r="AM61" s="1">
        <f>SUMIFS(AM$2:AM$55,$F$2:$F$55,$F61)</f>
        <v>5.1333333333333329</v>
      </c>
      <c r="AN61" s="1">
        <f>SUMIFS(AN$2:AN$55,$F$2:$F$55,$F61)</f>
        <v>5.1333333333333329</v>
      </c>
      <c r="AO61" s="1">
        <f>SUMIFS(AO$2:AO$55,$F$2:$F$55,$F61)</f>
        <v>5.1333333333333329</v>
      </c>
      <c r="AP61" s="1">
        <f>SUMIFS(AP$2:AP$55,$F$2:$F$55,$F61)</f>
        <v>5.1333333333333329</v>
      </c>
      <c r="AQ61" s="1">
        <f>SUMIFS(AQ$2:AQ$55,$F$2:$F$55,$F61)</f>
        <v>5.1333333333333329</v>
      </c>
      <c r="AR61" s="1">
        <f>SUMIFS(AR$2:AR$55,$F$2:$F$55,$F61)</f>
        <v>5.1333333333333329</v>
      </c>
      <c r="AS61" s="1">
        <f>SUMIFS(AS$2:AS$55,$F$2:$F$55,$F61)</f>
        <v>5.1333333333333329</v>
      </c>
      <c r="AT61" s="1">
        <f>SUMIFS(AT$2:AT$55,$F$2:$F$55,$F61)</f>
        <v>5.1333333333333329</v>
      </c>
      <c r="AU61" s="1">
        <f>SUMIFS(AU$2:AU$55,$F$2:$F$55,$F61)</f>
        <v>5.1333333333333329</v>
      </c>
      <c r="AV61" s="1">
        <f>SUMIFS(AV$2:AV$55,$F$2:$F$55,$F61)</f>
        <v>5.1333333333333329</v>
      </c>
      <c r="AW61" s="1">
        <f>SUMIFS(AW$2:AW$55,$F$2:$F$55,$F61)</f>
        <v>5.1333333333333329</v>
      </c>
      <c r="AX61" s="1">
        <f>SUMIFS(AX$2:AX$55,$F$2:$F$55,$F61)</f>
        <v>5.1333333333333329</v>
      </c>
      <c r="AY61" s="1">
        <f>SUMIFS(AY$2:AY$55,$F$2:$F$55,$F61)</f>
        <v>5.1333333333333329</v>
      </c>
      <c r="AZ61" s="1">
        <f>SUMIFS(AZ$2:AZ$55,$F$2:$F$55,$F61)</f>
        <v>5.1333333333333329</v>
      </c>
      <c r="BA61" s="1">
        <f>SUMIFS(BA$2:BA$55,$F$2:$F$55,$F61)</f>
        <v>5.1333333333333329</v>
      </c>
      <c r="BB61" s="1">
        <f>SUMIFS(BB$2:BB$55,$F$2:$F$55,$F61)</f>
        <v>5.1333333333333329</v>
      </c>
      <c r="BC61" s="1">
        <f>SUMIFS(BC$2:BC$55,$F$2:$F$55,$F61)</f>
        <v>5.1333333333333329</v>
      </c>
      <c r="BD61" s="1">
        <f>SUMIFS(BD$2:BD$55,$F$2:$F$55,$F61)</f>
        <v>5.1333333333333329</v>
      </c>
      <c r="BE61" s="1">
        <f>SUMIFS(BE$2:BE$55,$F$2:$F$55,$F61)</f>
        <v>5.1333333333333329</v>
      </c>
      <c r="BF61" s="1">
        <f>SUMIFS(BF$2:BF$55,$F$2:$F$55,$F61)</f>
        <v>5.1333333333333329</v>
      </c>
      <c r="BG61" s="1">
        <f>SUMIFS(BG$2:BG$55,$F$2:$F$55,$F61)</f>
        <v>5.1333333333333329</v>
      </c>
      <c r="BH61" s="1">
        <f>SUMIFS(BH$2:BH$55,$F$2:$F$55,$F61)</f>
        <v>5.1333333333333329</v>
      </c>
      <c r="BI61" s="1">
        <f>SUMIFS(BI$2:BI$55,$F$2:$F$55,$F61)</f>
        <v>5.1333333333333329</v>
      </c>
      <c r="BJ61" s="1">
        <f>SUMIFS(BJ$2:BJ$55,$F$2:$F$55,$F61)</f>
        <v>5.1333333333333329</v>
      </c>
      <c r="BK61" s="1">
        <f>SUMIFS(BK$2:BK$55,$F$2:$F$55,$F61)</f>
        <v>5.1333333333333329</v>
      </c>
      <c r="BL61" s="1">
        <f>SUMIFS(BL$2:BL$55,$F$2:$F$55,$F61)</f>
        <v>5.1333333333333329</v>
      </c>
      <c r="BM61" s="1">
        <f>SUMIFS(BM$2:BM$55,$F$2:$F$55,$F61)</f>
        <v>5.1333333333333329</v>
      </c>
      <c r="BN61" s="1">
        <f>SUMIFS(BN$2:BN$55,$F$2:$F$55,$F61)</f>
        <v>5.1333333333333329</v>
      </c>
      <c r="BO61" s="1">
        <f>SUMIFS(BO$2:BO$55,$F$2:$F$55,$F61)</f>
        <v>5.1333333333333329</v>
      </c>
      <c r="BP61" s="1">
        <f>SUMIFS(BP$2:BP$55,$F$2:$F$55,$F61)</f>
        <v>5.1333333333333329</v>
      </c>
      <c r="BQ61" s="1">
        <f>SUMIFS(BQ$2:BQ$55,$F$2:$F$55,$F61)</f>
        <v>5.1333333333333329</v>
      </c>
      <c r="BR61" s="1">
        <f>SUMIFS(BR$2:BR$55,$F$2:$F$55,$F61)</f>
        <v>5.1333333333333329</v>
      </c>
      <c r="BS61" s="1">
        <f>SUMIFS(BS$2:BS$55,$F$2:$F$55,$F61)</f>
        <v>5.1333333333333329</v>
      </c>
      <c r="BT61" s="1">
        <f>SUMIFS(BT$2:BT$55,$F$2:$F$55,$F61)</f>
        <v>5.1333333333333329</v>
      </c>
      <c r="BU61" s="1">
        <f>SUMIFS(BU$2:BU$55,$F$2:$F$55,$F61)</f>
        <v>5.1333333333333329</v>
      </c>
      <c r="BV61" s="1">
        <f>SUMIFS(BV$2:BV$55,$F$2:$F$55,$F61)</f>
        <v>5.1333333333333329</v>
      </c>
      <c r="BW61" s="1">
        <f>SUMIFS(BW$2:BW$55,$F$2:$F$55,$F61)</f>
        <v>5.1333333333333329</v>
      </c>
      <c r="BX61" s="1">
        <f>SUMIFS(BX$2:BX$55,$F$2:$F$55,$F61)</f>
        <v>5.1333333333333329</v>
      </c>
      <c r="BY61" s="1">
        <f>SUMIFS(BY$2:BY$55,$F$2:$F$55,$F61)</f>
        <v>5.1333333333333329</v>
      </c>
      <c r="BZ61" s="1">
        <f>SUMIFS(BZ$2:BZ$55,$F$2:$F$55,$F61)</f>
        <v>5.1333333333333329</v>
      </c>
      <c r="CA61" s="1">
        <f>SUMIFS(CA$2:CA$55,$F$2:$F$55,$F61)</f>
        <v>5.1333333333333329</v>
      </c>
      <c r="CB61" s="1">
        <f>SUMIFS(CB$2:CB$55,$F$2:$F$55,$F61)</f>
        <v>5.1333333333333329</v>
      </c>
      <c r="CC61" s="1">
        <f>SUMIFS(CC$2:CC$55,$F$2:$F$55,$F61)</f>
        <v>5.1333333333333329</v>
      </c>
      <c r="CD61" s="1">
        <f>SUMIFS(CD$2:CD$55,$F$2:$F$55,$F61)</f>
        <v>5.1333333333333329</v>
      </c>
      <c r="CE61" s="1">
        <f>SUMIFS(CE$2:CE$55,$F$2:$F$55,$F61)</f>
        <v>5.1333333333333329</v>
      </c>
      <c r="CF61" s="1">
        <f>SUMIFS(CF$2:CF$55,$F$2:$F$55,$F61)</f>
        <v>5.1333333333333329</v>
      </c>
      <c r="CG61" s="1">
        <f>SUMIFS(CG$2:CG$55,$F$2:$F$55,$F61)</f>
        <v>5.1333333333333329</v>
      </c>
      <c r="CH61" s="1">
        <f>SUMIFS(CH$2:CH$55,$F$2:$F$55,$F61)</f>
        <v>5.1333333333333329</v>
      </c>
      <c r="CI61" s="1">
        <f>SUMIFS(CI$2:CI$55,$F$2:$F$55,$F61)</f>
        <v>5.1333333333333329</v>
      </c>
      <c r="CJ61" s="1">
        <f>SUMIFS(CJ$2:CJ$55,$F$2:$F$55,$F61)</f>
        <v>5.1333333333333329</v>
      </c>
      <c r="CK61" s="1">
        <f>SUMIFS(CK$2:CK$55,$F$2:$F$55,$F61)</f>
        <v>5.1333333333333329</v>
      </c>
      <c r="CL61" s="1">
        <f>SUMIFS(CL$2:CL$55,$F$2:$F$55,$F61)</f>
        <v>5.1333333333333329</v>
      </c>
      <c r="CM61" s="1">
        <f>SUMIFS(CM$2:CM$55,$F$2:$F$55,$F61)</f>
        <v>5.1333333333333329</v>
      </c>
      <c r="CN61" s="1">
        <f>SUMIFS(CN$2:CN$55,$F$2:$F$55,$F61)</f>
        <v>5.1333333333333329</v>
      </c>
      <c r="CO61" s="1">
        <f>SUMIFS(CO$2:CO$55,$F$2:$F$55,$F61)</f>
        <v>5.1333333333333329</v>
      </c>
      <c r="CP61" s="1">
        <f>SUMIFS(CP$2:CP$55,$F$2:$F$55,$F61)</f>
        <v>5.1333333333333329</v>
      </c>
      <c r="CQ61" s="1">
        <f>SUMIFS(CQ$2:CQ$55,$F$2:$F$55,$F61)</f>
        <v>5.1333333333333329</v>
      </c>
      <c r="CR61" s="1">
        <f>SUMIFS(CR$2:CR$55,$F$2:$F$55,$F61)</f>
        <v>5.1333333333333329</v>
      </c>
      <c r="CS61" s="1">
        <f>SUMIFS(CS$2:CS$55,$F$2:$F$55,$F61)</f>
        <v>5.1333333333333329</v>
      </c>
      <c r="CT61" s="1">
        <f>SUMIFS(CT$2:CT$55,$F$2:$F$55,$F61)</f>
        <v>5.1333333333333329</v>
      </c>
      <c r="CU61" s="1">
        <f>SUMIFS(CU$2:CU$55,$F$2:$F$55,$F61)</f>
        <v>5.1333333333333329</v>
      </c>
      <c r="CV61" s="1">
        <f>SUMIFS(CV$2:CV$55,$F$2:$F$55,$F61)</f>
        <v>5.1333333333333329</v>
      </c>
      <c r="CW61" s="1">
        <f>SUMIFS(CW$2:CW$55,$F$2:$F$55,$F61)</f>
        <v>5.1333333333333329</v>
      </c>
      <c r="CX61" s="1">
        <f>SUMIFS(CX$2:CX$55,$F$2:$F$55,$F61)</f>
        <v>5.1333333333333329</v>
      </c>
      <c r="CY61" s="1">
        <f>SUMIFS(CY$2:CY$55,$F$2:$F$55,$F61)</f>
        <v>5.1333333333333329</v>
      </c>
      <c r="CZ61" s="1">
        <f>SUMIFS(CZ$2:CZ$55,$F$2:$F$55,$F61)</f>
        <v>5.1333333333333329</v>
      </c>
      <c r="DA61" s="1">
        <f>SUMIFS(DA$2:DA$55,$F$2:$F$55,$F61)</f>
        <v>5.1333333333333329</v>
      </c>
      <c r="DB61" s="1">
        <f>SUMIFS(DB$2:DB$55,$F$2:$F$55,$F61)</f>
        <v>5.1333333333333329</v>
      </c>
      <c r="DC61" s="1">
        <f>SUMIFS(DC$2:DC$55,$F$2:$F$55,$F61)</f>
        <v>5.1333333333333329</v>
      </c>
      <c r="DD61" s="1">
        <f>SUMIFS(DD$2:DD$55,$F$2:$F$55,$F61)</f>
        <v>5.1333333333333329</v>
      </c>
      <c r="DE61" s="1">
        <f>SUMIFS(DE$2:DE$55,$F$2:$F$55,$F61)</f>
        <v>5.1333333333333329</v>
      </c>
      <c r="DF61" s="1">
        <f>SUMIFS(DF$2:DF$55,$F$2:$F$55,$F61)</f>
        <v>5.1333333333333329</v>
      </c>
      <c r="DG61" s="1">
        <f>SUMIFS(DG$2:DG$55,$F$2:$F$55,$F61)</f>
        <v>5.1333333333333329</v>
      </c>
      <c r="DH61" s="1">
        <f>SUMIFS(DH$2:DH$55,$F$2:$F$55,$F61)</f>
        <v>5.1333333333333329</v>
      </c>
      <c r="DI61" s="1">
        <f>SUMIFS(DI$2:DI$55,$F$2:$F$55,$F61)</f>
        <v>5.1333333333333329</v>
      </c>
      <c r="DJ61" s="1">
        <f>SUMIFS(DJ$2:DJ$55,$F$2:$F$55,$F61)</f>
        <v>5.1333333333333329</v>
      </c>
      <c r="DK61" s="1">
        <f>SUMIFS(DK$2:DK$55,$F$2:$F$55,$F61)</f>
        <v>5.1333333333333329</v>
      </c>
      <c r="DL61" s="1">
        <f>SUMIFS(DL$2:DL$55,$F$2:$F$55,$F61)</f>
        <v>5.1333333333333329</v>
      </c>
      <c r="DM61" s="1">
        <f>SUMIFS(DM$2:DM$55,$F$2:$F$55,$F61)</f>
        <v>5.1333333333333329</v>
      </c>
      <c r="DN61" s="1">
        <f>SUMIFS(DN$2:DN$55,$F$2:$F$55,$F61)</f>
        <v>5.1333333333333329</v>
      </c>
      <c r="DO61" s="1">
        <f>SUMIFS(DO$2:DO$55,$F$2:$F$55,$F61)</f>
        <v>5.1333333333333329</v>
      </c>
      <c r="DP61" s="1">
        <f>SUMIFS(DP$2:DP$55,$F$2:$F$55,$F61)</f>
        <v>5.1333333333333329</v>
      </c>
      <c r="DQ61" s="1">
        <f>SUMIFS(DQ$2:DQ$55,$F$2:$F$55,$F61)</f>
        <v>5.1333333333333329</v>
      </c>
      <c r="DR61" s="1">
        <f>SUMIFS(DR$2:DR$55,$F$2:$F$55,$F61)</f>
        <v>5.1333333333333329</v>
      </c>
      <c r="DS61" s="1">
        <f>SUMIFS(DS$2:DS$55,$F$2:$F$55,$F61)</f>
        <v>5.1333333333333329</v>
      </c>
      <c r="DT61" s="1">
        <f>SUMIFS(DT$2:DT$55,$F$2:$F$55,$F61)</f>
        <v>5.1333333333333329</v>
      </c>
      <c r="DU61" s="1">
        <f>SUMIFS(DU$2:DU$55,$F$2:$F$55,$F61)</f>
        <v>5.1333333333333329</v>
      </c>
      <c r="DV61" s="1">
        <f>SUMIFS(DV$2:DV$55,$F$2:$F$55,$F61)</f>
        <v>5.1333333333333329</v>
      </c>
      <c r="DW61" s="1">
        <f>SUMIFS(DW$2:DW$55,$F$2:$F$55,$F61)</f>
        <v>5.1333333333333329</v>
      </c>
    </row>
    <row r="62" spans="1:127" x14ac:dyDescent="0.3">
      <c r="A62" s="96"/>
      <c r="B62" s="96"/>
      <c r="C62" s="96"/>
      <c r="D62" s="96"/>
      <c r="E62" s="96"/>
      <c r="F62" s="4" t="s">
        <v>206</v>
      </c>
      <c r="G62" s="1">
        <f>SUMIFS(G$2:G$55,$F$2:$F$55,$F62)</f>
        <v>0</v>
      </c>
      <c r="H62" s="1">
        <f>SUMIFS(H$2:H$55,$F$2:$F$55,$F62)</f>
        <v>0</v>
      </c>
      <c r="I62" s="1">
        <f>SUMIFS(I$2:I$55,$F$2:$F$55,$F62)</f>
        <v>0</v>
      </c>
      <c r="J62" s="1">
        <f>SUMIFS(J$2:J$55,$F$2:$F$55,$F62)</f>
        <v>0</v>
      </c>
      <c r="K62" s="112">
        <f>SUMIFS(K$2:K$55,$F$2:$F$55,$F62)</f>
        <v>0</v>
      </c>
      <c r="L62" s="112">
        <f>SUMIFS(L$2:L$55,$F$2:$F$55,$F62)</f>
        <v>0</v>
      </c>
      <c r="M62" s="112">
        <f>SUMIFS(M$2:M$55,$F$2:$F$55,$F62)</f>
        <v>0</v>
      </c>
      <c r="N62" s="112">
        <f>SUMIFS(N$2:N$55,$F$2:$F$55,$F62)</f>
        <v>0</v>
      </c>
      <c r="O62" s="112">
        <f>SUMIFS(O$2:O$55,$F$2:$F$55,$F62)</f>
        <v>0</v>
      </c>
      <c r="P62" s="112">
        <f>SUMIFS(P$2:P$55,$F$2:$F$55,$F62)</f>
        <v>0</v>
      </c>
      <c r="Q62" s="112">
        <f>SUMIFS(Q$2:Q$55,$F$2:$F$55,$F62)</f>
        <v>0</v>
      </c>
      <c r="R62" s="112">
        <f>SUMIFS(R$2:R$55,$F$2:$F$55,$F62)</f>
        <v>0</v>
      </c>
      <c r="S62" s="9">
        <f>SUMIFS(S$2:S$55,$F$2:$F$55,$F62)</f>
        <v>0</v>
      </c>
      <c r="T62" s="9">
        <f>SUMIFS(T$2:T$55,$F$2:$F$55,$F62)</f>
        <v>0</v>
      </c>
      <c r="U62" s="9">
        <f>SUMIFS(U$2:U$55,$F$2:$F$55,$F62)</f>
        <v>0</v>
      </c>
      <c r="V62" s="9">
        <f>SUMIFS(V$2:V$55,$F$2:$F$55,$F62)</f>
        <v>0</v>
      </c>
      <c r="W62" s="9">
        <f>SUMIFS(W$2:W$55,$F$2:$F$55,$F62)</f>
        <v>0</v>
      </c>
      <c r="X62" s="9">
        <f>SUMIFS(X$2:X$55,$F$2:$F$55,$F62)</f>
        <v>0</v>
      </c>
      <c r="Y62" s="9">
        <f>SUMIFS(Y$2:Y$55,$F$2:$F$55,$F62)</f>
        <v>0</v>
      </c>
      <c r="Z62" s="9">
        <f>SUMIFS(Z$2:Z$55,$F$2:$F$55,$F62)</f>
        <v>0</v>
      </c>
      <c r="AA62" s="9">
        <f>SUMIFS(AA$2:AA$55,$F$2:$F$55,$F62)</f>
        <v>0</v>
      </c>
      <c r="AB62" s="1">
        <f>SUMIFS(AB$2:AB$55,$F$2:$F$55,$F62)</f>
        <v>0</v>
      </c>
      <c r="AC62" s="1">
        <f>SUMIFS(AC$2:AC$55,$F$2:$F$55,$F62)</f>
        <v>0</v>
      </c>
      <c r="AD62" s="1">
        <f>SUMIFS(AD$2:AD$55,$F$2:$F$55,$F62)</f>
        <v>0</v>
      </c>
      <c r="AE62" s="1">
        <f>SUMIFS(AE$2:AE$55,$F$2:$F$55,$F62)</f>
        <v>0</v>
      </c>
      <c r="AF62" s="1">
        <f>SUMIFS(AF$2:AF$55,$F$2:$F$55,$F62)</f>
        <v>0</v>
      </c>
      <c r="AG62" s="1">
        <f>SUMIFS(AG$2:AG$55,$F$2:$F$55,$F62)</f>
        <v>0</v>
      </c>
      <c r="AH62" s="1">
        <f>SUMIFS(AH$2:AH$55,$F$2:$F$55,$F62)</f>
        <v>0</v>
      </c>
      <c r="AI62" s="1">
        <f>SUMIFS(AI$2:AI$55,$F$2:$F$55,$F62)</f>
        <v>0</v>
      </c>
      <c r="AJ62" s="1">
        <f>SUMIFS(AJ$2:AJ$55,$F$2:$F$55,$F62)</f>
        <v>0</v>
      </c>
      <c r="AK62" s="1">
        <f>SUMIFS(AK$2:AK$55,$F$2:$F$55,$F62)</f>
        <v>0</v>
      </c>
      <c r="AL62" s="1">
        <f>SUMIFS(AL$2:AL$55,$F$2:$F$55,$F62)</f>
        <v>0</v>
      </c>
      <c r="AM62" s="1">
        <f>SUMIFS(AM$2:AM$55,$F$2:$F$55,$F62)</f>
        <v>0</v>
      </c>
      <c r="AN62" s="1">
        <f>SUMIFS(AN$2:AN$55,$F$2:$F$55,$F62)</f>
        <v>0</v>
      </c>
      <c r="AO62" s="1">
        <f>SUMIFS(AO$2:AO$55,$F$2:$F$55,$F62)</f>
        <v>0</v>
      </c>
      <c r="AP62" s="1">
        <f>SUMIFS(AP$2:AP$55,$F$2:$F$55,$F62)</f>
        <v>0</v>
      </c>
      <c r="AQ62" s="1">
        <f>SUMIFS(AQ$2:AQ$55,$F$2:$F$55,$F62)</f>
        <v>0</v>
      </c>
      <c r="AR62" s="1">
        <f>SUMIFS(AR$2:AR$55,$F$2:$F$55,$F62)</f>
        <v>0</v>
      </c>
      <c r="AS62" s="1">
        <f>SUMIFS(AS$2:AS$55,$F$2:$F$55,$F62)</f>
        <v>0</v>
      </c>
      <c r="AT62" s="1">
        <f>SUMIFS(AT$2:AT$55,$F$2:$F$55,$F62)</f>
        <v>0</v>
      </c>
      <c r="AU62" s="1">
        <f>SUMIFS(AU$2:AU$55,$F$2:$F$55,$F62)</f>
        <v>0</v>
      </c>
      <c r="AV62" s="1">
        <f>SUMIFS(AV$2:AV$55,$F$2:$F$55,$F62)</f>
        <v>0</v>
      </c>
      <c r="AW62" s="1">
        <f>SUMIFS(AW$2:AW$55,$F$2:$F$55,$F62)</f>
        <v>0</v>
      </c>
      <c r="AX62" s="1">
        <f>SUMIFS(AX$2:AX$55,$F$2:$F$55,$F62)</f>
        <v>0</v>
      </c>
      <c r="AY62" s="1">
        <f>SUMIFS(AY$2:AY$55,$F$2:$F$55,$F62)</f>
        <v>0</v>
      </c>
      <c r="AZ62" s="1">
        <f>SUMIFS(AZ$2:AZ$55,$F$2:$F$55,$F62)</f>
        <v>0</v>
      </c>
      <c r="BA62" s="1">
        <f>SUMIFS(BA$2:BA$55,$F$2:$F$55,$F62)</f>
        <v>0</v>
      </c>
      <c r="BB62" s="1">
        <f>SUMIFS(BB$2:BB$55,$F$2:$F$55,$F62)</f>
        <v>0</v>
      </c>
      <c r="BC62" s="1">
        <f>SUMIFS(BC$2:BC$55,$F$2:$F$55,$F62)</f>
        <v>0</v>
      </c>
      <c r="BD62" s="1">
        <f>SUMIFS(BD$2:BD$55,$F$2:$F$55,$F62)</f>
        <v>0</v>
      </c>
      <c r="BE62" s="1">
        <f>SUMIFS(BE$2:BE$55,$F$2:$F$55,$F62)</f>
        <v>0</v>
      </c>
      <c r="BF62" s="1">
        <f>SUMIFS(BF$2:BF$55,$F$2:$F$55,$F62)</f>
        <v>0</v>
      </c>
      <c r="BG62" s="1">
        <f>SUMIFS(BG$2:BG$55,$F$2:$F$55,$F62)</f>
        <v>0</v>
      </c>
      <c r="BH62" s="1">
        <f>SUMIFS(BH$2:BH$55,$F$2:$F$55,$F62)</f>
        <v>0</v>
      </c>
      <c r="BI62" s="1">
        <f>SUMIFS(BI$2:BI$55,$F$2:$F$55,$F62)</f>
        <v>0</v>
      </c>
      <c r="BJ62" s="1">
        <f>SUMIFS(BJ$2:BJ$55,$F$2:$F$55,$F62)</f>
        <v>0</v>
      </c>
      <c r="BK62" s="1">
        <f>SUMIFS(BK$2:BK$55,$F$2:$F$55,$F62)</f>
        <v>0</v>
      </c>
      <c r="BL62" s="1">
        <f>SUMIFS(BL$2:BL$55,$F$2:$F$55,$F62)</f>
        <v>0</v>
      </c>
      <c r="BM62" s="1">
        <f>SUMIFS(BM$2:BM$55,$F$2:$F$55,$F62)</f>
        <v>0</v>
      </c>
      <c r="BN62" s="1">
        <f>SUMIFS(BN$2:BN$55,$F$2:$F$55,$F62)</f>
        <v>0</v>
      </c>
      <c r="BO62" s="1">
        <f>SUMIFS(BO$2:BO$55,$F$2:$F$55,$F62)</f>
        <v>0</v>
      </c>
      <c r="BP62" s="1">
        <f>SUMIFS(BP$2:BP$55,$F$2:$F$55,$F62)</f>
        <v>0</v>
      </c>
      <c r="BQ62" s="1">
        <f>SUMIFS(BQ$2:BQ$55,$F$2:$F$55,$F62)</f>
        <v>0</v>
      </c>
      <c r="BR62" s="1">
        <f>SUMIFS(BR$2:BR$55,$F$2:$F$55,$F62)</f>
        <v>0</v>
      </c>
      <c r="BS62" s="1">
        <f>SUMIFS(BS$2:BS$55,$F$2:$F$55,$F62)</f>
        <v>0</v>
      </c>
      <c r="BT62" s="1">
        <f>SUMIFS(BT$2:BT$55,$F$2:$F$55,$F62)</f>
        <v>0</v>
      </c>
      <c r="BU62" s="1">
        <f>SUMIFS(BU$2:BU$55,$F$2:$F$55,$F62)</f>
        <v>0</v>
      </c>
      <c r="BV62" s="1">
        <f>SUMIFS(BV$2:BV$55,$F$2:$F$55,$F62)</f>
        <v>0</v>
      </c>
      <c r="BW62" s="1">
        <f>SUMIFS(BW$2:BW$55,$F$2:$F$55,$F62)</f>
        <v>0</v>
      </c>
      <c r="BX62" s="1">
        <f>SUMIFS(BX$2:BX$55,$F$2:$F$55,$F62)</f>
        <v>0</v>
      </c>
      <c r="BY62" s="1">
        <f>SUMIFS(BY$2:BY$55,$F$2:$F$55,$F62)</f>
        <v>0</v>
      </c>
      <c r="BZ62" s="1">
        <f>SUMIFS(BZ$2:BZ$55,$F$2:$F$55,$F62)</f>
        <v>0</v>
      </c>
      <c r="CA62" s="1">
        <f>SUMIFS(CA$2:CA$55,$F$2:$F$55,$F62)</f>
        <v>0</v>
      </c>
      <c r="CB62" s="1">
        <f>SUMIFS(CB$2:CB$55,$F$2:$F$55,$F62)</f>
        <v>0</v>
      </c>
      <c r="CC62" s="1">
        <f>SUMIFS(CC$2:CC$55,$F$2:$F$55,$F62)</f>
        <v>0</v>
      </c>
      <c r="CD62" s="1">
        <f>SUMIFS(CD$2:CD$55,$F$2:$F$55,$F62)</f>
        <v>0</v>
      </c>
      <c r="CE62" s="1">
        <f>SUMIFS(CE$2:CE$55,$F$2:$F$55,$F62)</f>
        <v>0</v>
      </c>
      <c r="CF62" s="1">
        <f>SUMIFS(CF$2:CF$55,$F$2:$F$55,$F62)</f>
        <v>0</v>
      </c>
      <c r="CG62" s="1">
        <f>SUMIFS(CG$2:CG$55,$F$2:$F$55,$F62)</f>
        <v>0</v>
      </c>
      <c r="CH62" s="1">
        <f>SUMIFS(CH$2:CH$55,$F$2:$F$55,$F62)</f>
        <v>0</v>
      </c>
      <c r="CI62" s="1">
        <f>SUMIFS(CI$2:CI$55,$F$2:$F$55,$F62)</f>
        <v>0</v>
      </c>
      <c r="CJ62" s="1">
        <f>SUMIFS(CJ$2:CJ$55,$F$2:$F$55,$F62)</f>
        <v>0</v>
      </c>
      <c r="CK62" s="1">
        <f>SUMIFS(CK$2:CK$55,$F$2:$F$55,$F62)</f>
        <v>0</v>
      </c>
      <c r="CL62" s="1">
        <f>SUMIFS(CL$2:CL$55,$F$2:$F$55,$F62)</f>
        <v>0</v>
      </c>
      <c r="CM62" s="1">
        <f>SUMIFS(CM$2:CM$55,$F$2:$F$55,$F62)</f>
        <v>0</v>
      </c>
      <c r="CN62" s="1">
        <f>SUMIFS(CN$2:CN$55,$F$2:$F$55,$F62)</f>
        <v>0</v>
      </c>
      <c r="CO62" s="1">
        <f>SUMIFS(CO$2:CO$55,$F$2:$F$55,$F62)</f>
        <v>0</v>
      </c>
      <c r="CP62" s="1">
        <f>SUMIFS(CP$2:CP$55,$F$2:$F$55,$F62)</f>
        <v>0</v>
      </c>
      <c r="CQ62" s="1">
        <f>SUMIFS(CQ$2:CQ$55,$F$2:$F$55,$F62)</f>
        <v>0</v>
      </c>
      <c r="CR62" s="1">
        <f>SUMIFS(CR$2:CR$55,$F$2:$F$55,$F62)</f>
        <v>0</v>
      </c>
      <c r="CS62" s="1">
        <f>SUMIFS(CS$2:CS$55,$F$2:$F$55,$F62)</f>
        <v>0</v>
      </c>
      <c r="CT62" s="1">
        <f>SUMIFS(CT$2:CT$55,$F$2:$F$55,$F62)</f>
        <v>0</v>
      </c>
      <c r="CU62" s="1">
        <f>SUMIFS(CU$2:CU$55,$F$2:$F$55,$F62)</f>
        <v>0</v>
      </c>
      <c r="CV62" s="1">
        <f>SUMIFS(CV$2:CV$55,$F$2:$F$55,$F62)</f>
        <v>0</v>
      </c>
      <c r="CW62" s="1">
        <f>SUMIFS(CW$2:CW$55,$F$2:$F$55,$F62)</f>
        <v>0</v>
      </c>
      <c r="CX62" s="1">
        <f>SUMIFS(CX$2:CX$55,$F$2:$F$55,$F62)</f>
        <v>0</v>
      </c>
      <c r="CY62" s="1">
        <f>SUMIFS(CY$2:CY$55,$F$2:$F$55,$F62)</f>
        <v>0</v>
      </c>
      <c r="CZ62" s="1">
        <f>SUMIFS(CZ$2:CZ$55,$F$2:$F$55,$F62)</f>
        <v>0</v>
      </c>
      <c r="DA62" s="1">
        <f>SUMIFS(DA$2:DA$55,$F$2:$F$55,$F62)</f>
        <v>0</v>
      </c>
      <c r="DB62" s="1">
        <f>SUMIFS(DB$2:DB$55,$F$2:$F$55,$F62)</f>
        <v>0</v>
      </c>
      <c r="DC62" s="1">
        <f>SUMIFS(DC$2:DC$55,$F$2:$F$55,$F62)</f>
        <v>0</v>
      </c>
      <c r="DD62" s="1">
        <f>SUMIFS(DD$2:DD$55,$F$2:$F$55,$F62)</f>
        <v>0</v>
      </c>
      <c r="DE62" s="1">
        <f>SUMIFS(DE$2:DE$55,$F$2:$F$55,$F62)</f>
        <v>0</v>
      </c>
      <c r="DF62" s="1">
        <f>SUMIFS(DF$2:DF$55,$F$2:$F$55,$F62)</f>
        <v>0</v>
      </c>
      <c r="DG62" s="1">
        <f>SUMIFS(DG$2:DG$55,$F$2:$F$55,$F62)</f>
        <v>0</v>
      </c>
      <c r="DH62" s="1">
        <f>SUMIFS(DH$2:DH$55,$F$2:$F$55,$F62)</f>
        <v>0</v>
      </c>
      <c r="DI62" s="1">
        <f>SUMIFS(DI$2:DI$55,$F$2:$F$55,$F62)</f>
        <v>0</v>
      </c>
      <c r="DJ62" s="1">
        <f>SUMIFS(DJ$2:DJ$55,$F$2:$F$55,$F62)</f>
        <v>0</v>
      </c>
      <c r="DK62" s="1">
        <f>SUMIFS(DK$2:DK$55,$F$2:$F$55,$F62)</f>
        <v>0</v>
      </c>
      <c r="DL62" s="1">
        <f>SUMIFS(DL$2:DL$55,$F$2:$F$55,$F62)</f>
        <v>0</v>
      </c>
      <c r="DM62" s="1">
        <f>SUMIFS(DM$2:DM$55,$F$2:$F$55,$F62)</f>
        <v>0</v>
      </c>
      <c r="DN62" s="1">
        <f>SUMIFS(DN$2:DN$55,$F$2:$F$55,$F62)</f>
        <v>0</v>
      </c>
      <c r="DO62" s="1">
        <f>SUMIFS(DO$2:DO$55,$F$2:$F$55,$F62)</f>
        <v>0</v>
      </c>
      <c r="DP62" s="1">
        <f>SUMIFS(DP$2:DP$55,$F$2:$F$55,$F62)</f>
        <v>0</v>
      </c>
      <c r="DQ62" s="1">
        <f>SUMIFS(DQ$2:DQ$55,$F$2:$F$55,$F62)</f>
        <v>0</v>
      </c>
      <c r="DR62" s="1">
        <f>SUMIFS(DR$2:DR$55,$F$2:$F$55,$F62)</f>
        <v>0</v>
      </c>
      <c r="DS62" s="1">
        <f>SUMIFS(DS$2:DS$55,$F$2:$F$55,$F62)</f>
        <v>0</v>
      </c>
      <c r="DT62" s="1">
        <f>SUMIFS(DT$2:DT$55,$F$2:$F$55,$F62)</f>
        <v>0</v>
      </c>
      <c r="DU62" s="1">
        <f>SUMIFS(DU$2:DU$55,$F$2:$F$55,$F62)</f>
        <v>0</v>
      </c>
      <c r="DV62" s="1">
        <f>SUMIFS(DV$2:DV$55,$F$2:$F$55,$F62)</f>
        <v>0</v>
      </c>
      <c r="DW62" s="1">
        <f>SUMIFS(DW$2:DW$55,$F$2:$F$55,$F62)</f>
        <v>0</v>
      </c>
    </row>
    <row r="63" spans="1:127" x14ac:dyDescent="0.3">
      <c r="A63" s="96"/>
      <c r="B63" s="96"/>
      <c r="C63" s="96"/>
      <c r="D63" s="96"/>
      <c r="E63" s="96"/>
      <c r="F63" s="4" t="s">
        <v>207</v>
      </c>
      <c r="G63" s="1">
        <f>SUMIFS(G$2:G$55,$F$2:$F$55,$F63)</f>
        <v>0</v>
      </c>
      <c r="H63" s="1">
        <f>SUMIFS(H$2:H$55,$F$2:$F$55,$F63)</f>
        <v>0</v>
      </c>
      <c r="I63" s="1">
        <f>SUMIFS(I$2:I$55,$F$2:$F$55,$F63)</f>
        <v>0</v>
      </c>
      <c r="J63" s="1">
        <f>SUMIFS(J$2:J$55,$F$2:$F$55,$F63)</f>
        <v>0</v>
      </c>
      <c r="K63" s="112">
        <f>SUMIFS(K$2:K$55,$F$2:$F$55,$F63)</f>
        <v>0</v>
      </c>
      <c r="L63" s="112">
        <f>SUMIFS(L$2:L$55,$F$2:$F$55,$F63)</f>
        <v>0</v>
      </c>
      <c r="M63" s="112">
        <f>SUMIFS(M$2:M$55,$F$2:$F$55,$F63)</f>
        <v>8.5265128291212022E-14</v>
      </c>
      <c r="N63" s="112">
        <f>SUMIFS(N$2:N$55,$F$2:$F$55,$F63)</f>
        <v>0</v>
      </c>
      <c r="O63" s="112">
        <f>SUMIFS(O$2:O$55,$F$2:$F$55,$F63)</f>
        <v>0</v>
      </c>
      <c r="P63" s="112">
        <f>SUMIFS(P$2:P$55,$F$2:$F$55,$F63)</f>
        <v>0</v>
      </c>
      <c r="Q63" s="112">
        <f>SUMIFS(Q$2:Q$55,$F$2:$F$55,$F63)</f>
        <v>0</v>
      </c>
      <c r="R63" s="112">
        <f>SUMIFS(R$2:R$55,$F$2:$F$55,$F63)</f>
        <v>0</v>
      </c>
      <c r="S63" s="9">
        <f>SUMIFS(S$2:S$55,$F$2:$F$55,$F63)</f>
        <v>4.2632564145606011E-14</v>
      </c>
      <c r="T63" s="9">
        <f>SUMIFS(T$2:T$55,$F$2:$F$55,$F63)</f>
        <v>0</v>
      </c>
      <c r="U63" s="9">
        <f>SUMIFS(U$2:U$55,$F$2:$F$55,$F63)</f>
        <v>0</v>
      </c>
      <c r="V63" s="9">
        <f>SUMIFS(V$2:V$55,$F$2:$F$55,$F63)</f>
        <v>0</v>
      </c>
      <c r="W63" s="9">
        <f>SUMIFS(W$2:W$55,$F$2:$F$55,$F63)</f>
        <v>8.5265128291212022E-14</v>
      </c>
      <c r="X63" s="9">
        <f>SUMIFS(X$2:X$55,$F$2:$F$55,$F63)</f>
        <v>0</v>
      </c>
      <c r="Y63" s="9">
        <f>SUMIFS(Y$2:Y$55,$F$2:$F$55,$F63)</f>
        <v>0</v>
      </c>
      <c r="Z63" s="9">
        <f>SUMIFS(Z$2:Z$55,$F$2:$F$55,$F63)</f>
        <v>0</v>
      </c>
      <c r="AA63" s="9">
        <f>SUMIFS(AA$2:AA$55,$F$2:$F$55,$F63)</f>
        <v>0</v>
      </c>
      <c r="AB63" s="1">
        <f>SUMIFS(AB$2:AB$55,$F$2:$F$55,$F63)</f>
        <v>2.2737367544323206E-13</v>
      </c>
      <c r="AC63" s="1">
        <f>SUMIFS(AC$2:AC$55,$F$2:$F$55,$F63)</f>
        <v>0</v>
      </c>
      <c r="AD63" s="1">
        <f>SUMIFS(AD$2:AD$55,$F$2:$F$55,$F63)</f>
        <v>0</v>
      </c>
      <c r="AE63" s="1">
        <f>SUMIFS(AE$2:AE$55,$F$2:$F$55,$F63)</f>
        <v>0</v>
      </c>
      <c r="AF63" s="1">
        <f>SUMIFS(AF$2:AF$55,$F$2:$F$55,$F63)</f>
        <v>1.1368683772161603E-13</v>
      </c>
      <c r="AG63" s="1">
        <f>SUMIFS(AG$2:AG$55,$F$2:$F$55,$F63)</f>
        <v>0</v>
      </c>
      <c r="AH63" s="1">
        <f>SUMIFS(AH$2:AH$55,$F$2:$F$55,$F63)</f>
        <v>0</v>
      </c>
      <c r="AI63" s="1">
        <f>SUMIFS(AI$2:AI$55,$F$2:$F$55,$F63)</f>
        <v>0</v>
      </c>
      <c r="AJ63" s="1">
        <f>SUMIFS(AJ$2:AJ$55,$F$2:$F$55,$F63)</f>
        <v>0</v>
      </c>
      <c r="AK63" s="1">
        <f>SUMIFS(AK$2:AK$55,$F$2:$F$55,$F63)</f>
        <v>1.5631940186722204E-13</v>
      </c>
      <c r="AL63" s="1">
        <f>SUMIFS(AL$2:AL$55,$F$2:$F$55,$F63)</f>
        <v>0</v>
      </c>
      <c r="AM63" s="1">
        <f>SUMIFS(AM$2:AM$55,$F$2:$F$55,$F63)</f>
        <v>0</v>
      </c>
      <c r="AN63" s="1">
        <f>SUMIFS(AN$2:AN$55,$F$2:$F$55,$F63)</f>
        <v>1.2789769243681803E-13</v>
      </c>
      <c r="AO63" s="1">
        <f>SUMIFS(AO$2:AO$55,$F$2:$F$55,$F63)</f>
        <v>0</v>
      </c>
      <c r="AP63" s="1">
        <f>SUMIFS(AP$2:AP$55,$F$2:$F$55,$F63)</f>
        <v>0</v>
      </c>
      <c r="AQ63" s="1">
        <f>SUMIFS(AQ$2:AQ$55,$F$2:$F$55,$F63)</f>
        <v>0</v>
      </c>
      <c r="AR63" s="1">
        <f>SUMIFS(AR$2:AR$55,$F$2:$F$55,$F63)</f>
        <v>0</v>
      </c>
      <c r="AS63" s="1">
        <f>SUMIFS(AS$2:AS$55,$F$2:$F$55,$F63)</f>
        <v>0</v>
      </c>
      <c r="AT63" s="1">
        <f>SUMIFS(AT$2:AT$55,$F$2:$F$55,$F63)</f>
        <v>0</v>
      </c>
      <c r="AU63" s="1">
        <f>SUMIFS(AU$2:AU$55,$F$2:$F$55,$F63)</f>
        <v>0</v>
      </c>
      <c r="AV63" s="1">
        <f>SUMIFS(AV$2:AV$55,$F$2:$F$55,$F63)</f>
        <v>0</v>
      </c>
      <c r="AW63" s="1">
        <f>SUMIFS(AW$2:AW$55,$F$2:$F$55,$F63)</f>
        <v>0</v>
      </c>
      <c r="AX63" s="1">
        <f>SUMIFS(AX$2:AX$55,$F$2:$F$55,$F63)</f>
        <v>0</v>
      </c>
      <c r="AY63" s="1">
        <f>SUMIFS(AY$2:AY$55,$F$2:$F$55,$F63)</f>
        <v>0</v>
      </c>
      <c r="AZ63" s="1">
        <f>SUMIFS(AZ$2:AZ$55,$F$2:$F$55,$F63)</f>
        <v>0</v>
      </c>
      <c r="BA63" s="1">
        <f>SUMIFS(BA$2:BA$55,$F$2:$F$55,$F63)</f>
        <v>0</v>
      </c>
      <c r="BB63" s="1">
        <f>SUMIFS(BB$2:BB$55,$F$2:$F$55,$F63)</f>
        <v>0</v>
      </c>
      <c r="BC63" s="1">
        <f>SUMIFS(BC$2:BC$55,$F$2:$F$55,$F63)</f>
        <v>0</v>
      </c>
      <c r="BD63" s="1">
        <f>SUMIFS(BD$2:BD$55,$F$2:$F$55,$F63)</f>
        <v>0</v>
      </c>
      <c r="BE63" s="1">
        <f>SUMIFS(BE$2:BE$55,$F$2:$F$55,$F63)</f>
        <v>0</v>
      </c>
      <c r="BF63" s="1">
        <f>SUMIFS(BF$2:BF$55,$F$2:$F$55,$F63)</f>
        <v>0</v>
      </c>
      <c r="BG63" s="1">
        <f>SUMIFS(BG$2:BG$55,$F$2:$F$55,$F63)</f>
        <v>0</v>
      </c>
      <c r="BH63" s="1">
        <f>SUMIFS(BH$2:BH$55,$F$2:$F$55,$F63)</f>
        <v>0</v>
      </c>
      <c r="BI63" s="1">
        <f>SUMIFS(BI$2:BI$55,$F$2:$F$55,$F63)</f>
        <v>0</v>
      </c>
      <c r="BJ63" s="1">
        <f>SUMIFS(BJ$2:BJ$55,$F$2:$F$55,$F63)</f>
        <v>0</v>
      </c>
      <c r="BK63" s="1">
        <f>SUMIFS(BK$2:BK$55,$F$2:$F$55,$F63)</f>
        <v>0</v>
      </c>
      <c r="BL63" s="1">
        <f>SUMIFS(BL$2:BL$55,$F$2:$F$55,$F63)</f>
        <v>0</v>
      </c>
      <c r="BM63" s="1">
        <f>SUMIFS(BM$2:BM$55,$F$2:$F$55,$F63)</f>
        <v>0</v>
      </c>
      <c r="BN63" s="1">
        <f>SUMIFS(BN$2:BN$55,$F$2:$F$55,$F63)</f>
        <v>0</v>
      </c>
      <c r="BO63" s="1">
        <f>SUMIFS(BO$2:BO$55,$F$2:$F$55,$F63)</f>
        <v>0</v>
      </c>
      <c r="BP63" s="1">
        <f>SUMIFS(BP$2:BP$55,$F$2:$F$55,$F63)</f>
        <v>0</v>
      </c>
      <c r="BQ63" s="1">
        <f>SUMIFS(BQ$2:BQ$55,$F$2:$F$55,$F63)</f>
        <v>0</v>
      </c>
      <c r="BR63" s="1">
        <f>SUMIFS(BR$2:BR$55,$F$2:$F$55,$F63)</f>
        <v>0</v>
      </c>
      <c r="BS63" s="1">
        <f>SUMIFS(BS$2:BS$55,$F$2:$F$55,$F63)</f>
        <v>0</v>
      </c>
      <c r="BT63" s="1">
        <f>SUMIFS(BT$2:BT$55,$F$2:$F$55,$F63)</f>
        <v>0</v>
      </c>
      <c r="BU63" s="1">
        <f>SUMIFS(BU$2:BU$55,$F$2:$F$55,$F63)</f>
        <v>0</v>
      </c>
      <c r="BV63" s="1">
        <f>SUMIFS(BV$2:BV$55,$F$2:$F$55,$F63)</f>
        <v>0</v>
      </c>
      <c r="BW63" s="1">
        <f>SUMIFS(BW$2:BW$55,$F$2:$F$55,$F63)</f>
        <v>0</v>
      </c>
      <c r="BX63" s="1">
        <f>SUMIFS(BX$2:BX$55,$F$2:$F$55,$F63)</f>
        <v>0</v>
      </c>
      <c r="BY63" s="1">
        <f>SUMIFS(BY$2:BY$55,$F$2:$F$55,$F63)</f>
        <v>0</v>
      </c>
      <c r="BZ63" s="1">
        <f>SUMIFS(BZ$2:BZ$55,$F$2:$F$55,$F63)</f>
        <v>0</v>
      </c>
      <c r="CA63" s="1">
        <f>SUMIFS(CA$2:CA$55,$F$2:$F$55,$F63)</f>
        <v>0</v>
      </c>
      <c r="CB63" s="1">
        <f>SUMIFS(CB$2:CB$55,$F$2:$F$55,$F63)</f>
        <v>0</v>
      </c>
      <c r="CC63" s="1">
        <f>SUMIFS(CC$2:CC$55,$F$2:$F$55,$F63)</f>
        <v>0</v>
      </c>
      <c r="CD63" s="1">
        <f>SUMIFS(CD$2:CD$55,$F$2:$F$55,$F63)</f>
        <v>0</v>
      </c>
      <c r="CE63" s="1">
        <f>SUMIFS(CE$2:CE$55,$F$2:$F$55,$F63)</f>
        <v>0</v>
      </c>
      <c r="CF63" s="1">
        <f>SUMIFS(CF$2:CF$55,$F$2:$F$55,$F63)</f>
        <v>0</v>
      </c>
      <c r="CG63" s="1">
        <f>SUMIFS(CG$2:CG$55,$F$2:$F$55,$F63)</f>
        <v>0</v>
      </c>
      <c r="CH63" s="1">
        <f>SUMIFS(CH$2:CH$55,$F$2:$F$55,$F63)</f>
        <v>0</v>
      </c>
      <c r="CI63" s="1">
        <f>SUMIFS(CI$2:CI$55,$F$2:$F$55,$F63)</f>
        <v>0</v>
      </c>
      <c r="CJ63" s="1">
        <f>SUMIFS(CJ$2:CJ$55,$F$2:$F$55,$F63)</f>
        <v>0</v>
      </c>
      <c r="CK63" s="1">
        <f>SUMIFS(CK$2:CK$55,$F$2:$F$55,$F63)</f>
        <v>0</v>
      </c>
      <c r="CL63" s="1">
        <f>SUMIFS(CL$2:CL$55,$F$2:$F$55,$F63)</f>
        <v>0</v>
      </c>
      <c r="CM63" s="1">
        <f>SUMIFS(CM$2:CM$55,$F$2:$F$55,$F63)</f>
        <v>0</v>
      </c>
      <c r="CN63" s="1">
        <f>SUMIFS(CN$2:CN$55,$F$2:$F$55,$F63)</f>
        <v>0</v>
      </c>
      <c r="CO63" s="1">
        <f>SUMIFS(CO$2:CO$55,$F$2:$F$55,$F63)</f>
        <v>0</v>
      </c>
      <c r="CP63" s="1">
        <f>SUMIFS(CP$2:CP$55,$F$2:$F$55,$F63)</f>
        <v>0</v>
      </c>
      <c r="CQ63" s="1">
        <f>SUMIFS(CQ$2:CQ$55,$F$2:$F$55,$F63)</f>
        <v>0</v>
      </c>
      <c r="CR63" s="1">
        <f>SUMIFS(CR$2:CR$55,$F$2:$F$55,$F63)</f>
        <v>0</v>
      </c>
      <c r="CS63" s="1">
        <f>SUMIFS(CS$2:CS$55,$F$2:$F$55,$F63)</f>
        <v>0</v>
      </c>
      <c r="CT63" s="1">
        <f>SUMIFS(CT$2:CT$55,$F$2:$F$55,$F63)</f>
        <v>0</v>
      </c>
      <c r="CU63" s="1">
        <f>SUMIFS(CU$2:CU$55,$F$2:$F$55,$F63)</f>
        <v>0</v>
      </c>
      <c r="CV63" s="1">
        <f>SUMIFS(CV$2:CV$55,$F$2:$F$55,$F63)</f>
        <v>0</v>
      </c>
      <c r="CW63" s="1">
        <f>SUMIFS(CW$2:CW$55,$F$2:$F$55,$F63)</f>
        <v>0</v>
      </c>
      <c r="CX63" s="1">
        <f>SUMIFS(CX$2:CX$55,$F$2:$F$55,$F63)</f>
        <v>0</v>
      </c>
      <c r="CY63" s="1">
        <f>SUMIFS(CY$2:CY$55,$F$2:$F$55,$F63)</f>
        <v>0</v>
      </c>
      <c r="CZ63" s="1">
        <f>SUMIFS(CZ$2:CZ$55,$F$2:$F$55,$F63)</f>
        <v>0</v>
      </c>
      <c r="DA63" s="1">
        <f>SUMIFS(DA$2:DA$55,$F$2:$F$55,$F63)</f>
        <v>0</v>
      </c>
      <c r="DB63" s="1">
        <f>SUMIFS(DB$2:DB$55,$F$2:$F$55,$F63)</f>
        <v>0</v>
      </c>
      <c r="DC63" s="1">
        <f>SUMIFS(DC$2:DC$55,$F$2:$F$55,$F63)</f>
        <v>0</v>
      </c>
      <c r="DD63" s="1">
        <f>SUMIFS(DD$2:DD$55,$F$2:$F$55,$F63)</f>
        <v>0</v>
      </c>
      <c r="DE63" s="1">
        <f>SUMIFS(DE$2:DE$55,$F$2:$F$55,$F63)</f>
        <v>0</v>
      </c>
      <c r="DF63" s="1">
        <f>SUMIFS(DF$2:DF$55,$F$2:$F$55,$F63)</f>
        <v>0</v>
      </c>
      <c r="DG63" s="1">
        <f>SUMIFS(DG$2:DG$55,$F$2:$F$55,$F63)</f>
        <v>0</v>
      </c>
      <c r="DH63" s="1">
        <f>SUMIFS(DH$2:DH$55,$F$2:$F$55,$F63)</f>
        <v>0</v>
      </c>
      <c r="DI63" s="1">
        <f>SUMIFS(DI$2:DI$55,$F$2:$F$55,$F63)</f>
        <v>0</v>
      </c>
      <c r="DJ63" s="1">
        <f>SUMIFS(DJ$2:DJ$55,$F$2:$F$55,$F63)</f>
        <v>0</v>
      </c>
      <c r="DK63" s="1">
        <f>SUMIFS(DK$2:DK$55,$F$2:$F$55,$F63)</f>
        <v>0</v>
      </c>
      <c r="DL63" s="1">
        <f>SUMIFS(DL$2:DL$55,$F$2:$F$55,$F63)</f>
        <v>0</v>
      </c>
      <c r="DM63" s="1">
        <f>SUMIFS(DM$2:DM$55,$F$2:$F$55,$F63)</f>
        <v>0</v>
      </c>
      <c r="DN63" s="1">
        <f>SUMIFS(DN$2:DN$55,$F$2:$F$55,$F63)</f>
        <v>0</v>
      </c>
      <c r="DO63" s="1">
        <f>SUMIFS(DO$2:DO$55,$F$2:$F$55,$F63)</f>
        <v>0</v>
      </c>
      <c r="DP63" s="1">
        <f>SUMIFS(DP$2:DP$55,$F$2:$F$55,$F63)</f>
        <v>0</v>
      </c>
      <c r="DQ63" s="1">
        <f>SUMIFS(DQ$2:DQ$55,$F$2:$F$55,$F63)</f>
        <v>0</v>
      </c>
      <c r="DR63" s="1">
        <f>SUMIFS(DR$2:DR$55,$F$2:$F$55,$F63)</f>
        <v>0</v>
      </c>
      <c r="DS63" s="1">
        <f>SUMIFS(DS$2:DS$55,$F$2:$F$55,$F63)</f>
        <v>0</v>
      </c>
      <c r="DT63" s="1">
        <f>SUMIFS(DT$2:DT$55,$F$2:$F$55,$F63)</f>
        <v>0</v>
      </c>
      <c r="DU63" s="1">
        <f>SUMIFS(DU$2:DU$55,$F$2:$F$55,$F63)</f>
        <v>0</v>
      </c>
      <c r="DV63" s="1">
        <f>SUMIFS(DV$2:DV$55,$F$2:$F$55,$F63)</f>
        <v>0</v>
      </c>
      <c r="DW63" s="1">
        <f>SUMIFS(DW$2:DW$55,$F$2:$F$55,$F63)</f>
        <v>0</v>
      </c>
    </row>
    <row r="64" spans="1:127" x14ac:dyDescent="0.3">
      <c r="A64" s="96"/>
      <c r="B64" s="96"/>
      <c r="C64" s="96"/>
      <c r="D64" s="96"/>
      <c r="E64" s="96"/>
      <c r="F64" s="4" t="s">
        <v>172</v>
      </c>
      <c r="G64" s="1">
        <f>SUMIFS(G$2:G$55,$F$2:$F$55,$F64)</f>
        <v>0</v>
      </c>
      <c r="H64" s="1">
        <f>SUMIFS(H$2:H$55,$F$2:$F$55,$F64)</f>
        <v>0</v>
      </c>
      <c r="I64" s="1">
        <f>SUMIFS(I$2:I$55,$F$2:$F$55,$F64)</f>
        <v>0</v>
      </c>
      <c r="J64" s="1">
        <f>SUMIFS(J$2:J$55,$F$2:$F$55,$F64)</f>
        <v>107.63333333333333</v>
      </c>
      <c r="K64" s="112">
        <f>SUMIFS(K$2:K$55,$F$2:$F$55,$F64)</f>
        <v>272.5</v>
      </c>
      <c r="L64" s="112">
        <f>SUMIFS(L$2:L$55,$F$2:$F$55,$F64)</f>
        <v>0</v>
      </c>
      <c r="M64" s="112">
        <f>SUMIFS(M$2:M$55,$F$2:$F$55,$F64)</f>
        <v>571.39999999999986</v>
      </c>
      <c r="N64" s="112">
        <f>SUMIFS(N$2:N$55,$F$2:$F$55,$F64)</f>
        <v>0</v>
      </c>
      <c r="O64" s="112">
        <f>SUMIFS(O$2:O$55,$F$2:$F$55,$F64)</f>
        <v>80.733333333333334</v>
      </c>
      <c r="P64" s="112">
        <f>SUMIFS(P$2:P$55,$F$2:$F$55,$F64)</f>
        <v>352.63333333333338</v>
      </c>
      <c r="Q64" s="112">
        <f>SUMIFS(Q$2:Q$55,$F$2:$F$55,$F64)</f>
        <v>137.46666666666655</v>
      </c>
      <c r="R64" s="112">
        <f>SUMIFS(R$2:R$55,$F$2:$F$55,$F64)</f>
        <v>0</v>
      </c>
      <c r="S64" s="9">
        <f>SUMIFS(S$2:S$55,$F$2:$F$55,$F64)</f>
        <v>89.366666666666703</v>
      </c>
      <c r="T64" s="9">
        <f>SUMIFS(T$2:T$55,$F$2:$F$55,$F64)</f>
        <v>0</v>
      </c>
      <c r="U64" s="9">
        <f>SUMIFS(U$2:U$55,$F$2:$F$55,$F64)</f>
        <v>0</v>
      </c>
      <c r="V64" s="9">
        <f>SUMIFS(V$2:V$55,$F$2:$F$55,$F64)</f>
        <v>0</v>
      </c>
      <c r="W64" s="9">
        <f>SUMIFS(W$2:W$55,$F$2:$F$55,$F64)</f>
        <v>154.46666666666664</v>
      </c>
      <c r="X64" s="9">
        <f>SUMIFS(X$2:X$55,$F$2:$F$55,$F64)</f>
        <v>0</v>
      </c>
      <c r="Y64" s="9">
        <f>SUMIFS(Y$2:Y$55,$F$2:$F$55,$F64)</f>
        <v>6.7666666666667084</v>
      </c>
      <c r="Z64" s="9">
        <f>SUMIFS(Z$2:Z$55,$F$2:$F$55,$F64)</f>
        <v>6.3000000000000114</v>
      </c>
      <c r="AA64" s="9">
        <f>SUMIFS(AA$2:AA$55,$F$2:$F$55,$F64)</f>
        <v>0</v>
      </c>
      <c r="AB64" s="1">
        <f>SUMIFS(AB$2:AB$55,$F$2:$F$55,$F64)</f>
        <v>12.599999999999824</v>
      </c>
      <c r="AC64" s="1">
        <f>SUMIFS(AC$2:AC$55,$F$2:$F$55,$F64)</f>
        <v>0</v>
      </c>
      <c r="AD64" s="1">
        <f>SUMIFS(AD$2:AD$55,$F$2:$F$55,$F64)</f>
        <v>0</v>
      </c>
      <c r="AE64" s="1">
        <f>SUMIFS(AE$2:AE$55,$F$2:$F$55,$F64)</f>
        <v>0</v>
      </c>
      <c r="AF64" s="1">
        <f>SUMIFS(AF$2:AF$55,$F$2:$F$55,$F64)</f>
        <v>23.566666666666777</v>
      </c>
      <c r="AG64" s="1">
        <f>SUMIFS(AG$2:AG$55,$F$2:$F$55,$F64)</f>
        <v>0</v>
      </c>
      <c r="AH64" s="1">
        <f>SUMIFS(AH$2:AH$55,$F$2:$F$55,$F64)</f>
        <v>0</v>
      </c>
      <c r="AI64" s="1">
        <f>SUMIFS(AI$2:AI$55,$F$2:$F$55,$F64)</f>
        <v>0</v>
      </c>
      <c r="AJ64" s="1">
        <f>SUMIFS(AJ$2:AJ$55,$F$2:$F$55,$F64)</f>
        <v>2.1000000000000227</v>
      </c>
      <c r="AK64" s="1">
        <f>SUMIFS(AK$2:AK$55,$F$2:$F$55,$F64)</f>
        <v>6.2999999999998693</v>
      </c>
      <c r="AL64" s="1">
        <f>SUMIFS(AL$2:AL$55,$F$2:$F$55,$F64)</f>
        <v>0</v>
      </c>
      <c r="AM64" s="1">
        <f>SUMIFS(AM$2:AM$55,$F$2:$F$55,$F64)</f>
        <v>0</v>
      </c>
      <c r="AN64" s="1">
        <f>SUMIFS(AN$2:AN$55,$F$2:$F$55,$F64)</f>
        <v>14.699999999999932</v>
      </c>
      <c r="AO64" s="1">
        <f>SUMIFS(AO$2:AO$55,$F$2:$F$55,$F64)</f>
        <v>10.500000000000171</v>
      </c>
      <c r="AP64" s="1">
        <f>SUMIFS(AP$2:AP$55,$F$2:$F$55,$F64)</f>
        <v>0</v>
      </c>
      <c r="AQ64" s="1">
        <f>SUMIFS(AQ$2:AQ$55,$F$2:$F$55,$F64)</f>
        <v>0</v>
      </c>
      <c r="AR64" s="1">
        <f>SUMIFS(AR$2:AR$55,$F$2:$F$55,$F64)</f>
        <v>0</v>
      </c>
      <c r="AS64" s="1">
        <f>SUMIFS(AS$2:AS$55,$F$2:$F$55,$F64)</f>
        <v>2.0999999999999943</v>
      </c>
      <c r="AT64" s="1">
        <f>SUMIFS(AT$2:AT$55,$F$2:$F$55,$F64)</f>
        <v>0</v>
      </c>
      <c r="AU64" s="1">
        <f>SUMIFS(AU$2:AU$55,$F$2:$F$55,$F64)</f>
        <v>0</v>
      </c>
      <c r="AV64" s="1">
        <f>SUMIFS(AV$2:AV$55,$F$2:$F$55,$F64)</f>
        <v>0</v>
      </c>
      <c r="AW64" s="1">
        <f>SUMIFS(AW$2:AW$55,$F$2:$F$55,$F64)</f>
        <v>0</v>
      </c>
      <c r="AX64" s="1">
        <f>SUMIFS(AX$2:AX$55,$F$2:$F$55,$F64)</f>
        <v>11.666666666666856</v>
      </c>
      <c r="AY64" s="1">
        <f>SUMIFS(AY$2:AY$55,$F$2:$F$55,$F64)</f>
        <v>0</v>
      </c>
      <c r="AZ64" s="1">
        <f>SUMIFS(AZ$2:AZ$55,$F$2:$F$55,$F64)</f>
        <v>0</v>
      </c>
      <c r="BA64" s="1">
        <f>SUMIFS(BA$2:BA$55,$F$2:$F$55,$F64)</f>
        <v>0</v>
      </c>
      <c r="BB64" s="1">
        <f>SUMIFS(BB$2:BB$55,$F$2:$F$55,$F64)</f>
        <v>2.3333333333333428</v>
      </c>
      <c r="BC64" s="1">
        <f>SUMIFS(BC$2:BC$55,$F$2:$F$55,$F64)</f>
        <v>0</v>
      </c>
      <c r="BD64" s="1">
        <f>SUMIFS(BD$2:BD$55,$F$2:$F$55,$F64)</f>
        <v>0</v>
      </c>
      <c r="BE64" s="1">
        <f>SUMIFS(BE$2:BE$55,$F$2:$F$55,$F64)</f>
        <v>0</v>
      </c>
      <c r="BF64" s="1">
        <f>SUMIFS(BF$2:BF$55,$F$2:$F$55,$F64)</f>
        <v>0</v>
      </c>
      <c r="BG64" s="1">
        <f>SUMIFS(BG$2:BG$55,$F$2:$F$55,$F64)</f>
        <v>0</v>
      </c>
      <c r="BH64" s="1">
        <f>SUMIFS(BH$2:BH$55,$F$2:$F$55,$F64)</f>
        <v>0</v>
      </c>
      <c r="BI64" s="1">
        <f>SUMIFS(BI$2:BI$55,$F$2:$F$55,$F64)</f>
        <v>0</v>
      </c>
      <c r="BJ64" s="1">
        <f>SUMIFS(BJ$2:BJ$55,$F$2:$F$55,$F64)</f>
        <v>0</v>
      </c>
      <c r="BK64" s="1">
        <f>SUMIFS(BK$2:BK$55,$F$2:$F$55,$F64)</f>
        <v>0</v>
      </c>
      <c r="BL64" s="1">
        <f>SUMIFS(BL$2:BL$55,$F$2:$F$55,$F64)</f>
        <v>0</v>
      </c>
      <c r="BM64" s="1">
        <f>SUMIFS(BM$2:BM$55,$F$2:$F$55,$F64)</f>
        <v>0</v>
      </c>
      <c r="BN64" s="1">
        <f>SUMIFS(BN$2:BN$55,$F$2:$F$55,$F64)</f>
        <v>0</v>
      </c>
      <c r="BO64" s="1">
        <f>SUMIFS(BO$2:BO$55,$F$2:$F$55,$F64)</f>
        <v>0</v>
      </c>
      <c r="BP64" s="1">
        <f>SUMIFS(BP$2:BP$55,$F$2:$F$55,$F64)</f>
        <v>0</v>
      </c>
      <c r="BQ64" s="1">
        <f>SUMIFS(BQ$2:BQ$55,$F$2:$F$55,$F64)</f>
        <v>0</v>
      </c>
      <c r="BR64" s="1">
        <f>SUMIFS(BR$2:BR$55,$F$2:$F$55,$F64)</f>
        <v>0</v>
      </c>
      <c r="BS64" s="1">
        <f>SUMIFS(BS$2:BS$55,$F$2:$F$55,$F64)</f>
        <v>0</v>
      </c>
      <c r="BT64" s="1">
        <f>SUMIFS(BT$2:BT$55,$F$2:$F$55,$F64)</f>
        <v>0</v>
      </c>
      <c r="BU64" s="1">
        <f>SUMIFS(BU$2:BU$55,$F$2:$F$55,$F64)</f>
        <v>0</v>
      </c>
      <c r="BV64" s="1">
        <f>SUMIFS(BV$2:BV$55,$F$2:$F$55,$F64)</f>
        <v>0</v>
      </c>
      <c r="BW64" s="1">
        <f>SUMIFS(BW$2:BW$55,$F$2:$F$55,$F64)</f>
        <v>0</v>
      </c>
      <c r="BX64" s="1">
        <f>SUMIFS(BX$2:BX$55,$F$2:$F$55,$F64)</f>
        <v>0</v>
      </c>
      <c r="BY64" s="1">
        <f>SUMIFS(BY$2:BY$55,$F$2:$F$55,$F64)</f>
        <v>0</v>
      </c>
      <c r="BZ64" s="1">
        <f>SUMIFS(BZ$2:BZ$55,$F$2:$F$55,$F64)</f>
        <v>0</v>
      </c>
      <c r="CA64" s="1">
        <f>SUMIFS(CA$2:CA$55,$F$2:$F$55,$F64)</f>
        <v>0</v>
      </c>
      <c r="CB64" s="1">
        <f>SUMIFS(CB$2:CB$55,$F$2:$F$55,$F64)</f>
        <v>0</v>
      </c>
      <c r="CC64" s="1">
        <f>SUMIFS(CC$2:CC$55,$F$2:$F$55,$F64)</f>
        <v>0</v>
      </c>
      <c r="CD64" s="1">
        <f>SUMIFS(CD$2:CD$55,$F$2:$F$55,$F64)</f>
        <v>0</v>
      </c>
      <c r="CE64" s="1">
        <f>SUMIFS(CE$2:CE$55,$F$2:$F$55,$F64)</f>
        <v>0</v>
      </c>
      <c r="CF64" s="1">
        <f>SUMIFS(CF$2:CF$55,$F$2:$F$55,$F64)</f>
        <v>0</v>
      </c>
      <c r="CG64" s="1">
        <f>SUMIFS(CG$2:CG$55,$F$2:$F$55,$F64)</f>
        <v>0</v>
      </c>
      <c r="CH64" s="1">
        <f>SUMIFS(CH$2:CH$55,$F$2:$F$55,$F64)</f>
        <v>0</v>
      </c>
      <c r="CI64" s="1">
        <f>SUMIFS(CI$2:CI$55,$F$2:$F$55,$F64)</f>
        <v>0</v>
      </c>
      <c r="CJ64" s="1">
        <f>SUMIFS(CJ$2:CJ$55,$F$2:$F$55,$F64)</f>
        <v>0</v>
      </c>
      <c r="CK64" s="1">
        <f>SUMIFS(CK$2:CK$55,$F$2:$F$55,$F64)</f>
        <v>0</v>
      </c>
      <c r="CL64" s="1">
        <f>SUMIFS(CL$2:CL$55,$F$2:$F$55,$F64)</f>
        <v>0</v>
      </c>
      <c r="CM64" s="1">
        <f>SUMIFS(CM$2:CM$55,$F$2:$F$55,$F64)</f>
        <v>0</v>
      </c>
      <c r="CN64" s="1">
        <f>SUMIFS(CN$2:CN$55,$F$2:$F$55,$F64)</f>
        <v>0</v>
      </c>
      <c r="CO64" s="1">
        <f>SUMIFS(CO$2:CO$55,$F$2:$F$55,$F64)</f>
        <v>0</v>
      </c>
      <c r="CP64" s="1">
        <f>SUMIFS(CP$2:CP$55,$F$2:$F$55,$F64)</f>
        <v>0</v>
      </c>
      <c r="CQ64" s="1">
        <f>SUMIFS(CQ$2:CQ$55,$F$2:$F$55,$F64)</f>
        <v>0</v>
      </c>
      <c r="CR64" s="1">
        <f>SUMIFS(CR$2:CR$55,$F$2:$F$55,$F64)</f>
        <v>0</v>
      </c>
      <c r="CS64" s="1">
        <f>SUMIFS(CS$2:CS$55,$F$2:$F$55,$F64)</f>
        <v>0</v>
      </c>
      <c r="CT64" s="1">
        <f>SUMIFS(CT$2:CT$55,$F$2:$F$55,$F64)</f>
        <v>0</v>
      </c>
      <c r="CU64" s="1">
        <f>SUMIFS(CU$2:CU$55,$F$2:$F$55,$F64)</f>
        <v>0</v>
      </c>
      <c r="CV64" s="1">
        <f>SUMIFS(CV$2:CV$55,$F$2:$F$55,$F64)</f>
        <v>0</v>
      </c>
      <c r="CW64" s="1">
        <f>SUMIFS(CW$2:CW$55,$F$2:$F$55,$F64)</f>
        <v>0</v>
      </c>
      <c r="CX64" s="1">
        <f>SUMIFS(CX$2:CX$55,$F$2:$F$55,$F64)</f>
        <v>0</v>
      </c>
      <c r="CY64" s="1">
        <f>SUMIFS(CY$2:CY$55,$F$2:$F$55,$F64)</f>
        <v>0</v>
      </c>
      <c r="CZ64" s="1">
        <f>SUMIFS(CZ$2:CZ$55,$F$2:$F$55,$F64)</f>
        <v>0</v>
      </c>
      <c r="DA64" s="1">
        <f>SUMIFS(DA$2:DA$55,$F$2:$F$55,$F64)</f>
        <v>0</v>
      </c>
      <c r="DB64" s="1">
        <f>SUMIFS(DB$2:DB$55,$F$2:$F$55,$F64)</f>
        <v>0</v>
      </c>
      <c r="DC64" s="1">
        <f>SUMIFS(DC$2:DC$55,$F$2:$F$55,$F64)</f>
        <v>0</v>
      </c>
      <c r="DD64" s="1">
        <f>SUMIFS(DD$2:DD$55,$F$2:$F$55,$F64)</f>
        <v>0</v>
      </c>
      <c r="DE64" s="1">
        <f>SUMIFS(DE$2:DE$55,$F$2:$F$55,$F64)</f>
        <v>0</v>
      </c>
      <c r="DF64" s="1">
        <f>SUMIFS(DF$2:DF$55,$F$2:$F$55,$F64)</f>
        <v>0</v>
      </c>
      <c r="DG64" s="1">
        <f>SUMIFS(DG$2:DG$55,$F$2:$F$55,$F64)</f>
        <v>0</v>
      </c>
      <c r="DH64" s="1">
        <f>SUMIFS(DH$2:DH$55,$F$2:$F$55,$F64)</f>
        <v>0</v>
      </c>
      <c r="DI64" s="1">
        <f>SUMIFS(DI$2:DI$55,$F$2:$F$55,$F64)</f>
        <v>0</v>
      </c>
      <c r="DJ64" s="1">
        <f>SUMIFS(DJ$2:DJ$55,$F$2:$F$55,$F64)</f>
        <v>0</v>
      </c>
      <c r="DK64" s="1">
        <f>SUMIFS(DK$2:DK$55,$F$2:$F$55,$F64)</f>
        <v>0</v>
      </c>
      <c r="DL64" s="1">
        <f>SUMIFS(DL$2:DL$55,$F$2:$F$55,$F64)</f>
        <v>0</v>
      </c>
      <c r="DM64" s="1">
        <f>SUMIFS(DM$2:DM$55,$F$2:$F$55,$F64)</f>
        <v>0</v>
      </c>
      <c r="DN64" s="1">
        <f>SUMIFS(DN$2:DN$55,$F$2:$F$55,$F64)</f>
        <v>0</v>
      </c>
      <c r="DO64" s="1">
        <f>SUMIFS(DO$2:DO$55,$F$2:$F$55,$F64)</f>
        <v>0</v>
      </c>
      <c r="DP64" s="1">
        <f>SUMIFS(DP$2:DP$55,$F$2:$F$55,$F64)</f>
        <v>0</v>
      </c>
      <c r="DQ64" s="1">
        <f>SUMIFS(DQ$2:DQ$55,$F$2:$F$55,$F64)</f>
        <v>0</v>
      </c>
      <c r="DR64" s="1">
        <f>SUMIFS(DR$2:DR$55,$F$2:$F$55,$F64)</f>
        <v>0</v>
      </c>
      <c r="DS64" s="1">
        <f>SUMIFS(DS$2:DS$55,$F$2:$F$55,$F64)</f>
        <v>0</v>
      </c>
      <c r="DT64" s="1">
        <f>SUMIFS(DT$2:DT$55,$F$2:$F$55,$F64)</f>
        <v>0</v>
      </c>
      <c r="DU64" s="1">
        <f>SUMIFS(DU$2:DU$55,$F$2:$F$55,$F64)</f>
        <v>0</v>
      </c>
      <c r="DV64" s="1">
        <f>SUMIFS(DV$2:DV$55,$F$2:$F$55,$F64)</f>
        <v>0</v>
      </c>
      <c r="DW64" s="1">
        <f>SUMIFS(DW$2:DW$55,$F$2:$F$55,$F64)</f>
        <v>0</v>
      </c>
    </row>
    <row r="65" spans="1:127" x14ac:dyDescent="0.3">
      <c r="A65" s="96"/>
      <c r="B65" s="96"/>
      <c r="C65" s="96"/>
      <c r="D65" s="96"/>
      <c r="E65" s="96"/>
      <c r="F65" s="4" t="s">
        <v>211</v>
      </c>
      <c r="G65" s="1">
        <f>SUMIFS(G$2:G$55,$F$2:$F$55,$F65)</f>
        <v>0</v>
      </c>
      <c r="H65" s="1">
        <f>SUMIFS(H$2:H$55,$F$2:$F$55,$F65)</f>
        <v>0</v>
      </c>
      <c r="I65" s="1">
        <f>SUMIFS(I$2:I$55,$F$2:$F$55,$F65)</f>
        <v>0</v>
      </c>
      <c r="J65" s="1">
        <f>SUMIFS(J$2:J$55,$F$2:$F$55,$F65)</f>
        <v>0</v>
      </c>
      <c r="K65" s="112">
        <f>SUMIFS(K$2:K$55,$F$2:$F$55,$F65)</f>
        <v>0</v>
      </c>
      <c r="L65" s="112">
        <f>SUMIFS(L$2:L$55,$F$2:$F$55,$F65)</f>
        <v>0</v>
      </c>
      <c r="M65" s="112">
        <f>SUMIFS(M$2:M$55,$F$2:$F$55,$F65)</f>
        <v>0</v>
      </c>
      <c r="N65" s="112">
        <f>SUMIFS(N$2:N$55,$F$2:$F$55,$F65)</f>
        <v>0</v>
      </c>
      <c r="O65" s="112">
        <f>SUMIFS(O$2:O$55,$F$2:$F$55,$F65)</f>
        <v>0</v>
      </c>
      <c r="P65" s="112">
        <f>SUMIFS(P$2:P$55,$F$2:$F$55,$F65)</f>
        <v>0</v>
      </c>
      <c r="Q65" s="112">
        <f>SUMIFS(Q$2:Q$55,$F$2:$F$55,$F65)</f>
        <v>0</v>
      </c>
      <c r="R65" s="112">
        <f>SUMIFS(R$2:R$55,$F$2:$F$55,$F65)</f>
        <v>0</v>
      </c>
      <c r="S65" s="9">
        <f>SUMIFS(S$2:S$55,$F$2:$F$55,$F65)</f>
        <v>0</v>
      </c>
      <c r="T65" s="9">
        <f>SUMIFS(T$2:T$55,$F$2:$F$55,$F65)</f>
        <v>0</v>
      </c>
      <c r="U65" s="9">
        <f>SUMIFS(U$2:U$55,$F$2:$F$55,$F65)</f>
        <v>0</v>
      </c>
      <c r="V65" s="9">
        <f>SUMIFS(V$2:V$55,$F$2:$F$55,$F65)</f>
        <v>0</v>
      </c>
      <c r="W65" s="9">
        <f>SUMIFS(W$2:W$55,$F$2:$F$55,$F65)</f>
        <v>0</v>
      </c>
      <c r="X65" s="9">
        <f>SUMIFS(X$2:X$55,$F$2:$F$55,$F65)</f>
        <v>0</v>
      </c>
      <c r="Y65" s="9">
        <f>SUMIFS(Y$2:Y$55,$F$2:$F$55,$F65)</f>
        <v>0</v>
      </c>
      <c r="Z65" s="9">
        <f>SUMIFS(Z$2:Z$55,$F$2:$F$55,$F65)</f>
        <v>0</v>
      </c>
      <c r="AA65" s="9">
        <f>SUMIFS(AA$2:AA$55,$F$2:$F$55,$F65)</f>
        <v>0</v>
      </c>
      <c r="AB65" s="1">
        <f>SUMIFS(AB$2:AB$55,$F$2:$F$55,$F65)</f>
        <v>0</v>
      </c>
      <c r="AC65" s="1">
        <f>SUMIFS(AC$2:AC$55,$F$2:$F$55,$F65)</f>
        <v>0</v>
      </c>
      <c r="AD65" s="1">
        <f>SUMIFS(AD$2:AD$55,$F$2:$F$55,$F65)</f>
        <v>0</v>
      </c>
      <c r="AE65" s="1">
        <f>SUMIFS(AE$2:AE$55,$F$2:$F$55,$F65)</f>
        <v>0</v>
      </c>
      <c r="AF65" s="1">
        <f>SUMIFS(AF$2:AF$55,$F$2:$F$55,$F65)</f>
        <v>0</v>
      </c>
      <c r="AG65" s="1">
        <f>SUMIFS(AG$2:AG$55,$F$2:$F$55,$F65)</f>
        <v>0</v>
      </c>
      <c r="AH65" s="1">
        <f>SUMIFS(AH$2:AH$55,$F$2:$F$55,$F65)</f>
        <v>0</v>
      </c>
      <c r="AI65" s="1">
        <f>SUMIFS(AI$2:AI$55,$F$2:$F$55,$F65)</f>
        <v>0</v>
      </c>
      <c r="AJ65" s="1">
        <f>SUMIFS(AJ$2:AJ$55,$F$2:$F$55,$F65)</f>
        <v>0</v>
      </c>
      <c r="AK65" s="1">
        <f>SUMIFS(AK$2:AK$55,$F$2:$F$55,$F65)</f>
        <v>0</v>
      </c>
      <c r="AL65" s="1">
        <f>SUMIFS(AL$2:AL$55,$F$2:$F$55,$F65)</f>
        <v>0</v>
      </c>
      <c r="AM65" s="1">
        <f>SUMIFS(AM$2:AM$55,$F$2:$F$55,$F65)</f>
        <v>0</v>
      </c>
      <c r="AN65" s="1">
        <f>SUMIFS(AN$2:AN$55,$F$2:$F$55,$F65)</f>
        <v>0</v>
      </c>
      <c r="AO65" s="1">
        <f>SUMIFS(AO$2:AO$55,$F$2:$F$55,$F65)</f>
        <v>0</v>
      </c>
      <c r="AP65" s="1">
        <f>SUMIFS(AP$2:AP$55,$F$2:$F$55,$F65)</f>
        <v>0</v>
      </c>
      <c r="AQ65" s="1">
        <f>SUMIFS(AQ$2:AQ$55,$F$2:$F$55,$F65)</f>
        <v>0</v>
      </c>
      <c r="AR65" s="1">
        <f>SUMIFS(AR$2:AR$55,$F$2:$F$55,$F65)</f>
        <v>0</v>
      </c>
      <c r="AS65" s="1">
        <f>SUMIFS(AS$2:AS$55,$F$2:$F$55,$F65)</f>
        <v>0</v>
      </c>
      <c r="AT65" s="1">
        <f>SUMIFS(AT$2:AT$55,$F$2:$F$55,$F65)</f>
        <v>0</v>
      </c>
      <c r="AU65" s="1">
        <f>SUMIFS(AU$2:AU$55,$F$2:$F$55,$F65)</f>
        <v>0</v>
      </c>
      <c r="AV65" s="1">
        <f>SUMIFS(AV$2:AV$55,$F$2:$F$55,$F65)</f>
        <v>0</v>
      </c>
      <c r="AW65" s="1">
        <f>SUMIFS(AW$2:AW$55,$F$2:$F$55,$F65)</f>
        <v>0</v>
      </c>
      <c r="AX65" s="1">
        <f>SUMIFS(AX$2:AX$55,$F$2:$F$55,$F65)</f>
        <v>0</v>
      </c>
      <c r="AY65" s="1">
        <f>SUMIFS(AY$2:AY$55,$F$2:$F$55,$F65)</f>
        <v>0</v>
      </c>
      <c r="AZ65" s="1">
        <f>SUMIFS(AZ$2:AZ$55,$F$2:$F$55,$F65)</f>
        <v>0</v>
      </c>
      <c r="BA65" s="1">
        <f>SUMIFS(BA$2:BA$55,$F$2:$F$55,$F65)</f>
        <v>0</v>
      </c>
      <c r="BB65" s="1">
        <f>SUMIFS(BB$2:BB$55,$F$2:$F$55,$F65)</f>
        <v>0</v>
      </c>
      <c r="BC65" s="1">
        <f>SUMIFS(BC$2:BC$55,$F$2:$F$55,$F65)</f>
        <v>0</v>
      </c>
      <c r="BD65" s="1">
        <f>SUMIFS(BD$2:BD$55,$F$2:$F$55,$F65)</f>
        <v>0</v>
      </c>
      <c r="BE65" s="1">
        <f>SUMIFS(BE$2:BE$55,$F$2:$F$55,$F65)</f>
        <v>0</v>
      </c>
      <c r="BF65" s="1">
        <f>SUMIFS(BF$2:BF$55,$F$2:$F$55,$F65)</f>
        <v>0</v>
      </c>
      <c r="BG65" s="1">
        <f>SUMIFS(BG$2:BG$55,$F$2:$F$55,$F65)</f>
        <v>0</v>
      </c>
      <c r="BH65" s="1">
        <f>SUMIFS(BH$2:BH$55,$F$2:$F$55,$F65)</f>
        <v>0</v>
      </c>
      <c r="BI65" s="1">
        <f>SUMIFS(BI$2:BI$55,$F$2:$F$55,$F65)</f>
        <v>0</v>
      </c>
      <c r="BJ65" s="1">
        <f>SUMIFS(BJ$2:BJ$55,$F$2:$F$55,$F65)</f>
        <v>0</v>
      </c>
      <c r="BK65" s="1">
        <f>SUMIFS(BK$2:BK$55,$F$2:$F$55,$F65)</f>
        <v>0</v>
      </c>
      <c r="BL65" s="1">
        <f>SUMIFS(BL$2:BL$55,$F$2:$F$55,$F65)</f>
        <v>0</v>
      </c>
      <c r="BM65" s="1">
        <f>SUMIFS(BM$2:BM$55,$F$2:$F$55,$F65)</f>
        <v>0</v>
      </c>
      <c r="BN65" s="1">
        <f>SUMIFS(BN$2:BN$55,$F$2:$F$55,$F65)</f>
        <v>0</v>
      </c>
      <c r="BO65" s="1">
        <f>SUMIFS(BO$2:BO$55,$F$2:$F$55,$F65)</f>
        <v>0</v>
      </c>
      <c r="BP65" s="1">
        <f>SUMIFS(BP$2:BP$55,$F$2:$F$55,$F65)</f>
        <v>0</v>
      </c>
      <c r="BQ65" s="1">
        <f>SUMIFS(BQ$2:BQ$55,$F$2:$F$55,$F65)</f>
        <v>0</v>
      </c>
      <c r="BR65" s="1">
        <f>SUMIFS(BR$2:BR$55,$F$2:$F$55,$F65)</f>
        <v>0</v>
      </c>
      <c r="BS65" s="1">
        <f>SUMIFS(BS$2:BS$55,$F$2:$F$55,$F65)</f>
        <v>0</v>
      </c>
      <c r="BT65" s="1">
        <f>SUMIFS(BT$2:BT$55,$F$2:$F$55,$F65)</f>
        <v>0</v>
      </c>
      <c r="BU65" s="1">
        <f>SUMIFS(BU$2:BU$55,$F$2:$F$55,$F65)</f>
        <v>0</v>
      </c>
      <c r="BV65" s="1">
        <f>SUMIFS(BV$2:BV$55,$F$2:$F$55,$F65)</f>
        <v>0</v>
      </c>
      <c r="BW65" s="1">
        <f>SUMIFS(BW$2:BW$55,$F$2:$F$55,$F65)</f>
        <v>0</v>
      </c>
      <c r="BX65" s="1">
        <f>SUMIFS(BX$2:BX$55,$F$2:$F$55,$F65)</f>
        <v>0</v>
      </c>
      <c r="BY65" s="1">
        <f>SUMIFS(BY$2:BY$55,$F$2:$F$55,$F65)</f>
        <v>0</v>
      </c>
      <c r="BZ65" s="1">
        <f>SUMIFS(BZ$2:BZ$55,$F$2:$F$55,$F65)</f>
        <v>0</v>
      </c>
      <c r="CA65" s="1">
        <f>SUMIFS(CA$2:CA$55,$F$2:$F$55,$F65)</f>
        <v>0</v>
      </c>
      <c r="CB65" s="1">
        <f>SUMIFS(CB$2:CB$55,$F$2:$F$55,$F65)</f>
        <v>0</v>
      </c>
      <c r="CC65" s="1">
        <f>SUMIFS(CC$2:CC$55,$F$2:$F$55,$F65)</f>
        <v>0</v>
      </c>
      <c r="CD65" s="1">
        <f>SUMIFS(CD$2:CD$55,$F$2:$F$55,$F65)</f>
        <v>0</v>
      </c>
      <c r="CE65" s="1">
        <f>SUMIFS(CE$2:CE$55,$F$2:$F$55,$F65)</f>
        <v>0</v>
      </c>
      <c r="CF65" s="1">
        <f>SUMIFS(CF$2:CF$55,$F$2:$F$55,$F65)</f>
        <v>0</v>
      </c>
      <c r="CG65" s="1">
        <f>SUMIFS(CG$2:CG$55,$F$2:$F$55,$F65)</f>
        <v>0</v>
      </c>
      <c r="CH65" s="1">
        <f>SUMIFS(CH$2:CH$55,$F$2:$F$55,$F65)</f>
        <v>0</v>
      </c>
      <c r="CI65" s="1">
        <f>SUMIFS(CI$2:CI$55,$F$2:$F$55,$F65)</f>
        <v>0</v>
      </c>
      <c r="CJ65" s="1">
        <f>SUMIFS(CJ$2:CJ$55,$F$2:$F$55,$F65)</f>
        <v>0</v>
      </c>
      <c r="CK65" s="1">
        <f>SUMIFS(CK$2:CK$55,$F$2:$F$55,$F65)</f>
        <v>0</v>
      </c>
      <c r="CL65" s="1">
        <f>SUMIFS(CL$2:CL$55,$F$2:$F$55,$F65)</f>
        <v>0</v>
      </c>
      <c r="CM65" s="1">
        <f>SUMIFS(CM$2:CM$55,$F$2:$F$55,$F65)</f>
        <v>0</v>
      </c>
      <c r="CN65" s="1">
        <f>SUMIFS(CN$2:CN$55,$F$2:$F$55,$F65)</f>
        <v>0</v>
      </c>
      <c r="CO65" s="1">
        <f>SUMIFS(CO$2:CO$55,$F$2:$F$55,$F65)</f>
        <v>0</v>
      </c>
      <c r="CP65" s="1">
        <f>SUMIFS(CP$2:CP$55,$F$2:$F$55,$F65)</f>
        <v>0</v>
      </c>
      <c r="CQ65" s="1">
        <f>SUMIFS(CQ$2:CQ$55,$F$2:$F$55,$F65)</f>
        <v>0</v>
      </c>
      <c r="CR65" s="1">
        <f>SUMIFS(CR$2:CR$55,$F$2:$F$55,$F65)</f>
        <v>0</v>
      </c>
      <c r="CS65" s="1">
        <f>SUMIFS(CS$2:CS$55,$F$2:$F$55,$F65)</f>
        <v>0</v>
      </c>
      <c r="CT65" s="1">
        <f>SUMIFS(CT$2:CT$55,$F$2:$F$55,$F65)</f>
        <v>0</v>
      </c>
      <c r="CU65" s="1">
        <f>SUMIFS(CU$2:CU$55,$F$2:$F$55,$F65)</f>
        <v>0</v>
      </c>
      <c r="CV65" s="1">
        <f>SUMIFS(CV$2:CV$55,$F$2:$F$55,$F65)</f>
        <v>0</v>
      </c>
      <c r="CW65" s="1">
        <f>SUMIFS(CW$2:CW$55,$F$2:$F$55,$F65)</f>
        <v>0</v>
      </c>
      <c r="CX65" s="1">
        <f>SUMIFS(CX$2:CX$55,$F$2:$F$55,$F65)</f>
        <v>0</v>
      </c>
      <c r="CY65" s="1">
        <f>SUMIFS(CY$2:CY$55,$F$2:$F$55,$F65)</f>
        <v>0</v>
      </c>
      <c r="CZ65" s="1">
        <f>SUMIFS(CZ$2:CZ$55,$F$2:$F$55,$F65)</f>
        <v>0</v>
      </c>
      <c r="DA65" s="1">
        <f>SUMIFS(DA$2:DA$55,$F$2:$F$55,$F65)</f>
        <v>0</v>
      </c>
      <c r="DB65" s="1">
        <f>SUMIFS(DB$2:DB$55,$F$2:$F$55,$F65)</f>
        <v>0</v>
      </c>
      <c r="DC65" s="1">
        <f>SUMIFS(DC$2:DC$55,$F$2:$F$55,$F65)</f>
        <v>0</v>
      </c>
      <c r="DD65" s="1">
        <f>SUMIFS(DD$2:DD$55,$F$2:$F$55,$F65)</f>
        <v>0</v>
      </c>
      <c r="DE65" s="1">
        <f>SUMIFS(DE$2:DE$55,$F$2:$F$55,$F65)</f>
        <v>0</v>
      </c>
      <c r="DF65" s="1">
        <f>SUMIFS(DF$2:DF$55,$F$2:$F$55,$F65)</f>
        <v>0</v>
      </c>
      <c r="DG65" s="1">
        <f>SUMIFS(DG$2:DG$55,$F$2:$F$55,$F65)</f>
        <v>0</v>
      </c>
      <c r="DH65" s="1">
        <f>SUMIFS(DH$2:DH$55,$F$2:$F$55,$F65)</f>
        <v>0</v>
      </c>
      <c r="DI65" s="1">
        <f>SUMIFS(DI$2:DI$55,$F$2:$F$55,$F65)</f>
        <v>0</v>
      </c>
      <c r="DJ65" s="1">
        <f>SUMIFS(DJ$2:DJ$55,$F$2:$F$55,$F65)</f>
        <v>0</v>
      </c>
      <c r="DK65" s="1">
        <f>SUMIFS(DK$2:DK$55,$F$2:$F$55,$F65)</f>
        <v>0</v>
      </c>
      <c r="DL65" s="1">
        <f>SUMIFS(DL$2:DL$55,$F$2:$F$55,$F65)</f>
        <v>0</v>
      </c>
      <c r="DM65" s="1">
        <f>SUMIFS(DM$2:DM$55,$F$2:$F$55,$F65)</f>
        <v>0</v>
      </c>
      <c r="DN65" s="1">
        <f>SUMIFS(DN$2:DN$55,$F$2:$F$55,$F65)</f>
        <v>0</v>
      </c>
      <c r="DO65" s="1">
        <f>SUMIFS(DO$2:DO$55,$F$2:$F$55,$F65)</f>
        <v>0</v>
      </c>
      <c r="DP65" s="1">
        <f>SUMIFS(DP$2:DP$55,$F$2:$F$55,$F65)</f>
        <v>0</v>
      </c>
      <c r="DQ65" s="1">
        <f>SUMIFS(DQ$2:DQ$55,$F$2:$F$55,$F65)</f>
        <v>0</v>
      </c>
      <c r="DR65" s="1">
        <f>SUMIFS(DR$2:DR$55,$F$2:$F$55,$F65)</f>
        <v>0</v>
      </c>
      <c r="DS65" s="1">
        <f>SUMIFS(DS$2:DS$55,$F$2:$F$55,$F65)</f>
        <v>0</v>
      </c>
      <c r="DT65" s="1">
        <f>SUMIFS(DT$2:DT$55,$F$2:$F$55,$F65)</f>
        <v>0</v>
      </c>
      <c r="DU65" s="1">
        <f>SUMIFS(DU$2:DU$55,$F$2:$F$55,$F65)</f>
        <v>0</v>
      </c>
      <c r="DV65" s="1">
        <f>SUMIFS(DV$2:DV$55,$F$2:$F$55,$F65)</f>
        <v>0</v>
      </c>
      <c r="DW65" s="1">
        <f>SUMIFS(DW$2:DW$55,$F$2:$F$55,$F65)</f>
        <v>0</v>
      </c>
    </row>
    <row r="66" spans="1:127" x14ac:dyDescent="0.3">
      <c r="A66" s="96"/>
      <c r="B66" s="96"/>
      <c r="C66" s="96"/>
      <c r="D66" s="96"/>
      <c r="E66" s="96"/>
      <c r="F66" s="5" t="s">
        <v>74</v>
      </c>
      <c r="G66" s="1">
        <f>SUMIFS(G$2:G$55,$F$2:$F$55,$F66)</f>
        <v>650</v>
      </c>
      <c r="H66" s="1">
        <f>SUMIFS(H$2:H$55,$F$2:$F$55,$F66)</f>
        <v>650</v>
      </c>
      <c r="I66" s="1">
        <f>SUMIFS(I$2:I$55,$F$2:$F$55,$F66)</f>
        <v>650</v>
      </c>
      <c r="J66" s="1">
        <f>SUMIFS(J$2:J$55,$F$2:$F$55,$F66)</f>
        <v>650</v>
      </c>
      <c r="K66" s="112">
        <f>SUMIFS(K$2:K$55,$F$2:$F$55,$F66)</f>
        <v>650</v>
      </c>
      <c r="L66" s="112">
        <f>SUMIFS(L$2:L$55,$F$2:$F$55,$F66)</f>
        <v>650</v>
      </c>
      <c r="M66" s="112">
        <f>SUMIFS(M$2:M$55,$F$2:$F$55,$F66)</f>
        <v>650</v>
      </c>
      <c r="N66" s="112">
        <f>SUMIFS(N$2:N$55,$F$2:$F$55,$F66)</f>
        <v>650</v>
      </c>
      <c r="O66" s="112">
        <f>SUMIFS(O$2:O$55,$F$2:$F$55,$F66)</f>
        <v>650</v>
      </c>
      <c r="P66" s="112">
        <f>SUMIFS(P$2:P$55,$F$2:$F$55,$F66)</f>
        <v>650</v>
      </c>
      <c r="Q66" s="112">
        <f>SUMIFS(Q$2:Q$55,$F$2:$F$55,$F66)</f>
        <v>650</v>
      </c>
      <c r="R66" s="112">
        <f>SUMIFS(R$2:R$55,$F$2:$F$55,$F66)</f>
        <v>650</v>
      </c>
      <c r="S66" s="9">
        <f>SUMIFS(S$2:S$55,$F$2:$F$55,$F66)</f>
        <v>650</v>
      </c>
      <c r="T66" s="9">
        <f>SUMIFS(T$2:T$55,$F$2:$F$55,$F66)</f>
        <v>650</v>
      </c>
      <c r="U66" s="9">
        <f>SUMIFS(U$2:U$55,$F$2:$F$55,$F66)</f>
        <v>650</v>
      </c>
      <c r="V66" s="9">
        <f>SUMIFS(V$2:V$55,$F$2:$F$55,$F66)</f>
        <v>650</v>
      </c>
      <c r="W66" s="9">
        <f>SUMIFS(W$2:W$55,$F$2:$F$55,$F66)</f>
        <v>650</v>
      </c>
      <c r="X66" s="9">
        <f>SUMIFS(X$2:X$55,$F$2:$F$55,$F66)</f>
        <v>650</v>
      </c>
      <c r="Y66" s="9">
        <f>SUMIFS(Y$2:Y$55,$F$2:$F$55,$F66)</f>
        <v>650</v>
      </c>
      <c r="Z66" s="9">
        <f>SUMIFS(Z$2:Z$55,$F$2:$F$55,$F66)</f>
        <v>650</v>
      </c>
      <c r="AA66" s="9">
        <f>SUMIFS(AA$2:AA$55,$F$2:$F$55,$F66)</f>
        <v>650</v>
      </c>
      <c r="AB66" s="1">
        <f>SUMIFS(AB$2:AB$55,$F$2:$F$55,$F66)</f>
        <v>650</v>
      </c>
      <c r="AC66" s="1">
        <f>SUMIFS(AC$2:AC$55,$F$2:$F$55,$F66)</f>
        <v>650</v>
      </c>
      <c r="AD66" s="1">
        <f>SUMIFS(AD$2:AD$55,$F$2:$F$55,$F66)</f>
        <v>650</v>
      </c>
      <c r="AE66" s="1">
        <f>SUMIFS(AE$2:AE$55,$F$2:$F$55,$F66)</f>
        <v>650</v>
      </c>
      <c r="AF66" s="1">
        <f>SUMIFS(AF$2:AF$55,$F$2:$F$55,$F66)</f>
        <v>650</v>
      </c>
      <c r="AG66" s="1">
        <f>SUMIFS(AG$2:AG$55,$F$2:$F$55,$F66)</f>
        <v>650</v>
      </c>
      <c r="AH66" s="1">
        <f>SUMIFS(AH$2:AH$55,$F$2:$F$55,$F66)</f>
        <v>650</v>
      </c>
      <c r="AI66" s="1">
        <f>SUMIFS(AI$2:AI$55,$F$2:$F$55,$F66)</f>
        <v>650</v>
      </c>
      <c r="AJ66" s="1">
        <f>SUMIFS(AJ$2:AJ$55,$F$2:$F$55,$F66)</f>
        <v>650</v>
      </c>
      <c r="AK66" s="1">
        <f>SUMIFS(AK$2:AK$55,$F$2:$F$55,$F66)</f>
        <v>650</v>
      </c>
      <c r="AL66" s="1">
        <f>SUMIFS(AL$2:AL$55,$F$2:$F$55,$F66)</f>
        <v>650</v>
      </c>
      <c r="AM66" s="1">
        <f>SUMIFS(AM$2:AM$55,$F$2:$F$55,$F66)</f>
        <v>650</v>
      </c>
      <c r="AN66" s="1">
        <f>SUMIFS(AN$2:AN$55,$F$2:$F$55,$F66)</f>
        <v>650</v>
      </c>
      <c r="AO66" s="1">
        <f>SUMIFS(AO$2:AO$55,$F$2:$F$55,$F66)</f>
        <v>650</v>
      </c>
      <c r="AP66" s="1">
        <f>SUMIFS(AP$2:AP$55,$F$2:$F$55,$F66)</f>
        <v>650</v>
      </c>
      <c r="AQ66" s="1">
        <f>SUMIFS(AQ$2:AQ$55,$F$2:$F$55,$F66)</f>
        <v>650</v>
      </c>
      <c r="AR66" s="1">
        <f>SUMIFS(AR$2:AR$55,$F$2:$F$55,$F66)</f>
        <v>650</v>
      </c>
      <c r="AS66" s="1">
        <f>SUMIFS(AS$2:AS$55,$F$2:$F$55,$F66)</f>
        <v>650</v>
      </c>
      <c r="AT66" s="1">
        <f>SUMIFS(AT$2:AT$55,$F$2:$F$55,$F66)</f>
        <v>650</v>
      </c>
      <c r="AU66" s="1">
        <f>SUMIFS(AU$2:AU$55,$F$2:$F$55,$F66)</f>
        <v>650</v>
      </c>
      <c r="AV66" s="1">
        <f>SUMIFS(AV$2:AV$55,$F$2:$F$55,$F66)</f>
        <v>650</v>
      </c>
      <c r="AW66" s="1">
        <f>SUMIFS(AW$2:AW$55,$F$2:$F$55,$F66)</f>
        <v>650</v>
      </c>
      <c r="AX66" s="1">
        <f>SUMIFS(AX$2:AX$55,$F$2:$F$55,$F66)</f>
        <v>650</v>
      </c>
      <c r="AY66" s="1">
        <f>SUMIFS(AY$2:AY$55,$F$2:$F$55,$F66)</f>
        <v>650</v>
      </c>
      <c r="AZ66" s="1">
        <f>SUMIFS(AZ$2:AZ$55,$F$2:$F$55,$F66)</f>
        <v>650</v>
      </c>
      <c r="BA66" s="1">
        <f>SUMIFS(BA$2:BA$55,$F$2:$F$55,$F66)</f>
        <v>650</v>
      </c>
      <c r="BB66" s="1">
        <f>SUMIFS(BB$2:BB$55,$F$2:$F$55,$F66)</f>
        <v>650</v>
      </c>
      <c r="BC66" s="1">
        <f>SUMIFS(BC$2:BC$55,$F$2:$F$55,$F66)</f>
        <v>650</v>
      </c>
      <c r="BD66" s="1">
        <f>SUMIFS(BD$2:BD$55,$F$2:$F$55,$F66)</f>
        <v>650</v>
      </c>
      <c r="BE66" s="1">
        <f>SUMIFS(BE$2:BE$55,$F$2:$F$55,$F66)</f>
        <v>650</v>
      </c>
      <c r="BF66" s="1">
        <f>SUMIFS(BF$2:BF$55,$F$2:$F$55,$F66)</f>
        <v>650</v>
      </c>
      <c r="BG66" s="1">
        <f>SUMIFS(BG$2:BG$55,$F$2:$F$55,$F66)</f>
        <v>650</v>
      </c>
      <c r="BH66" s="1">
        <f>SUMIFS(BH$2:BH$55,$F$2:$F$55,$F66)</f>
        <v>650</v>
      </c>
      <c r="BI66" s="1">
        <f>SUMIFS(BI$2:BI$55,$F$2:$F$55,$F66)</f>
        <v>650</v>
      </c>
      <c r="BJ66" s="1">
        <f>SUMIFS(BJ$2:BJ$55,$F$2:$F$55,$F66)</f>
        <v>650</v>
      </c>
      <c r="BK66" s="1">
        <f>SUMIFS(BK$2:BK$55,$F$2:$F$55,$F66)</f>
        <v>650</v>
      </c>
      <c r="BL66" s="1">
        <f>SUMIFS(BL$2:BL$55,$F$2:$F$55,$F66)</f>
        <v>650</v>
      </c>
      <c r="BM66" s="1">
        <f>SUMIFS(BM$2:BM$55,$F$2:$F$55,$F66)</f>
        <v>650</v>
      </c>
      <c r="BN66" s="1">
        <f>SUMIFS(BN$2:BN$55,$F$2:$F$55,$F66)</f>
        <v>650</v>
      </c>
      <c r="BO66" s="1">
        <f>SUMIFS(BO$2:BO$55,$F$2:$F$55,$F66)</f>
        <v>650</v>
      </c>
      <c r="BP66" s="1">
        <f>SUMIFS(BP$2:BP$55,$F$2:$F$55,$F66)</f>
        <v>650</v>
      </c>
      <c r="BQ66" s="1">
        <f>SUMIFS(BQ$2:BQ$55,$F$2:$F$55,$F66)</f>
        <v>650</v>
      </c>
      <c r="BR66" s="1">
        <f>SUMIFS(BR$2:BR$55,$F$2:$F$55,$F66)</f>
        <v>650</v>
      </c>
      <c r="BS66" s="1">
        <f>SUMIFS(BS$2:BS$55,$F$2:$F$55,$F66)</f>
        <v>650</v>
      </c>
      <c r="BT66" s="1">
        <f>SUMIFS(BT$2:BT$55,$F$2:$F$55,$F66)</f>
        <v>650</v>
      </c>
      <c r="BU66" s="1">
        <f>SUMIFS(BU$2:BU$55,$F$2:$F$55,$F66)</f>
        <v>650</v>
      </c>
      <c r="BV66" s="1">
        <f>SUMIFS(BV$2:BV$55,$F$2:$F$55,$F66)</f>
        <v>650</v>
      </c>
      <c r="BW66" s="1">
        <f>SUMIFS(BW$2:BW$55,$F$2:$F$55,$F66)</f>
        <v>650</v>
      </c>
      <c r="BX66" s="1">
        <f>SUMIFS(BX$2:BX$55,$F$2:$F$55,$F66)</f>
        <v>650</v>
      </c>
      <c r="BY66" s="1">
        <f>SUMIFS(BY$2:BY$55,$F$2:$F$55,$F66)</f>
        <v>650</v>
      </c>
      <c r="BZ66" s="1">
        <f>SUMIFS(BZ$2:BZ$55,$F$2:$F$55,$F66)</f>
        <v>650</v>
      </c>
      <c r="CA66" s="1">
        <f>SUMIFS(CA$2:CA$55,$F$2:$F$55,$F66)</f>
        <v>650</v>
      </c>
      <c r="CB66" s="1">
        <f>SUMIFS(CB$2:CB$55,$F$2:$F$55,$F66)</f>
        <v>650</v>
      </c>
      <c r="CC66" s="1">
        <f>SUMIFS(CC$2:CC$55,$F$2:$F$55,$F66)</f>
        <v>650</v>
      </c>
      <c r="CD66" s="1">
        <f>SUMIFS(CD$2:CD$55,$F$2:$F$55,$F66)</f>
        <v>650</v>
      </c>
      <c r="CE66" s="1">
        <f>SUMIFS(CE$2:CE$55,$F$2:$F$55,$F66)</f>
        <v>650</v>
      </c>
      <c r="CF66" s="1">
        <f>SUMIFS(CF$2:CF$55,$F$2:$F$55,$F66)</f>
        <v>650</v>
      </c>
      <c r="CG66" s="1">
        <f>SUMIFS(CG$2:CG$55,$F$2:$F$55,$F66)</f>
        <v>650</v>
      </c>
      <c r="CH66" s="1">
        <f>SUMIFS(CH$2:CH$55,$F$2:$F$55,$F66)</f>
        <v>650</v>
      </c>
      <c r="CI66" s="1">
        <f>SUMIFS(CI$2:CI$55,$F$2:$F$55,$F66)</f>
        <v>650</v>
      </c>
      <c r="CJ66" s="1">
        <f>SUMIFS(CJ$2:CJ$55,$F$2:$F$55,$F66)</f>
        <v>650</v>
      </c>
      <c r="CK66" s="1">
        <f>SUMIFS(CK$2:CK$55,$F$2:$F$55,$F66)</f>
        <v>650</v>
      </c>
      <c r="CL66" s="1">
        <f>SUMIFS(CL$2:CL$55,$F$2:$F$55,$F66)</f>
        <v>650</v>
      </c>
      <c r="CM66" s="1">
        <f>SUMIFS(CM$2:CM$55,$F$2:$F$55,$F66)</f>
        <v>650</v>
      </c>
      <c r="CN66" s="1">
        <f>SUMIFS(CN$2:CN$55,$F$2:$F$55,$F66)</f>
        <v>650</v>
      </c>
      <c r="CO66" s="1">
        <f>SUMIFS(CO$2:CO$55,$F$2:$F$55,$F66)</f>
        <v>650</v>
      </c>
      <c r="CP66" s="1">
        <f>SUMIFS(CP$2:CP$55,$F$2:$F$55,$F66)</f>
        <v>650</v>
      </c>
      <c r="CQ66" s="1">
        <f>SUMIFS(CQ$2:CQ$55,$F$2:$F$55,$F66)</f>
        <v>650</v>
      </c>
      <c r="CR66" s="1">
        <f>SUMIFS(CR$2:CR$55,$F$2:$F$55,$F66)</f>
        <v>650</v>
      </c>
      <c r="CS66" s="1">
        <f>SUMIFS(CS$2:CS$55,$F$2:$F$55,$F66)</f>
        <v>650</v>
      </c>
      <c r="CT66" s="1">
        <f>SUMIFS(CT$2:CT$55,$F$2:$F$55,$F66)</f>
        <v>650</v>
      </c>
      <c r="CU66" s="1">
        <f>SUMIFS(CU$2:CU$55,$F$2:$F$55,$F66)</f>
        <v>650</v>
      </c>
      <c r="CV66" s="1">
        <f>SUMIFS(CV$2:CV$55,$F$2:$F$55,$F66)</f>
        <v>650</v>
      </c>
      <c r="CW66" s="1">
        <f>SUMIFS(CW$2:CW$55,$F$2:$F$55,$F66)</f>
        <v>650</v>
      </c>
      <c r="CX66" s="1">
        <f>SUMIFS(CX$2:CX$55,$F$2:$F$55,$F66)</f>
        <v>650</v>
      </c>
      <c r="CY66" s="1">
        <f>SUMIFS(CY$2:CY$55,$F$2:$F$55,$F66)</f>
        <v>650</v>
      </c>
      <c r="CZ66" s="1">
        <f>SUMIFS(CZ$2:CZ$55,$F$2:$F$55,$F66)</f>
        <v>650</v>
      </c>
      <c r="DA66" s="1">
        <f>SUMIFS(DA$2:DA$55,$F$2:$F$55,$F66)</f>
        <v>650</v>
      </c>
      <c r="DB66" s="1">
        <f>SUMIFS(DB$2:DB$55,$F$2:$F$55,$F66)</f>
        <v>650</v>
      </c>
      <c r="DC66" s="1">
        <f>SUMIFS(DC$2:DC$55,$F$2:$F$55,$F66)</f>
        <v>650</v>
      </c>
      <c r="DD66" s="1">
        <f>SUMIFS(DD$2:DD$55,$F$2:$F$55,$F66)</f>
        <v>650</v>
      </c>
      <c r="DE66" s="1">
        <f>SUMIFS(DE$2:DE$55,$F$2:$F$55,$F66)</f>
        <v>650</v>
      </c>
      <c r="DF66" s="1">
        <f>SUMIFS(DF$2:DF$55,$F$2:$F$55,$F66)</f>
        <v>650</v>
      </c>
      <c r="DG66" s="1">
        <f>SUMIFS(DG$2:DG$55,$F$2:$F$55,$F66)</f>
        <v>650</v>
      </c>
      <c r="DH66" s="1">
        <f>SUMIFS(DH$2:DH$55,$F$2:$F$55,$F66)</f>
        <v>650</v>
      </c>
      <c r="DI66" s="1">
        <f>SUMIFS(DI$2:DI$55,$F$2:$F$55,$F66)</f>
        <v>650</v>
      </c>
      <c r="DJ66" s="1">
        <f>SUMIFS(DJ$2:DJ$55,$F$2:$F$55,$F66)</f>
        <v>650</v>
      </c>
      <c r="DK66" s="1">
        <f>SUMIFS(DK$2:DK$55,$F$2:$F$55,$F66)</f>
        <v>650</v>
      </c>
      <c r="DL66" s="1">
        <f>SUMIFS(DL$2:DL$55,$F$2:$F$55,$F66)</f>
        <v>650</v>
      </c>
      <c r="DM66" s="1">
        <f>SUMIFS(DM$2:DM$55,$F$2:$F$55,$F66)</f>
        <v>650</v>
      </c>
      <c r="DN66" s="1">
        <f>SUMIFS(DN$2:DN$55,$F$2:$F$55,$F66)</f>
        <v>650</v>
      </c>
      <c r="DO66" s="1">
        <f>SUMIFS(DO$2:DO$55,$F$2:$F$55,$F66)</f>
        <v>650</v>
      </c>
      <c r="DP66" s="1">
        <f>SUMIFS(DP$2:DP$55,$F$2:$F$55,$F66)</f>
        <v>650</v>
      </c>
      <c r="DQ66" s="1">
        <f>SUMIFS(DQ$2:DQ$55,$F$2:$F$55,$F66)</f>
        <v>650</v>
      </c>
      <c r="DR66" s="1">
        <f>SUMIFS(DR$2:DR$55,$F$2:$F$55,$F66)</f>
        <v>650</v>
      </c>
      <c r="DS66" s="1">
        <f>SUMIFS(DS$2:DS$55,$F$2:$F$55,$F66)</f>
        <v>650</v>
      </c>
      <c r="DT66" s="1">
        <f>SUMIFS(DT$2:DT$55,$F$2:$F$55,$F66)</f>
        <v>650</v>
      </c>
      <c r="DU66" s="1">
        <f>SUMIFS(DU$2:DU$55,$F$2:$F$55,$F66)</f>
        <v>650</v>
      </c>
      <c r="DV66" s="1">
        <f>SUMIFS(DV$2:DV$55,$F$2:$F$55,$F66)</f>
        <v>650</v>
      </c>
      <c r="DW66" s="1">
        <f>SUMIFS(DW$2:DW$55,$F$2:$F$55,$F66)</f>
        <v>650</v>
      </c>
    </row>
    <row r="67" spans="1:127" x14ac:dyDescent="0.3">
      <c r="A67" s="96"/>
      <c r="B67" s="96"/>
      <c r="C67" s="96"/>
      <c r="D67" s="96"/>
      <c r="E67" s="96"/>
      <c r="F67" s="4" t="s">
        <v>209</v>
      </c>
      <c r="G67" s="1">
        <f>SUMIFS(G$2:G$55,$F$2:$F$55,$F67)</f>
        <v>1443</v>
      </c>
      <c r="H67" s="1">
        <f>SUMIFS(H$2:H$55,$F$2:$F$55,$F67)</f>
        <v>1458.7666666666667</v>
      </c>
      <c r="I67" s="1">
        <f>SUMIFS(I$2:I$55,$F$2:$F$55,$F67)</f>
        <v>1268.1333333333334</v>
      </c>
      <c r="J67" s="1">
        <f>SUMIFS(J$2:J$55,$F$2:$F$55,$F67)</f>
        <v>1185.1333333333334</v>
      </c>
      <c r="K67" s="112">
        <f>SUMIFS(K$2:K$55,$F$2:$F$55,$F67)</f>
        <v>1267.0000000000002</v>
      </c>
      <c r="L67" s="112">
        <f>SUMIFS(L$2:L$55,$F$2:$F$55,$F67)</f>
        <v>1076.3666666666666</v>
      </c>
      <c r="M67" s="112">
        <f>SUMIFS(M$2:M$55,$F$2:$F$55,$F67)</f>
        <v>1422.1333333333334</v>
      </c>
      <c r="N67" s="112">
        <f>SUMIFS(N$2:N$55,$F$2:$F$55,$F67)</f>
        <v>1196.5</v>
      </c>
      <c r="O67" s="112">
        <f>SUMIFS(O$2:O$55,$F$2:$F$55,$F67)</f>
        <v>1051.5999999999999</v>
      </c>
      <c r="P67" s="112">
        <f>SUMIFS(P$2:P$55,$F$2:$F$55,$F67)</f>
        <v>1178.6000000000001</v>
      </c>
      <c r="Q67" s="112">
        <f>SUMIFS(Q$2:Q$55,$F$2:$F$55,$F67)</f>
        <v>1090.4333333333334</v>
      </c>
      <c r="R67" s="112">
        <f>SUMIFS(R$2:R$55,$F$2:$F$55,$F67)</f>
        <v>997.33333333333326</v>
      </c>
      <c r="S67" s="9">
        <f>SUMIFS(S$2:S$55,$F$2:$F$55,$F67)</f>
        <v>993.60000000000014</v>
      </c>
      <c r="T67" s="9">
        <f>SUMIFS(T$2:T$55,$F$2:$F$55,$F67)</f>
        <v>900.5</v>
      </c>
      <c r="U67" s="9">
        <f>SUMIFS(U$2:U$55,$F$2:$F$55,$F67)</f>
        <v>807.40000000000009</v>
      </c>
      <c r="V67" s="9">
        <f>SUMIFS(V$2:V$55,$F$2:$F$55,$F67)</f>
        <v>752.10000000000014</v>
      </c>
      <c r="W67" s="9">
        <f>SUMIFS(W$2:W$55,$F$2:$F$55,$F67)</f>
        <v>851.26666666666665</v>
      </c>
      <c r="X67" s="9">
        <f>SUMIFS(X$2:X$55,$F$2:$F$55,$F67)</f>
        <v>795.9666666666667</v>
      </c>
      <c r="Y67" s="9">
        <f>SUMIFS(Y$2:Y$55,$F$2:$F$55,$F67)</f>
        <v>747.43333333333328</v>
      </c>
      <c r="Z67" s="9">
        <f>SUMIFS(Z$2:Z$55,$F$2:$F$55,$F67)</f>
        <v>698.43333333333328</v>
      </c>
      <c r="AA67" s="9">
        <f>SUMIFS(AA$2:AA$55,$F$2:$F$55,$F67)</f>
        <v>693.30000000000007</v>
      </c>
      <c r="AB67" s="1">
        <f>SUMIFS(AB$2:AB$55,$F$2:$F$55,$F67)</f>
        <v>700.76666666666642</v>
      </c>
      <c r="AC67" s="1">
        <f>SUMIFS(AC$2:AC$55,$F$2:$F$55,$F67)</f>
        <v>695.6333333333331</v>
      </c>
      <c r="AD67" s="1">
        <f>SUMIFS(AD$2:AD$55,$F$2:$F$55,$F67)</f>
        <v>690.49999999999977</v>
      </c>
      <c r="AE67" s="1">
        <f>SUMIFS(AE$2:AE$55,$F$2:$F$55,$F67)</f>
        <v>685.36666666666645</v>
      </c>
      <c r="AF67" s="1">
        <f>SUMIFS(AF$2:AF$55,$F$2:$F$55,$F67)</f>
        <v>703.79999999999984</v>
      </c>
      <c r="AG67" s="1">
        <f>SUMIFS(AG$2:AG$55,$F$2:$F$55,$F67)</f>
        <v>698.66666666666652</v>
      </c>
      <c r="AH67" s="1">
        <f>SUMIFS(AH$2:AH$55,$F$2:$F$55,$F67)</f>
        <v>693.53333333333308</v>
      </c>
      <c r="AI67" s="1">
        <f>SUMIFS(AI$2:AI$55,$F$2:$F$55,$F67)</f>
        <v>688.39999999999986</v>
      </c>
      <c r="AJ67" s="1">
        <f>SUMIFS(AJ$2:AJ$55,$F$2:$F$55,$F67)</f>
        <v>685.36666666666656</v>
      </c>
      <c r="AK67" s="1">
        <f>SUMIFS(AK$2:AK$55,$F$2:$F$55,$F67)</f>
        <v>686.53333333333296</v>
      </c>
      <c r="AL67" s="1">
        <f>SUMIFS(AL$2:AL$55,$F$2:$F$55,$F67)</f>
        <v>681.39999999999975</v>
      </c>
      <c r="AM67" s="1">
        <f>SUMIFS(AM$2:AM$55,$F$2:$F$55,$F67)</f>
        <v>676.26666666666642</v>
      </c>
      <c r="AN67" s="1">
        <f>SUMIFS(AN$2:AN$55,$F$2:$F$55,$F67)</f>
        <v>685.83333333333303</v>
      </c>
      <c r="AO67" s="1">
        <f>SUMIFS(AO$2:AO$55,$F$2:$F$55,$F67)</f>
        <v>691.1999999999997</v>
      </c>
      <c r="AP67" s="1">
        <f>SUMIFS(AP$2:AP$55,$F$2:$F$55,$F67)</f>
        <v>686.06666666666649</v>
      </c>
      <c r="AQ67" s="1">
        <f>SUMIFS(AQ$2:AQ$55,$F$2:$F$55,$F67)</f>
        <v>680.93333333333317</v>
      </c>
      <c r="AR67" s="1">
        <f>SUMIFS(AR$2:AR$55,$F$2:$F$55,$F67)</f>
        <v>675.79999999999973</v>
      </c>
      <c r="AS67" s="1">
        <f>SUMIFS(AS$2:AS$55,$F$2:$F$55,$F67)</f>
        <v>672.76666666666642</v>
      </c>
      <c r="AT67" s="1">
        <f>SUMIFS(AT$2:AT$55,$F$2:$F$55,$F67)</f>
        <v>667.63333333333321</v>
      </c>
      <c r="AU67" s="1">
        <f>SUMIFS(AU$2:AU$55,$F$2:$F$55,$F67)</f>
        <v>662.49999999999977</v>
      </c>
      <c r="AV67" s="1">
        <f>SUMIFS(AV$2:AV$55,$F$2:$F$55,$F67)</f>
        <v>657.36666666666656</v>
      </c>
      <c r="AW67" s="1">
        <f>SUMIFS(AW$2:AW$55,$F$2:$F$55,$F67)</f>
        <v>652.23333333333301</v>
      </c>
      <c r="AX67" s="1">
        <f>SUMIFS(AX$2:AX$55,$F$2:$F$55,$F67)</f>
        <v>658.76666666666665</v>
      </c>
      <c r="AY67" s="1">
        <f>SUMIFS(AY$2:AY$55,$F$2:$F$55,$F67)</f>
        <v>653.63333333333333</v>
      </c>
      <c r="AZ67" s="1">
        <f>SUMIFS(AZ$2:AZ$55,$F$2:$F$55,$F67)</f>
        <v>648.49999999999989</v>
      </c>
      <c r="BA67" s="1">
        <f>SUMIFS(BA$2:BA$55,$F$2:$F$55,$F67)</f>
        <v>643.36666666666656</v>
      </c>
      <c r="BB67" s="1">
        <f>SUMIFS(BB$2:BB$55,$F$2:$F$55,$F67)</f>
        <v>640.56666666666661</v>
      </c>
      <c r="BC67" s="1">
        <f>SUMIFS(BC$2:BC$55,$F$2:$F$55,$F67)</f>
        <v>635.43333333333328</v>
      </c>
      <c r="BD67" s="1">
        <f>SUMIFS(BD$2:BD$55,$F$2:$F$55,$F67)</f>
        <v>630.29999999999984</v>
      </c>
      <c r="BE67" s="1">
        <f>SUMIFS(BE$2:BE$55,$F$2:$F$55,$F67)</f>
        <v>625.16666666666652</v>
      </c>
      <c r="BF67" s="1">
        <f>SUMIFS(BF$2:BF$55,$F$2:$F$55,$F67)</f>
        <v>620.03333333333319</v>
      </c>
      <c r="BG67" s="1">
        <f>SUMIFS(BG$2:BG$55,$F$2:$F$55,$F67)</f>
        <v>614.9</v>
      </c>
      <c r="BH67" s="1">
        <f>SUMIFS(BH$2:BH$55,$F$2:$F$55,$F67)</f>
        <v>609.76666666666654</v>
      </c>
      <c r="BI67" s="1">
        <f>SUMIFS(BI$2:BI$55,$F$2:$F$55,$F67)</f>
        <v>604.63333333333321</v>
      </c>
      <c r="BJ67" s="1">
        <f>SUMIFS(BJ$2:BJ$55,$F$2:$F$55,$F67)</f>
        <v>599.49999999999989</v>
      </c>
      <c r="BK67" s="1">
        <f>SUMIFS(BK$2:BK$55,$F$2:$F$55,$F67)</f>
        <v>594.36666666666656</v>
      </c>
      <c r="BL67" s="1">
        <f>SUMIFS(BL$2:BL$55,$F$2:$F$55,$F67)</f>
        <v>589.23333333333312</v>
      </c>
      <c r="BM67" s="1">
        <f>SUMIFS(BM$2:BM$55,$F$2:$F$55,$F67)</f>
        <v>584.0999999999998</v>
      </c>
      <c r="BN67" s="1">
        <f>SUMIFS(BN$2:BN$55,$F$2:$F$55,$F67)</f>
        <v>578.96666666666647</v>
      </c>
      <c r="BO67" s="1">
        <f>SUMIFS(BO$2:BO$55,$F$2:$F$55,$F67)</f>
        <v>573.83333333333314</v>
      </c>
      <c r="BP67" s="1">
        <f>SUMIFS(BP$2:BP$55,$F$2:$F$55,$F67)</f>
        <v>568.69999999999982</v>
      </c>
      <c r="BQ67" s="1">
        <f>SUMIFS(BQ$2:BQ$55,$F$2:$F$55,$F67)</f>
        <v>563.56666666666649</v>
      </c>
      <c r="BR67" s="1">
        <f>SUMIFS(BR$2:BR$55,$F$2:$F$55,$F67)</f>
        <v>558.43333333333317</v>
      </c>
      <c r="BS67" s="1">
        <f>SUMIFS(BS$2:BS$55,$F$2:$F$55,$F67)</f>
        <v>553.29999999999984</v>
      </c>
      <c r="BT67" s="1">
        <f>SUMIFS(BT$2:BT$55,$F$2:$F$55,$F67)</f>
        <v>548.16666666666652</v>
      </c>
      <c r="BU67" s="1">
        <f>SUMIFS(BU$2:BU$55,$F$2:$F$55,$F67)</f>
        <v>543.03333333333308</v>
      </c>
      <c r="BV67" s="1">
        <f>SUMIFS(BV$2:BV$55,$F$2:$F$55,$F67)</f>
        <v>537.89999999999986</v>
      </c>
      <c r="BW67" s="1">
        <f>SUMIFS(BW$2:BW$55,$F$2:$F$55,$F67)</f>
        <v>532.76666666666654</v>
      </c>
      <c r="BX67" s="1">
        <f>SUMIFS(BX$2:BX$55,$F$2:$F$55,$F67)</f>
        <v>527.6333333333331</v>
      </c>
      <c r="BY67" s="1">
        <f>SUMIFS(BY$2:BY$55,$F$2:$F$55,$F67)</f>
        <v>522.49999999999977</v>
      </c>
      <c r="BZ67" s="1">
        <f>SUMIFS(BZ$2:BZ$55,$F$2:$F$55,$F67)</f>
        <v>517.36666666666645</v>
      </c>
      <c r="CA67" s="1">
        <f>SUMIFS(CA$2:CA$55,$F$2:$F$55,$F67)</f>
        <v>512.23333333333312</v>
      </c>
      <c r="CB67" s="1">
        <f>SUMIFS(CB$2:CB$55,$F$2:$F$55,$F67)</f>
        <v>507.0999999999998</v>
      </c>
      <c r="CC67" s="1">
        <f>SUMIFS(CC$2:CC$55,$F$2:$F$55,$F67)</f>
        <v>501.96666666666647</v>
      </c>
      <c r="CD67" s="1">
        <f>SUMIFS(CD$2:CD$55,$F$2:$F$55,$F67)</f>
        <v>496.83333333333314</v>
      </c>
      <c r="CE67" s="1">
        <f>SUMIFS(CE$2:CE$55,$F$2:$F$55,$F67)</f>
        <v>491.69999999999982</v>
      </c>
      <c r="CF67" s="1">
        <f>SUMIFS(CF$2:CF$55,$F$2:$F$55,$F67)</f>
        <v>486.56666666666649</v>
      </c>
      <c r="CG67" s="1">
        <f>SUMIFS(CG$2:CG$55,$F$2:$F$55,$F67)</f>
        <v>481.43333333333317</v>
      </c>
      <c r="CH67" s="1">
        <f>SUMIFS(CH$2:CH$55,$F$2:$F$55,$F67)</f>
        <v>476.29999999999978</v>
      </c>
      <c r="CI67" s="1">
        <f>SUMIFS(CI$2:CI$55,$F$2:$F$55,$F67)</f>
        <v>471.16666666666646</v>
      </c>
      <c r="CJ67" s="1">
        <f>SUMIFS(CJ$2:CJ$55,$F$2:$F$55,$F67)</f>
        <v>466.03333333333319</v>
      </c>
      <c r="CK67" s="1">
        <f>SUMIFS(CK$2:CK$55,$F$2:$F$55,$F67)</f>
        <v>460.89999999999981</v>
      </c>
      <c r="CL67" s="1">
        <f>SUMIFS(CL$2:CL$55,$F$2:$F$55,$F67)</f>
        <v>455.76666666666648</v>
      </c>
      <c r="CM67" s="1">
        <f>SUMIFS(CM$2:CM$55,$F$2:$F$55,$F67)</f>
        <v>450.63333333333321</v>
      </c>
      <c r="CN67" s="1">
        <f>SUMIFS(CN$2:CN$55,$F$2:$F$55,$F67)</f>
        <v>445.49999999999983</v>
      </c>
      <c r="CO67" s="1">
        <f>SUMIFS(CO$2:CO$55,$F$2:$F$55,$F67)</f>
        <v>440.3666666666665</v>
      </c>
      <c r="CP67" s="1">
        <f>SUMIFS(CP$2:CP$55,$F$2:$F$55,$F67)</f>
        <v>435.23333333333323</v>
      </c>
      <c r="CQ67" s="1">
        <f>SUMIFS(CQ$2:CQ$55,$F$2:$F$55,$F67)</f>
        <v>430.09999999999985</v>
      </c>
      <c r="CR67" s="1">
        <f>SUMIFS(CR$2:CR$55,$F$2:$F$55,$F67)</f>
        <v>424.96666666666647</v>
      </c>
      <c r="CS67" s="1">
        <f>SUMIFS(CS$2:CS$55,$F$2:$F$55,$F67)</f>
        <v>419.8333333333332</v>
      </c>
      <c r="CT67" s="1">
        <f>SUMIFS(CT$2:CT$55,$F$2:$F$55,$F67)</f>
        <v>414.69999999999987</v>
      </c>
      <c r="CU67" s="1">
        <f>SUMIFS(CU$2:CU$55,$F$2:$F$55,$F67)</f>
        <v>409.56666666666661</v>
      </c>
      <c r="CV67" s="1">
        <f>SUMIFS(CV$2:CV$55,$F$2:$F$55,$F67)</f>
        <v>404.43333333333328</v>
      </c>
      <c r="CW67" s="1">
        <f>SUMIFS(CW$2:CW$55,$F$2:$F$55,$F67)</f>
        <v>399.2999999999999</v>
      </c>
      <c r="CX67" s="1">
        <f>SUMIFS(CX$2:CX$55,$F$2:$F$55,$F67)</f>
        <v>394.16666666666657</v>
      </c>
      <c r="CY67" s="1">
        <f>SUMIFS(CY$2:CY$55,$F$2:$F$55,$F67)</f>
        <v>389.03333333333319</v>
      </c>
      <c r="CZ67" s="1">
        <f>SUMIFS(CZ$2:CZ$55,$F$2:$F$55,$F67)</f>
        <v>383.89999999999986</v>
      </c>
      <c r="DA67" s="1">
        <f>SUMIFS(DA$2:DA$55,$F$2:$F$55,$F67)</f>
        <v>378.76666666666654</v>
      </c>
      <c r="DB67" s="1">
        <f>SUMIFS(DB$2:DB$55,$F$2:$F$55,$F67)</f>
        <v>373.63333333333321</v>
      </c>
      <c r="DC67" s="1">
        <f>SUMIFS(DC$2:DC$55,$F$2:$F$55,$F67)</f>
        <v>368.49999999999989</v>
      </c>
      <c r="DD67" s="1">
        <f>SUMIFS(DD$2:DD$55,$F$2:$F$55,$F67)</f>
        <v>363.3666666666665</v>
      </c>
      <c r="DE67" s="1">
        <f>SUMIFS(DE$2:DE$55,$F$2:$F$55,$F67)</f>
        <v>358.23333333333318</v>
      </c>
      <c r="DF67" s="1">
        <f>SUMIFS(DF$2:DF$55,$F$2:$F$55,$F67)</f>
        <v>353.09999999999991</v>
      </c>
      <c r="DG67" s="1">
        <f>SUMIFS(DG$2:DG$55,$F$2:$F$55,$F67)</f>
        <v>347.96666666666647</v>
      </c>
      <c r="DH67" s="1">
        <f>SUMIFS(DH$2:DH$55,$F$2:$F$55,$F67)</f>
        <v>342.83333333333314</v>
      </c>
      <c r="DI67" s="1">
        <f>SUMIFS(DI$2:DI$55,$F$2:$F$55,$F67)</f>
        <v>337.69999999999982</v>
      </c>
      <c r="DJ67" s="1">
        <f>SUMIFS(DJ$2:DJ$55,$F$2:$F$55,$F67)</f>
        <v>332.56666666666649</v>
      </c>
      <c r="DK67" s="1">
        <f>SUMIFS(DK$2:DK$55,$F$2:$F$55,$F67)</f>
        <v>327.43333333333317</v>
      </c>
      <c r="DL67" s="1">
        <f>SUMIFS(DL$2:DL$55,$F$2:$F$55,$F67)</f>
        <v>322.29999999999984</v>
      </c>
      <c r="DM67" s="1">
        <f>SUMIFS(DM$2:DM$55,$F$2:$F$55,$F67)</f>
        <v>317.16666666666646</v>
      </c>
      <c r="DN67" s="1">
        <f>SUMIFS(DN$2:DN$55,$F$2:$F$55,$F67)</f>
        <v>312.03333333333313</v>
      </c>
      <c r="DO67" s="1">
        <f>SUMIFS(DO$2:DO$55,$F$2:$F$55,$F67)</f>
        <v>306.89999999999975</v>
      </c>
      <c r="DP67" s="1">
        <f>SUMIFS(DP$2:DP$55,$F$2:$F$55,$F67)</f>
        <v>301.76666666666642</v>
      </c>
      <c r="DQ67" s="1">
        <f>SUMIFS(DQ$2:DQ$55,$F$2:$F$55,$F67)</f>
        <v>296.6333333333331</v>
      </c>
      <c r="DR67" s="1">
        <f>SUMIFS(DR$2:DR$55,$F$2:$F$55,$F67)</f>
        <v>291.49999999999977</v>
      </c>
      <c r="DS67" s="1">
        <f>SUMIFS(DS$2:DS$55,$F$2:$F$55,$F67)</f>
        <v>286.36666666666639</v>
      </c>
      <c r="DT67" s="1">
        <f>SUMIFS(DT$2:DT$55,$F$2:$F$55,$F67)</f>
        <v>281.23333333333301</v>
      </c>
      <c r="DU67" s="1">
        <f>SUMIFS(DU$2:DU$55,$F$2:$F$55,$F67)</f>
        <v>276.09999999999974</v>
      </c>
      <c r="DV67" s="1">
        <f>SUMIFS(DV$2:DV$55,$F$2:$F$55,$F67)</f>
        <v>270.96666666666641</v>
      </c>
      <c r="DW67" s="1">
        <f>SUMIFS(DW$2:DW$55,$F$2:$F$55,$F67)</f>
        <v>265.83333333333297</v>
      </c>
    </row>
    <row r="70" spans="1:127" x14ac:dyDescent="0.3">
      <c r="F70" s="96" t="s">
        <v>212</v>
      </c>
      <c r="H70" s="96"/>
      <c r="I70" s="96"/>
      <c r="J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96"/>
      <c r="CW70" s="96"/>
      <c r="CX70" s="96"/>
      <c r="CY70" s="96"/>
      <c r="CZ70" s="96"/>
      <c r="DA70" s="96"/>
      <c r="DB70" s="96"/>
      <c r="DC70" s="96"/>
      <c r="DD70" s="96"/>
      <c r="DE70" s="96"/>
      <c r="DF70" s="96"/>
      <c r="DG70" s="96"/>
      <c r="DH70" s="96"/>
      <c r="DI70" s="96"/>
      <c r="DJ70" s="96"/>
      <c r="DK70" s="96"/>
      <c r="DL70" s="96"/>
      <c r="DM70" s="96"/>
      <c r="DN70" s="96"/>
      <c r="DO70" s="96"/>
      <c r="DP70" s="96"/>
      <c r="DQ70" s="96"/>
      <c r="DR70" s="96"/>
      <c r="DS70" s="96"/>
      <c r="DT70" s="96"/>
      <c r="DU70" s="96"/>
      <c r="DV70" s="96"/>
      <c r="DW70" s="96"/>
    </row>
    <row r="71" spans="1:127" x14ac:dyDescent="0.3">
      <c r="F71" s="96" t="s">
        <v>213</v>
      </c>
      <c r="H71" s="96"/>
      <c r="I71" s="96"/>
      <c r="J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96"/>
      <c r="BL71" s="96"/>
      <c r="BM71" s="96"/>
      <c r="BN71" s="96"/>
      <c r="BO71" s="96"/>
      <c r="BP71" s="96"/>
      <c r="BQ71" s="96"/>
      <c r="BR71" s="96"/>
      <c r="BS71" s="96"/>
      <c r="BT71" s="96"/>
      <c r="BU71" s="96"/>
      <c r="BV71" s="96"/>
      <c r="BW71" s="96"/>
      <c r="BX71" s="96"/>
      <c r="BY71" s="96"/>
      <c r="BZ71" s="96"/>
      <c r="CA71" s="96"/>
      <c r="CB71" s="96"/>
      <c r="CC71" s="96"/>
      <c r="CD71" s="96"/>
      <c r="CE71" s="96"/>
      <c r="CF71" s="96"/>
      <c r="CG71" s="96"/>
      <c r="CH71" s="96"/>
      <c r="CI71" s="96"/>
      <c r="CJ71" s="96"/>
      <c r="CK71" s="96"/>
      <c r="CL71" s="96"/>
      <c r="CM71" s="96"/>
      <c r="CN71" s="96"/>
      <c r="CO71" s="96"/>
      <c r="CP71" s="96"/>
      <c r="CQ71" s="96"/>
      <c r="CR71" s="96"/>
      <c r="CS71" s="96"/>
      <c r="CT71" s="96"/>
      <c r="CU71" s="96"/>
      <c r="CV71" s="96"/>
      <c r="CW71" s="96"/>
      <c r="CX71" s="96"/>
      <c r="CY71" s="96"/>
      <c r="CZ71" s="96"/>
      <c r="DA71" s="96"/>
      <c r="DB71" s="96"/>
      <c r="DC71" s="96"/>
      <c r="DD71" s="96"/>
      <c r="DE71" s="96"/>
      <c r="DF71" s="96"/>
      <c r="DG71" s="96"/>
      <c r="DH71" s="96"/>
      <c r="DI71" s="96"/>
      <c r="DJ71" s="96"/>
      <c r="DK71" s="96"/>
      <c r="DL71" s="96"/>
      <c r="DM71" s="96"/>
      <c r="DN71" s="96"/>
      <c r="DO71" s="96"/>
      <c r="DP71" s="96"/>
      <c r="DQ71" s="96"/>
      <c r="DR71" s="96"/>
      <c r="DS71" s="96"/>
      <c r="DT71" s="96"/>
      <c r="DU71" s="96"/>
      <c r="DV71" s="96"/>
      <c r="DW71" s="96"/>
    </row>
    <row r="72" spans="1:127" x14ac:dyDescent="0.3">
      <c r="F72" s="96" t="s">
        <v>214</v>
      </c>
      <c r="H72" s="96"/>
      <c r="I72" s="96"/>
      <c r="J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96"/>
      <c r="BD72" s="96"/>
      <c r="BE72" s="96"/>
      <c r="BF72" s="96"/>
      <c r="BG72" s="96"/>
      <c r="BH72" s="96"/>
      <c r="BI72" s="96"/>
      <c r="BJ72" s="96"/>
      <c r="BK72" s="96"/>
      <c r="BL72" s="96"/>
      <c r="BM72" s="96"/>
      <c r="BN72" s="96"/>
      <c r="BO72" s="96"/>
      <c r="BP72" s="96"/>
      <c r="BQ72" s="96"/>
      <c r="BR72" s="96"/>
      <c r="BS72" s="96"/>
      <c r="BT72" s="96"/>
      <c r="BU72" s="96"/>
      <c r="BV72" s="96"/>
      <c r="BW72" s="96"/>
      <c r="BX72" s="96"/>
      <c r="BY72" s="96"/>
      <c r="BZ72" s="96"/>
      <c r="CA72" s="96"/>
      <c r="CB72" s="96"/>
      <c r="CC72" s="96"/>
      <c r="CD72" s="96"/>
      <c r="CE72" s="96"/>
      <c r="CF72" s="96"/>
      <c r="CG72" s="96"/>
      <c r="CH72" s="96"/>
      <c r="CI72" s="96"/>
      <c r="CJ72" s="96"/>
      <c r="CK72" s="96"/>
      <c r="CL72" s="96"/>
      <c r="CM72" s="96"/>
      <c r="CN72" s="96"/>
      <c r="CO72" s="96"/>
      <c r="CP72" s="96"/>
      <c r="CQ72" s="96"/>
      <c r="CR72" s="96"/>
      <c r="CS72" s="96"/>
      <c r="CT72" s="96"/>
      <c r="CU72" s="96"/>
      <c r="CV72" s="96"/>
      <c r="CW72" s="96"/>
      <c r="CX72" s="96"/>
      <c r="CY72" s="96"/>
      <c r="CZ72" s="96"/>
      <c r="DA72" s="96"/>
      <c r="DB72" s="96"/>
      <c r="DC72" s="96"/>
      <c r="DD72" s="96"/>
      <c r="DE72" s="96"/>
      <c r="DF72" s="96"/>
      <c r="DG72" s="96"/>
      <c r="DH72" s="96"/>
      <c r="DI72" s="96"/>
      <c r="DJ72" s="96"/>
      <c r="DK72" s="96"/>
      <c r="DL72" s="96"/>
      <c r="DM72" s="96"/>
      <c r="DN72" s="96"/>
      <c r="DO72" s="96"/>
      <c r="DP72" s="96"/>
      <c r="DQ72" s="96"/>
      <c r="DR72" s="96"/>
      <c r="DS72" s="96"/>
      <c r="DT72" s="96"/>
      <c r="DU72" s="96"/>
      <c r="DV72" s="96"/>
      <c r="DW72" s="96"/>
    </row>
    <row r="74" spans="1:127" x14ac:dyDescent="0.3">
      <c r="F74" s="96"/>
      <c r="G74" s="1" t="s">
        <v>47</v>
      </c>
      <c r="H74" s="96">
        <f>MONTH(H1)</f>
        <v>4</v>
      </c>
      <c r="I74" s="96">
        <f>MONTH(I1)</f>
        <v>5</v>
      </c>
      <c r="J74" s="96">
        <f>MONTH(J1)</f>
        <v>5</v>
      </c>
      <c r="K74" s="115">
        <f>MONTH(K1)</f>
        <v>5</v>
      </c>
      <c r="L74" s="115">
        <f>MONTH(L1)</f>
        <v>5</v>
      </c>
      <c r="M74" s="115">
        <f>MONTH(M1)</f>
        <v>6</v>
      </c>
      <c r="N74" s="115">
        <f>MONTH(N1)</f>
        <v>6</v>
      </c>
      <c r="O74" s="115">
        <f>MONTH(O1)</f>
        <v>6</v>
      </c>
      <c r="P74" s="115">
        <f>MONTH(P1)</f>
        <v>6</v>
      </c>
      <c r="Q74" s="115">
        <f>MONTH(Q1)</f>
        <v>6</v>
      </c>
      <c r="R74" s="115">
        <f>MONTH(R1)</f>
        <v>7</v>
      </c>
      <c r="S74" s="119">
        <f>MONTH(S1)</f>
        <v>7</v>
      </c>
      <c r="T74" s="119">
        <f>MONTH(T1)</f>
        <v>7</v>
      </c>
      <c r="U74" s="119">
        <f>MONTH(U1)</f>
        <v>7</v>
      </c>
      <c r="V74" s="119">
        <f>MONTH(V1)</f>
        <v>8</v>
      </c>
      <c r="W74" s="119">
        <f>MONTH(W1)</f>
        <v>8</v>
      </c>
      <c r="X74" s="119">
        <f>MONTH(X1)</f>
        <v>8</v>
      </c>
      <c r="Y74" s="119">
        <f>MONTH(Y1)</f>
        <v>8</v>
      </c>
      <c r="Z74" s="119">
        <f>MONTH(Z1)</f>
        <v>8</v>
      </c>
      <c r="AA74" s="119">
        <f>MONTH(AA1)</f>
        <v>9</v>
      </c>
      <c r="AB74" s="96">
        <f>MONTH(AB1)</f>
        <v>9</v>
      </c>
      <c r="AC74" s="96">
        <f>MONTH(AC1)</f>
        <v>9</v>
      </c>
      <c r="AD74" s="96">
        <f>MONTH(AD1)</f>
        <v>9</v>
      </c>
      <c r="AE74" s="96">
        <f>MONTH(AE1)</f>
        <v>10</v>
      </c>
      <c r="AF74" s="96">
        <f>MONTH(AF1)</f>
        <v>10</v>
      </c>
      <c r="AG74" s="96">
        <f>MONTH(AG1)</f>
        <v>10</v>
      </c>
      <c r="AH74" s="96">
        <f>MONTH(AH1)</f>
        <v>10</v>
      </c>
      <c r="AI74" s="96">
        <f>MONTH(AI1)</f>
        <v>11</v>
      </c>
      <c r="AJ74" s="96">
        <f>MONTH(AJ1)</f>
        <v>11</v>
      </c>
      <c r="AK74" s="96">
        <f>MONTH(AK1)</f>
        <v>11</v>
      </c>
      <c r="AL74" s="96">
        <f>MONTH(AL1)</f>
        <v>11</v>
      </c>
      <c r="AM74" s="96">
        <f>MONTH(AM1)</f>
        <v>11</v>
      </c>
      <c r="AN74" s="96">
        <f>MONTH(AN1)</f>
        <v>12</v>
      </c>
      <c r="AO74" s="96">
        <f>MONTH(AO1)</f>
        <v>12</v>
      </c>
      <c r="AP74" s="96">
        <f>MONTH(AP1)</f>
        <v>12</v>
      </c>
      <c r="AQ74" s="96">
        <f>MONTH(AQ1)</f>
        <v>12</v>
      </c>
      <c r="AR74" s="96">
        <f>MONTH(AR1)</f>
        <v>1</v>
      </c>
      <c r="AS74" s="96">
        <f>MONTH(AS1)</f>
        <v>1</v>
      </c>
      <c r="AT74" s="96">
        <f>MONTH(AT1)</f>
        <v>1</v>
      </c>
      <c r="AU74" s="96">
        <f>MONTH(AU1)</f>
        <v>1</v>
      </c>
      <c r="AV74" s="96">
        <f>MONTH(AV1)</f>
        <v>2</v>
      </c>
      <c r="AW74" s="96">
        <f>MONTH(AW1)</f>
        <v>2</v>
      </c>
      <c r="AX74" s="96">
        <f>MONTH(AX1)</f>
        <v>2</v>
      </c>
      <c r="AY74" s="96">
        <f>MONTH(AY1)</f>
        <v>2</v>
      </c>
      <c r="AZ74" s="96">
        <f>MONTH(AZ1)</f>
        <v>3</v>
      </c>
      <c r="BA74" s="96">
        <f>MONTH(BA1)</f>
        <v>3</v>
      </c>
      <c r="BB74" s="96">
        <f>MONTH(BB1)</f>
        <v>3</v>
      </c>
      <c r="BC74" s="96">
        <f>MONTH(BC1)</f>
        <v>3</v>
      </c>
      <c r="BD74" s="96">
        <f>MONTH(BD1)</f>
        <v>3</v>
      </c>
      <c r="BE74" s="96">
        <f>MONTH(BE1)</f>
        <v>4</v>
      </c>
      <c r="BF74" s="96">
        <f>MONTH(BF1)</f>
        <v>4</v>
      </c>
      <c r="BG74" s="96">
        <f>MONTH(BG1)</f>
        <v>4</v>
      </c>
      <c r="BH74" s="96">
        <f>MONTH(BH1)</f>
        <v>4</v>
      </c>
      <c r="BI74" s="96">
        <f>MONTH(BI1)</f>
        <v>5</v>
      </c>
      <c r="BJ74" s="96">
        <f>MONTH(BJ1)</f>
        <v>5</v>
      </c>
      <c r="BK74" s="96">
        <f>MONTH(BK1)</f>
        <v>5</v>
      </c>
      <c r="BL74" s="96">
        <f>MONTH(BL1)</f>
        <v>5</v>
      </c>
      <c r="BM74" s="96">
        <f>MONTH(BM1)</f>
        <v>5</v>
      </c>
      <c r="BN74" s="96">
        <f>MONTH(BN1)</f>
        <v>6</v>
      </c>
      <c r="BO74" s="96">
        <f>MONTH(BO1)</f>
        <v>6</v>
      </c>
      <c r="BP74" s="96">
        <f>MONTH(BP1)</f>
        <v>6</v>
      </c>
      <c r="BQ74" s="96">
        <f>MONTH(BQ1)</f>
        <v>6</v>
      </c>
      <c r="BR74" s="96">
        <f>MONTH(BR1)</f>
        <v>7</v>
      </c>
      <c r="BS74" s="96">
        <f>MONTH(BS1)</f>
        <v>7</v>
      </c>
      <c r="BT74" s="96">
        <f>MONTH(BT1)</f>
        <v>7</v>
      </c>
      <c r="BU74" s="96">
        <f>MONTH(BU1)</f>
        <v>7</v>
      </c>
      <c r="BV74" s="96">
        <f>MONTH(BV1)</f>
        <v>8</v>
      </c>
      <c r="BW74" s="96">
        <f>MONTH(BW1)</f>
        <v>8</v>
      </c>
      <c r="BX74" s="96">
        <f>MONTH(BX1)</f>
        <v>8</v>
      </c>
      <c r="BY74" s="96">
        <f>MONTH(BY1)</f>
        <v>8</v>
      </c>
      <c r="BZ74" s="96">
        <f>MONTH(BZ1)</f>
        <v>8</v>
      </c>
      <c r="CA74" s="96">
        <f>MONTH(CA1)</f>
        <v>9</v>
      </c>
      <c r="CB74" s="96">
        <f>MONTH(CB1)</f>
        <v>9</v>
      </c>
      <c r="CC74" s="96">
        <f>MONTH(CC1)</f>
        <v>9</v>
      </c>
      <c r="CD74" s="96">
        <f>MONTH(CD1)</f>
        <v>9</v>
      </c>
      <c r="CE74" s="96">
        <f>MONTH(CE1)</f>
        <v>10</v>
      </c>
      <c r="CF74" s="96">
        <f>MONTH(CF1)</f>
        <v>10</v>
      </c>
      <c r="CG74" s="96">
        <f>MONTH(CG1)</f>
        <v>10</v>
      </c>
      <c r="CH74" s="96">
        <f>MONTH(CH1)</f>
        <v>10</v>
      </c>
      <c r="CI74" s="96">
        <f>MONTH(CI1)</f>
        <v>11</v>
      </c>
      <c r="CJ74" s="96">
        <f>MONTH(CJ1)</f>
        <v>11</v>
      </c>
      <c r="CK74" s="96">
        <f>MONTH(CK1)</f>
        <v>11</v>
      </c>
      <c r="CL74" s="96">
        <f>MONTH(CL1)</f>
        <v>11</v>
      </c>
      <c r="CM74" s="96">
        <f>MONTH(CM1)</f>
        <v>11</v>
      </c>
      <c r="CN74" s="96">
        <f>MONTH(CN1)</f>
        <v>12</v>
      </c>
      <c r="CO74" s="96">
        <f>MONTH(CO1)</f>
        <v>12</v>
      </c>
      <c r="CP74" s="96">
        <f>MONTH(CP1)</f>
        <v>12</v>
      </c>
      <c r="CQ74" s="96">
        <f>MONTH(CQ1)</f>
        <v>12</v>
      </c>
      <c r="CR74" s="96">
        <f>MONTH(CR1)</f>
        <v>1</v>
      </c>
      <c r="CS74" s="96">
        <f>MONTH(CS1)</f>
        <v>1</v>
      </c>
      <c r="CT74" s="96">
        <f>MONTH(CT1)</f>
        <v>1</v>
      </c>
      <c r="CU74" s="96">
        <f>MONTH(CU1)</f>
        <v>1</v>
      </c>
      <c r="CV74" s="96">
        <f>MONTH(CV1)</f>
        <v>1</v>
      </c>
      <c r="CW74" s="96">
        <f>MONTH(CW1)</f>
        <v>2</v>
      </c>
      <c r="CX74" s="96">
        <f>MONTH(CX1)</f>
        <v>2</v>
      </c>
      <c r="CY74" s="96">
        <f>MONTH(CY1)</f>
        <v>2</v>
      </c>
      <c r="CZ74" s="96">
        <f>MONTH(CZ1)</f>
        <v>2</v>
      </c>
      <c r="DA74" s="96">
        <f>MONTH(DA1)</f>
        <v>3</v>
      </c>
      <c r="DB74" s="96">
        <f>MONTH(DB1)</f>
        <v>3</v>
      </c>
      <c r="DC74" s="96">
        <f>MONTH(DC1)</f>
        <v>3</v>
      </c>
      <c r="DD74" s="96">
        <f>MONTH(DD1)</f>
        <v>3</v>
      </c>
      <c r="DE74" s="96">
        <f>MONTH(DE1)</f>
        <v>4</v>
      </c>
      <c r="DF74" s="96">
        <f>MONTH(DF1)</f>
        <v>4</v>
      </c>
      <c r="DG74" s="96">
        <f>MONTH(DG1)</f>
        <v>4</v>
      </c>
      <c r="DH74" s="96">
        <f>MONTH(DH1)</f>
        <v>4</v>
      </c>
      <c r="DI74" s="96">
        <f>MONTH(DI1)</f>
        <v>5</v>
      </c>
      <c r="DJ74" s="96">
        <f>MONTH(DJ1)</f>
        <v>5</v>
      </c>
      <c r="DK74" s="96">
        <f>MONTH(DK1)</f>
        <v>5</v>
      </c>
      <c r="DL74" s="96">
        <f>MONTH(DL1)</f>
        <v>5</v>
      </c>
      <c r="DM74" s="96">
        <f>MONTH(DM1)</f>
        <v>5</v>
      </c>
      <c r="DN74" s="96">
        <f>MONTH(DN1)</f>
        <v>6</v>
      </c>
      <c r="DO74" s="96">
        <f>MONTH(DO1)</f>
        <v>6</v>
      </c>
      <c r="DP74" s="96">
        <f>MONTH(DP1)</f>
        <v>6</v>
      </c>
      <c r="DQ74" s="96">
        <f>MONTH(DQ1)</f>
        <v>6</v>
      </c>
      <c r="DR74" s="96">
        <f>MONTH(DR1)</f>
        <v>7</v>
      </c>
      <c r="DS74" s="96">
        <f>MONTH(DS1)</f>
        <v>7</v>
      </c>
      <c r="DT74" s="96">
        <f>MONTH(DT1)</f>
        <v>7</v>
      </c>
      <c r="DU74" s="96">
        <f>MONTH(DU1)</f>
        <v>7</v>
      </c>
      <c r="DV74" s="96">
        <f>MONTH(DV1)</f>
        <v>8</v>
      </c>
      <c r="DW74" s="96">
        <f>MONTH(DW1)</f>
        <v>8</v>
      </c>
    </row>
    <row r="75" spans="1:127" x14ac:dyDescent="0.3">
      <c r="F75" s="96"/>
      <c r="G75" s="1" t="s">
        <v>215</v>
      </c>
      <c r="H75" s="96">
        <v>0</v>
      </c>
      <c r="I75" s="96">
        <f>IF(I74=H74,H75,H75+1)</f>
        <v>1</v>
      </c>
      <c r="J75" s="96">
        <f t="shared" ref="J75:BU75" si="1354">IF(J74=I74,I75,I75+1)</f>
        <v>1</v>
      </c>
      <c r="K75" s="115">
        <f t="shared" si="1354"/>
        <v>1</v>
      </c>
      <c r="L75" s="115">
        <f t="shared" si="1354"/>
        <v>1</v>
      </c>
      <c r="M75" s="115">
        <f t="shared" si="1354"/>
        <v>2</v>
      </c>
      <c r="N75" s="115">
        <f t="shared" si="1354"/>
        <v>2</v>
      </c>
      <c r="O75" s="115">
        <f t="shared" si="1354"/>
        <v>2</v>
      </c>
      <c r="P75" s="115">
        <f t="shared" si="1354"/>
        <v>2</v>
      </c>
      <c r="Q75" s="115">
        <f t="shared" si="1354"/>
        <v>2</v>
      </c>
      <c r="R75" s="115">
        <f t="shared" si="1354"/>
        <v>3</v>
      </c>
      <c r="S75" s="119">
        <f t="shared" si="1354"/>
        <v>3</v>
      </c>
      <c r="T75" s="119">
        <f t="shared" si="1354"/>
        <v>3</v>
      </c>
      <c r="U75" s="119">
        <f t="shared" si="1354"/>
        <v>3</v>
      </c>
      <c r="V75" s="119">
        <f t="shared" si="1354"/>
        <v>4</v>
      </c>
      <c r="W75" s="119">
        <f t="shared" si="1354"/>
        <v>4</v>
      </c>
      <c r="X75" s="119">
        <f t="shared" si="1354"/>
        <v>4</v>
      </c>
      <c r="Y75" s="119">
        <f t="shared" si="1354"/>
        <v>4</v>
      </c>
      <c r="Z75" s="119">
        <f t="shared" si="1354"/>
        <v>4</v>
      </c>
      <c r="AA75" s="119">
        <f t="shared" si="1354"/>
        <v>5</v>
      </c>
      <c r="AB75" s="96">
        <f t="shared" si="1354"/>
        <v>5</v>
      </c>
      <c r="AC75" s="96">
        <f t="shared" si="1354"/>
        <v>5</v>
      </c>
      <c r="AD75" s="96">
        <f t="shared" si="1354"/>
        <v>5</v>
      </c>
      <c r="AE75" s="96">
        <f t="shared" si="1354"/>
        <v>6</v>
      </c>
      <c r="AF75" s="96">
        <f t="shared" si="1354"/>
        <v>6</v>
      </c>
      <c r="AG75" s="96">
        <f t="shared" si="1354"/>
        <v>6</v>
      </c>
      <c r="AH75" s="96">
        <f t="shared" si="1354"/>
        <v>6</v>
      </c>
      <c r="AI75" s="96">
        <f t="shared" si="1354"/>
        <v>7</v>
      </c>
      <c r="AJ75" s="96">
        <f t="shared" si="1354"/>
        <v>7</v>
      </c>
      <c r="AK75" s="96">
        <f t="shared" si="1354"/>
        <v>7</v>
      </c>
      <c r="AL75" s="96">
        <f t="shared" si="1354"/>
        <v>7</v>
      </c>
      <c r="AM75" s="96">
        <f t="shared" si="1354"/>
        <v>7</v>
      </c>
      <c r="AN75" s="96">
        <f t="shared" si="1354"/>
        <v>8</v>
      </c>
      <c r="AO75" s="96">
        <f t="shared" si="1354"/>
        <v>8</v>
      </c>
      <c r="AP75" s="96">
        <f t="shared" si="1354"/>
        <v>8</v>
      </c>
      <c r="AQ75" s="96">
        <f t="shared" si="1354"/>
        <v>8</v>
      </c>
      <c r="AR75" s="96">
        <f t="shared" si="1354"/>
        <v>9</v>
      </c>
      <c r="AS75" s="96">
        <f t="shared" si="1354"/>
        <v>9</v>
      </c>
      <c r="AT75" s="96">
        <f t="shared" si="1354"/>
        <v>9</v>
      </c>
      <c r="AU75" s="96">
        <f t="shared" si="1354"/>
        <v>9</v>
      </c>
      <c r="AV75" s="96">
        <f t="shared" si="1354"/>
        <v>10</v>
      </c>
      <c r="AW75" s="96">
        <f t="shared" si="1354"/>
        <v>10</v>
      </c>
      <c r="AX75" s="96">
        <f t="shared" si="1354"/>
        <v>10</v>
      </c>
      <c r="AY75" s="96">
        <f t="shared" si="1354"/>
        <v>10</v>
      </c>
      <c r="AZ75" s="96">
        <f t="shared" si="1354"/>
        <v>11</v>
      </c>
      <c r="BA75" s="96">
        <f t="shared" si="1354"/>
        <v>11</v>
      </c>
      <c r="BB75" s="96">
        <f t="shared" si="1354"/>
        <v>11</v>
      </c>
      <c r="BC75" s="96">
        <f t="shared" si="1354"/>
        <v>11</v>
      </c>
      <c r="BD75" s="96">
        <f t="shared" si="1354"/>
        <v>11</v>
      </c>
      <c r="BE75" s="96">
        <f t="shared" si="1354"/>
        <v>12</v>
      </c>
      <c r="BF75" s="96">
        <f t="shared" si="1354"/>
        <v>12</v>
      </c>
      <c r="BG75" s="96">
        <f t="shared" si="1354"/>
        <v>12</v>
      </c>
      <c r="BH75" s="96">
        <f t="shared" si="1354"/>
        <v>12</v>
      </c>
      <c r="BI75" s="96">
        <f t="shared" si="1354"/>
        <v>13</v>
      </c>
      <c r="BJ75" s="96">
        <f t="shared" si="1354"/>
        <v>13</v>
      </c>
      <c r="BK75" s="96">
        <f t="shared" si="1354"/>
        <v>13</v>
      </c>
      <c r="BL75" s="96">
        <f t="shared" si="1354"/>
        <v>13</v>
      </c>
      <c r="BM75" s="96">
        <f t="shared" si="1354"/>
        <v>13</v>
      </c>
      <c r="BN75" s="96">
        <f t="shared" si="1354"/>
        <v>14</v>
      </c>
      <c r="BO75" s="96">
        <f t="shared" si="1354"/>
        <v>14</v>
      </c>
      <c r="BP75" s="96">
        <f t="shared" si="1354"/>
        <v>14</v>
      </c>
      <c r="BQ75" s="96">
        <f t="shared" si="1354"/>
        <v>14</v>
      </c>
      <c r="BR75" s="96">
        <f t="shared" si="1354"/>
        <v>15</v>
      </c>
      <c r="BS75" s="96">
        <f t="shared" si="1354"/>
        <v>15</v>
      </c>
      <c r="BT75" s="96">
        <f t="shared" si="1354"/>
        <v>15</v>
      </c>
      <c r="BU75" s="96">
        <f t="shared" si="1354"/>
        <v>15</v>
      </c>
      <c r="BV75" s="96">
        <f t="shared" ref="BV75:DW75" si="1355">IF(BV74=BU74,BU75,BU75+1)</f>
        <v>16</v>
      </c>
      <c r="BW75" s="96">
        <f t="shared" si="1355"/>
        <v>16</v>
      </c>
      <c r="BX75" s="96">
        <f t="shared" si="1355"/>
        <v>16</v>
      </c>
      <c r="BY75" s="96">
        <f t="shared" si="1355"/>
        <v>16</v>
      </c>
      <c r="BZ75" s="96">
        <f t="shared" si="1355"/>
        <v>16</v>
      </c>
      <c r="CA75" s="96">
        <f t="shared" si="1355"/>
        <v>17</v>
      </c>
      <c r="CB75" s="96">
        <f t="shared" si="1355"/>
        <v>17</v>
      </c>
      <c r="CC75" s="96">
        <f t="shared" si="1355"/>
        <v>17</v>
      </c>
      <c r="CD75" s="96">
        <f t="shared" si="1355"/>
        <v>17</v>
      </c>
      <c r="CE75" s="96">
        <f t="shared" si="1355"/>
        <v>18</v>
      </c>
      <c r="CF75" s="96">
        <f t="shared" si="1355"/>
        <v>18</v>
      </c>
      <c r="CG75" s="96">
        <f t="shared" si="1355"/>
        <v>18</v>
      </c>
      <c r="CH75" s="96">
        <f t="shared" si="1355"/>
        <v>18</v>
      </c>
      <c r="CI75" s="96">
        <f t="shared" si="1355"/>
        <v>19</v>
      </c>
      <c r="CJ75" s="96">
        <f t="shared" si="1355"/>
        <v>19</v>
      </c>
      <c r="CK75" s="96">
        <f t="shared" si="1355"/>
        <v>19</v>
      </c>
      <c r="CL75" s="96">
        <f t="shared" si="1355"/>
        <v>19</v>
      </c>
      <c r="CM75" s="96">
        <f t="shared" si="1355"/>
        <v>19</v>
      </c>
      <c r="CN75" s="96">
        <f t="shared" si="1355"/>
        <v>20</v>
      </c>
      <c r="CO75" s="96">
        <f t="shared" si="1355"/>
        <v>20</v>
      </c>
      <c r="CP75" s="96">
        <f t="shared" si="1355"/>
        <v>20</v>
      </c>
      <c r="CQ75" s="96">
        <f t="shared" si="1355"/>
        <v>20</v>
      </c>
      <c r="CR75" s="96">
        <f t="shared" si="1355"/>
        <v>21</v>
      </c>
      <c r="CS75" s="96">
        <f t="shared" si="1355"/>
        <v>21</v>
      </c>
      <c r="CT75" s="96">
        <f t="shared" si="1355"/>
        <v>21</v>
      </c>
      <c r="CU75" s="96">
        <f t="shared" si="1355"/>
        <v>21</v>
      </c>
      <c r="CV75" s="96">
        <f t="shared" si="1355"/>
        <v>21</v>
      </c>
      <c r="CW75" s="96">
        <f t="shared" si="1355"/>
        <v>22</v>
      </c>
      <c r="CX75" s="96">
        <f t="shared" si="1355"/>
        <v>22</v>
      </c>
      <c r="CY75" s="96">
        <f t="shared" si="1355"/>
        <v>22</v>
      </c>
      <c r="CZ75" s="96">
        <f t="shared" si="1355"/>
        <v>22</v>
      </c>
      <c r="DA75" s="96">
        <f t="shared" si="1355"/>
        <v>23</v>
      </c>
      <c r="DB75" s="96">
        <f t="shared" si="1355"/>
        <v>23</v>
      </c>
      <c r="DC75" s="96">
        <f t="shared" si="1355"/>
        <v>23</v>
      </c>
      <c r="DD75" s="96">
        <f t="shared" si="1355"/>
        <v>23</v>
      </c>
      <c r="DE75" s="96">
        <f t="shared" si="1355"/>
        <v>24</v>
      </c>
      <c r="DF75" s="96">
        <f t="shared" si="1355"/>
        <v>24</v>
      </c>
      <c r="DG75" s="96">
        <f t="shared" si="1355"/>
        <v>24</v>
      </c>
      <c r="DH75" s="96">
        <f t="shared" si="1355"/>
        <v>24</v>
      </c>
      <c r="DI75" s="96">
        <f t="shared" si="1355"/>
        <v>25</v>
      </c>
      <c r="DJ75" s="96">
        <f t="shared" si="1355"/>
        <v>25</v>
      </c>
      <c r="DK75" s="96">
        <f t="shared" si="1355"/>
        <v>25</v>
      </c>
      <c r="DL75" s="96">
        <f t="shared" si="1355"/>
        <v>25</v>
      </c>
      <c r="DM75" s="96">
        <f t="shared" si="1355"/>
        <v>25</v>
      </c>
      <c r="DN75" s="96">
        <f t="shared" si="1355"/>
        <v>26</v>
      </c>
      <c r="DO75" s="96">
        <f t="shared" si="1355"/>
        <v>26</v>
      </c>
      <c r="DP75" s="96">
        <f t="shared" si="1355"/>
        <v>26</v>
      </c>
      <c r="DQ75" s="96">
        <f t="shared" si="1355"/>
        <v>26</v>
      </c>
      <c r="DR75" s="96">
        <f t="shared" si="1355"/>
        <v>27</v>
      </c>
      <c r="DS75" s="96">
        <f t="shared" si="1355"/>
        <v>27</v>
      </c>
      <c r="DT75" s="96">
        <f t="shared" si="1355"/>
        <v>27</v>
      </c>
      <c r="DU75" s="96">
        <f t="shared" si="1355"/>
        <v>27</v>
      </c>
      <c r="DV75" s="96">
        <f t="shared" si="1355"/>
        <v>28</v>
      </c>
      <c r="DW75" s="96">
        <f t="shared" si="1355"/>
        <v>28</v>
      </c>
    </row>
  </sheetData>
  <autoFilter ref="A1:DW55" xr:uid="{425D570A-5C0D-454A-979F-EF3C29D12A74}"/>
  <conditionalFormatting sqref="F5:XFD5">
    <cfRule type="cellIs" dxfId="17" priority="51" operator="equal">
      <formula>"x"</formula>
    </cfRule>
  </conditionalFormatting>
  <conditionalFormatting sqref="F62">
    <cfRule type="cellIs" dxfId="16" priority="44" operator="equal">
      <formula>"x"</formula>
    </cfRule>
  </conditionalFormatting>
  <conditionalFormatting sqref="F14 DX14:XFD14">
    <cfRule type="cellIs" dxfId="15" priority="17" operator="equal">
      <formula>"x"</formula>
    </cfRule>
  </conditionalFormatting>
  <conditionalFormatting sqref="F23 DX23:XFD23">
    <cfRule type="cellIs" dxfId="14" priority="16" operator="equal">
      <formula>"x"</formula>
    </cfRule>
  </conditionalFormatting>
  <conditionalFormatting sqref="F32 DX32:XFD32">
    <cfRule type="cellIs" dxfId="10" priority="12" operator="equal">
      <formula>"x"</formula>
    </cfRule>
  </conditionalFormatting>
  <conditionalFormatting sqref="F41 DX41:XFD41">
    <cfRule type="cellIs" dxfId="9" priority="11" operator="equal">
      <formula>"x"</formula>
    </cfRule>
  </conditionalFormatting>
  <conditionalFormatting sqref="F50 DX50:XFD50">
    <cfRule type="cellIs" dxfId="8" priority="10" operator="equal">
      <formula>"x"</formula>
    </cfRule>
  </conditionalFormatting>
  <conditionalFormatting sqref="G14:DW14">
    <cfRule type="cellIs" dxfId="7" priority="8" operator="equal">
      <formula>"x"</formula>
    </cfRule>
  </conditionalFormatting>
  <conditionalFormatting sqref="G23:DW23">
    <cfRule type="cellIs" dxfId="6" priority="7" operator="equal">
      <formula>"x"</formula>
    </cfRule>
  </conditionalFormatting>
  <conditionalFormatting sqref="G32:DW32">
    <cfRule type="cellIs" dxfId="2" priority="3" operator="equal">
      <formula>"x"</formula>
    </cfRule>
  </conditionalFormatting>
  <conditionalFormatting sqref="G41:DW41">
    <cfRule type="cellIs" dxfId="1" priority="2" operator="equal">
      <formula>"x"</formula>
    </cfRule>
  </conditionalFormatting>
  <conditionalFormatting sqref="G50:DW50">
    <cfRule type="cellIs" dxfId="0" priority="1" operator="equal">
      <formula>"x"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9D1A-A8BF-4641-BE7A-BCF82A5E8525}">
  <sheetPr>
    <tabColor theme="5" tint="-0.249977111117893"/>
  </sheetPr>
  <dimension ref="A1:G16"/>
  <sheetViews>
    <sheetView workbookViewId="0">
      <selection sqref="A1:A1048576"/>
    </sheetView>
  </sheetViews>
  <sheetFormatPr defaultRowHeight="14.4" x14ac:dyDescent="0.3"/>
  <cols>
    <col min="1" max="1" width="22.109375" customWidth="1"/>
    <col min="7" max="7" width="18.6640625" customWidth="1"/>
  </cols>
  <sheetData>
    <row r="1" spans="1:7" x14ac:dyDescent="0.3">
      <c r="A1" s="96" t="s">
        <v>216</v>
      </c>
      <c r="B1" s="96" t="s">
        <v>217</v>
      </c>
      <c r="C1" s="96" t="s">
        <v>218</v>
      </c>
      <c r="D1" s="96" t="s">
        <v>219</v>
      </c>
      <c r="E1" s="96" t="s">
        <v>220</v>
      </c>
      <c r="F1" s="96" t="s">
        <v>221</v>
      </c>
      <c r="G1" s="96" t="s">
        <v>222</v>
      </c>
    </row>
    <row r="3" spans="1:7" x14ac:dyDescent="0.3">
      <c r="A3" s="96">
        <v>106019134</v>
      </c>
      <c r="B3" s="96">
        <v>4786</v>
      </c>
      <c r="C3" s="96" t="s">
        <v>223</v>
      </c>
      <c r="D3" s="96" t="s">
        <v>224</v>
      </c>
      <c r="E3" s="96">
        <v>2020</v>
      </c>
      <c r="F3" s="96">
        <v>1</v>
      </c>
      <c r="G3" s="96">
        <v>0</v>
      </c>
    </row>
    <row r="4" spans="1:7" x14ac:dyDescent="0.3">
      <c r="A4" s="96">
        <v>106022341</v>
      </c>
      <c r="B4" s="96">
        <v>4786</v>
      </c>
      <c r="C4" s="96" t="s">
        <v>223</v>
      </c>
      <c r="D4" s="96" t="s">
        <v>224</v>
      </c>
      <c r="E4" s="96">
        <v>2020</v>
      </c>
      <c r="F4" s="96">
        <v>2</v>
      </c>
      <c r="G4" s="93">
        <v>90960</v>
      </c>
    </row>
    <row r="5" spans="1:7" x14ac:dyDescent="0.3">
      <c r="A5" s="96">
        <v>106022342</v>
      </c>
      <c r="B5" s="96">
        <v>4786</v>
      </c>
      <c r="C5" s="96" t="s">
        <v>223</v>
      </c>
      <c r="D5" s="96" t="s">
        <v>224</v>
      </c>
      <c r="E5" s="96">
        <v>2020</v>
      </c>
      <c r="F5" s="96">
        <v>1</v>
      </c>
      <c r="G5" s="93">
        <v>94500</v>
      </c>
    </row>
    <row r="6" spans="1:7" x14ac:dyDescent="0.3">
      <c r="A6" s="96">
        <v>106022557</v>
      </c>
      <c r="B6" s="96">
        <v>4786</v>
      </c>
      <c r="C6" s="96" t="s">
        <v>223</v>
      </c>
      <c r="D6" s="96" t="s">
        <v>224</v>
      </c>
      <c r="E6" s="96">
        <v>2020</v>
      </c>
      <c r="F6" s="96">
        <v>1</v>
      </c>
      <c r="G6" s="96">
        <v>0</v>
      </c>
    </row>
    <row r="7" spans="1:7" x14ac:dyDescent="0.3">
      <c r="A7" s="96">
        <v>106028578</v>
      </c>
      <c r="B7" s="96">
        <v>4786</v>
      </c>
      <c r="C7" s="96" t="s">
        <v>223</v>
      </c>
      <c r="D7" s="96" t="s">
        <v>224</v>
      </c>
      <c r="E7" s="96">
        <v>2020</v>
      </c>
      <c r="F7" s="96">
        <v>2</v>
      </c>
      <c r="G7" s="93">
        <v>343000</v>
      </c>
    </row>
    <row r="8" spans="1:7" x14ac:dyDescent="0.3">
      <c r="A8" s="96">
        <v>106028702</v>
      </c>
      <c r="B8" s="96">
        <v>4786</v>
      </c>
      <c r="C8" s="96" t="s">
        <v>223</v>
      </c>
      <c r="D8" s="96" t="s">
        <v>224</v>
      </c>
      <c r="E8" s="96">
        <v>2020</v>
      </c>
      <c r="F8" s="96">
        <v>1</v>
      </c>
      <c r="G8" s="96">
        <v>0</v>
      </c>
    </row>
    <row r="9" spans="1:7" x14ac:dyDescent="0.3">
      <c r="A9" s="96">
        <v>106028776</v>
      </c>
      <c r="B9" s="96">
        <v>4786</v>
      </c>
      <c r="C9" s="96" t="s">
        <v>223</v>
      </c>
      <c r="D9" s="96" t="s">
        <v>224</v>
      </c>
      <c r="E9" s="96">
        <v>2020</v>
      </c>
      <c r="F9" s="96">
        <v>2</v>
      </c>
      <c r="G9" s="93">
        <v>691875</v>
      </c>
    </row>
    <row r="10" spans="1:7" x14ac:dyDescent="0.3">
      <c r="A10" s="96">
        <v>106029012</v>
      </c>
      <c r="B10" s="96">
        <v>4786</v>
      </c>
      <c r="C10" s="96" t="s">
        <v>223</v>
      </c>
      <c r="D10" s="96" t="s">
        <v>224</v>
      </c>
      <c r="E10" s="96">
        <v>2020</v>
      </c>
      <c r="F10" s="96">
        <v>1</v>
      </c>
      <c r="G10" s="96">
        <v>0</v>
      </c>
    </row>
    <row r="11" spans="1:7" x14ac:dyDescent="0.3">
      <c r="A11" s="96">
        <v>106029015</v>
      </c>
      <c r="B11" s="96">
        <v>4786</v>
      </c>
      <c r="C11" s="96" t="s">
        <v>223</v>
      </c>
      <c r="D11" s="96" t="s">
        <v>224</v>
      </c>
      <c r="E11" s="96">
        <v>2020</v>
      </c>
      <c r="F11" s="96">
        <v>1</v>
      </c>
      <c r="G11" s="96">
        <v>0</v>
      </c>
    </row>
    <row r="12" spans="1:7" x14ac:dyDescent="0.3">
      <c r="A12" s="96">
        <v>106029017</v>
      </c>
      <c r="B12" s="96">
        <v>4786</v>
      </c>
      <c r="C12" s="96" t="s">
        <v>223</v>
      </c>
      <c r="D12" s="96" t="s">
        <v>224</v>
      </c>
      <c r="E12" s="96">
        <v>2020</v>
      </c>
      <c r="F12" s="96">
        <v>1</v>
      </c>
      <c r="G12" s="96">
        <v>0</v>
      </c>
    </row>
    <row r="13" spans="1:7" x14ac:dyDescent="0.3">
      <c r="A13" s="96">
        <v>106029036</v>
      </c>
      <c r="B13" s="96">
        <v>4786</v>
      </c>
      <c r="C13" s="96" t="s">
        <v>223</v>
      </c>
      <c r="D13" s="96" t="s">
        <v>224</v>
      </c>
      <c r="E13" s="96">
        <v>2020</v>
      </c>
      <c r="F13" s="96">
        <v>1</v>
      </c>
      <c r="G13" s="96">
        <v>0</v>
      </c>
    </row>
    <row r="14" spans="1:7" x14ac:dyDescent="0.3">
      <c r="A14" s="96">
        <v>106029553</v>
      </c>
      <c r="B14" s="96">
        <v>4786</v>
      </c>
      <c r="C14" s="96" t="s">
        <v>223</v>
      </c>
      <c r="D14" s="96" t="s">
        <v>224</v>
      </c>
      <c r="E14" s="96">
        <v>2020</v>
      </c>
      <c r="F14" s="96">
        <v>1</v>
      </c>
      <c r="G14" s="96">
        <v>0</v>
      </c>
    </row>
    <row r="15" spans="1:7" x14ac:dyDescent="0.3">
      <c r="A15" s="96">
        <v>106030251</v>
      </c>
      <c r="B15" s="96">
        <v>4786</v>
      </c>
      <c r="C15" s="96" t="s">
        <v>223</v>
      </c>
      <c r="D15" s="96" t="s">
        <v>224</v>
      </c>
      <c r="E15" s="96">
        <v>2020</v>
      </c>
      <c r="F15" s="96">
        <v>2</v>
      </c>
      <c r="G15" s="93">
        <v>482560</v>
      </c>
    </row>
    <row r="16" spans="1:7" x14ac:dyDescent="0.3">
      <c r="A16" s="96">
        <v>106030477</v>
      </c>
      <c r="B16" s="96">
        <v>4786</v>
      </c>
      <c r="C16" s="96" t="s">
        <v>223</v>
      </c>
      <c r="D16" s="96" t="s">
        <v>224</v>
      </c>
      <c r="E16" s="96">
        <v>2020</v>
      </c>
      <c r="F16" s="96">
        <v>1</v>
      </c>
      <c r="G16" s="9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3A06BFA7C36A40A9A1F07DAA1B4CE7" ma:contentTypeVersion="2" ma:contentTypeDescription="Create a new document." ma:contentTypeScope="" ma:versionID="eb7cc532bca78d8a67f86e0053268b8c">
  <xsd:schema xmlns:xsd="http://www.w3.org/2001/XMLSchema" xmlns:xs="http://www.w3.org/2001/XMLSchema" xmlns:p="http://schemas.microsoft.com/office/2006/metadata/properties" xmlns:ns2="7bcf0e32-8832-4a04-aa55-c5ddf7fab089" targetNamespace="http://schemas.microsoft.com/office/2006/metadata/properties" ma:root="true" ma:fieldsID="7b059912551bfb322255694292d1f589" ns2:_="">
    <xsd:import namespace="7bcf0e32-8832-4a04-aa55-c5ddf7fab0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f0e32-8832-4a04-aa55-c5ddf7fab0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1FA85-638C-4711-BE49-D18591DDB9B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DDD7ED7-4D52-4424-A600-70779ADCB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cf0e32-8832-4a04-aa55-c5ddf7fab0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5F5846-B98C-4570-9924-005758DBD6E1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7bcf0e32-8832-4a04-aa55-c5ddf7fab089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2364DE4A-BBF7-4381-A06A-54EBE6B0EF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Routes</vt:lpstr>
      <vt:lpstr>Dates</vt:lpstr>
      <vt:lpstr>Forecast Upload</vt:lpstr>
      <vt:lpstr>FORECAST</vt:lpstr>
      <vt:lpstr>Sheet1</vt:lpstr>
      <vt:lpstr>FC SS UPLOAD</vt:lpstr>
      <vt:lpstr>ROLLING SCHED</vt:lpstr>
      <vt:lpstr>Details</vt:lpstr>
      <vt:lpstr>MRP</vt:lpstr>
      <vt:lpstr>MARD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Bieterman</dc:creator>
  <cp:keywords/>
  <dc:description/>
  <cp:lastModifiedBy>Gregory Bieterman</cp:lastModifiedBy>
  <cp:revision/>
  <dcterms:created xsi:type="dcterms:W3CDTF">2019-08-14T14:51:02Z</dcterms:created>
  <dcterms:modified xsi:type="dcterms:W3CDTF">2020-04-28T18:27:02Z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0x0101006A3A06BFA7C36A40A9A1F07DAA1B4CE7</vt:lpwstr>
  </property>
</Properties>
</file>